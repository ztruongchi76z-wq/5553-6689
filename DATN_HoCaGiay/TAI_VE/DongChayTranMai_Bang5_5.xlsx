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SoLieu" sheetId="2" state="visible" r:id="rId2"/>
    <sheet xmlns:r="http://schemas.openxmlformats.org/officeDocument/2006/relationships" name="Bang5_5" sheetId="3" state="visible" r:id="rId3"/>
    <sheet xmlns:r="http://schemas.openxmlformats.org/officeDocument/2006/relationships" name="DoNhay" sheetId="4" state="visible" r:id="rId4"/>
    <sheet xmlns:r="http://schemas.openxmlformats.org/officeDocument/2006/relationships" name="BieuDo" sheetId="5" state="visible" r:id="rId5"/>
  </sheets>
  <definedNames>
    <definedName name="Mua_ngay">SoLieu!$B$6</definedName>
    <definedName name="Ty_le_mua">SoLieu!$B$7</definedName>
    <definedName name="T_mua">SoLieu!$B$8</definedName>
    <definedName name="i_mmh">SoLieu!$B$9</definedName>
    <definedName name="i_ms">SoLieu!$B$10</definedName>
    <definedName name="HS_C">SoLieu!$B$14</definedName>
    <definedName name="HS_n">SoLieu!$B$15</definedName>
    <definedName name="Gamma_w">SoLieu!$B$16</definedName>
    <definedName name="Z_dinh">SoLieu!$B$20</definedName>
    <definedName name="Z_co">SoLieu!$B$21</definedName>
    <definedName name="Z_ltr">SoLieu!$B$22</definedName>
    <definedName name="m_tren">SoLieu!$B$23</definedName>
    <definedName name="m_duoi">SoLieu!$B$24</definedName>
    <definedName name="sin_tren">SoLieu!$B$25</definedName>
    <definedName name="sin_duoi">SoLieu!$B$26</definedName>
    <definedName name="L_tren">SoLieu!$B$27</definedName>
    <definedName name="L_duoi">SoLieu!$B$28</definedName>
    <definedName name="a_o">SoLieu!$B$29</definedName>
    <definedName name="L_cheo">SoLieu!$B$30</definedName>
    <definedName name="tau_cat">SoLieu!$B$34</definedName>
    <definedName name="tau_bui">SoLieu!$B$35</definedName>
    <definedName name="tau_thit">SoLieu!$B$36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E+00"/>
    <numFmt numFmtId="166" formatCode="0.000"/>
    <numFmt numFmtId="167" formatCode="0.0000"/>
  </numFmts>
  <fonts count="9">
    <font>
      <name val="Calibri"/>
      <family val="2"/>
      <color theme="1"/>
      <sz val="11"/>
      <scheme val="minor"/>
    </font>
    <font>
      <name val="Times New Roman"/>
      <b val="1"/>
      <color rgb="0012324A"/>
      <sz val="14"/>
    </font>
    <font>
      <name val="Times New Roman"/>
      <b val="1"/>
      <color rgb="00A65A10"/>
      <sz val="12"/>
    </font>
    <font>
      <name val="Times New Roman"/>
      <sz val="11"/>
    </font>
    <font>
      <name val="Cambria Math"/>
      <sz val="11"/>
    </font>
    <font>
      <name val="Times New Roman"/>
      <b val="1"/>
      <color rgb="00FFFFFF"/>
      <sz val="10"/>
    </font>
    <font>
      <name val="Times New Roman"/>
      <b val="1"/>
      <sz val="11"/>
    </font>
    <font>
      <name val="Times New Roman"/>
      <b val="1"/>
      <color rgb="000000FF"/>
      <sz val="11"/>
    </font>
    <font>
      <name val="Times New Roman"/>
      <i val="1"/>
      <color rgb="0052514E"/>
      <sz val="10"/>
    </font>
  </fonts>
  <fills count="5">
    <fill>
      <patternFill/>
    </fill>
    <fill>
      <patternFill patternType="gray125"/>
    </fill>
    <fill>
      <patternFill patternType="solid">
        <fgColor rgb="0012324A"/>
      </patternFill>
    </fill>
    <fill>
      <patternFill patternType="solid">
        <fgColor rgb="00FFF2CC"/>
      </patternFill>
    </fill>
    <fill>
      <patternFill patternType="solid">
        <fgColor rgb="00FBF3E8"/>
      </patternFill>
    </fill>
  </fills>
  <borders count="2">
    <border>
      <left/>
      <right/>
      <top/>
      <bottom/>
      <diagonal/>
    </border>
    <border>
      <left style="thin">
        <color rgb="00B8BEC6"/>
      </left>
      <right style="thin">
        <color rgb="00B8BEC6"/>
      </right>
      <top style="thin">
        <color rgb="00B8BEC6"/>
      </top>
      <bottom style="thin">
        <color rgb="00B8BEC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2" fontId="7" fillId="3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6" fontId="7" fillId="3" borderId="1" applyAlignment="1" pivotButton="0" quotePrefix="0" xfId="0">
      <alignment horizontal="center" vertical="center" wrapText="1"/>
    </xf>
    <xf numFmtId="1" fontId="7" fillId="3" borderId="1" applyAlignment="1" pivotButton="0" quotePrefix="0" xfId="0">
      <alignment horizontal="center" vertical="center" wrapText="1"/>
    </xf>
    <xf numFmtId="167" fontId="6" fillId="4" borderId="1" applyAlignment="1" pivotButton="0" quotePrefix="0" xfId="0">
      <alignment horizontal="center" vertical="center" wrapText="1"/>
    </xf>
    <xf numFmtId="2" fontId="6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11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1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Ứng suất tiếp do dòng chảy tràn trên mái hạ lưu</a:t>
            </a:r>
          </a:p>
        </rich>
      </tx>
    </title>
    <plotArea>
      <scatterChart>
        <ser>
          <idx val="0"/>
          <order val="0"/>
          <tx>
            <strRef>
              <f>'BieuDo'!B3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'BieuDo'!$A$4:$A$38</f>
            </numRef>
          </xVal>
          <yVal>
            <numRef>
              <f>'BieuDo'!$B$4:$B$38</f>
            </numRef>
          </yVal>
          <smooth val="1"/>
        </ser>
        <ser>
          <idx val="1"/>
          <order val="1"/>
          <tx>
            <strRef>
              <f>'BieuDo'!C3</f>
            </strRef>
          </tx>
          <spPr>
            <a:ln xmlns:a="http://schemas.openxmlformats.org/drawingml/2006/main" w="22225">
              <a:solidFill>
                <a:srgbClr val="1BAF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'BieuDo'!$A$4:$A$38</f>
            </numRef>
          </xVal>
          <yVal>
            <numRef>
              <f>'BieuDo'!$C$4:$C$38</f>
            </numRef>
          </yVal>
          <smooth val="1"/>
        </ser>
        <ser>
          <idx val="2"/>
          <order val="2"/>
          <tx>
            <strRef>
              <f>'BieuDo'!D3</f>
            </strRef>
          </tx>
          <spPr>
            <a:ln xmlns:a="http://schemas.openxmlformats.org/drawingml/2006/main" w="22225">
              <a:solidFill>
                <a:srgbClr val="EB683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'BieuDo'!$A$4:$A$38</f>
            </numRef>
          </xVal>
          <yVal>
            <numRef>
              <f>'BieuDo'!$D$4:$D$38</f>
            </numRef>
          </yVal>
          <smooth val="1"/>
        </ser>
        <ser>
          <idx val="3"/>
          <order val="3"/>
          <tx>
            <strRef>
              <f>'BieuDo'!E3</f>
            </strRef>
          </tx>
          <spPr>
            <a:ln xmlns:a="http://schemas.openxmlformats.org/drawingml/2006/main" w="22225">
              <a:solidFill>
                <a:srgbClr val="A65A1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'BieuDo'!$A$4:$A$38</f>
            </numRef>
          </xVal>
          <yVal>
            <numRef>
              <f>'BieuDo'!$E$4:$E$38</f>
            </numRef>
          </yVal>
          <smooth val="1"/>
        </ser>
        <ser>
          <idx val="4"/>
          <order val="4"/>
          <tx>
            <strRef>
              <f>'BieuDo'!F3</f>
            </strRef>
          </tx>
          <spPr>
            <a:ln xmlns:a="http://schemas.openxmlformats.org/drawingml/2006/main" w="22225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'BieuDo'!$A$4:$A$38</f>
            </numRef>
          </xVal>
          <yVal>
            <numRef>
              <f>'BieuDo'!$F$4:$F$38</f>
            </numRef>
          </yVal>
          <smooth val="1"/>
        </ser>
        <axId val="10"/>
        <axId val="20"/>
      </scatterChart>
      <valAx>
        <axId val="10"/>
        <scaling>
          <orientation val="minMax"/>
          <max val="3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Chiều dài đường chảy L (m)</a:t>
                </a:r>
              </a:p>
            </rich>
          </tx>
        </title>
        <majorTickMark val="none"/>
        <minorTickMark val="none"/>
        <crossAx val="20"/>
        <majorUnit val="5"/>
      </valAx>
      <valAx>
        <axId val="20"/>
        <scaling>
          <orientation val="minMax"/>
          <max val="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τ (Pa)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A65A10"/>
    <outlinePr summaryBelow="1" summaryRight="1"/>
    <pageSetUpPr fitToPage="1"/>
  </sheetPr>
  <dimension ref="A1:B23"/>
  <sheetViews>
    <sheetView tabSelected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DÒNG CHẢY TRÀN TRÊN MÁI HẠ LƯU KHI MƯA – HIỆU QUẢ CHỐNG XÓI CỦA VIỆC CHIA Ô MÁI (Bảng 5.5)</t>
        </is>
      </c>
    </row>
    <row r="4">
      <c r="A4" s="2" t="inlineStr">
        <is>
          <t>1. Mục đích</t>
        </is>
      </c>
    </row>
    <row r="5" ht="30" customHeight="1">
      <c r="A5" s="3" t="inlineStr">
        <is>
          <t>•</t>
        </is>
      </c>
      <c r="B5" s="4" t="inlineStr">
        <is>
          <t>Mái hạ lưu bị xói rãnh do nước mưa chảy tràn; lực xói tăng theo chiều dài đường chảy L. Chia mái thành ô bằng rãnh xiên 45° (TCVN 8216:2018 điều 10.3.4.5) để cắt ngắn L; kích thước rãnh, ô xác định qua tính toán (điều 10.3.4.6).</t>
        </is>
      </c>
    </row>
    <row r="7">
      <c r="A7" s="2" t="inlineStr">
        <is>
          <t>2. Công thức (Chow, Open-Channel Hydraulics [25])</t>
        </is>
      </c>
    </row>
    <row r="8" ht="16" customHeight="1">
      <c r="A8" s="3" t="inlineStr"/>
      <c r="B8" s="5" t="inlineStr">
        <is>
          <t>(5-1)  q = C·i·L          – lưu lượng đơn vị (m²/s): mái dài L phía trên điểm xét hứng mưa trên L × 1 m².</t>
        </is>
      </c>
    </row>
    <row r="9" ht="16" customHeight="1">
      <c r="A9" s="3" t="inlineStr"/>
      <c r="B9" s="5" t="inlineStr">
        <is>
          <t>(5-2)  h = (q·n/√sinβ)^0,6 – chiều sâu dòng màng mỏng, công thức Manning cho dòng rất rộng (R ≈ h).</t>
        </is>
      </c>
    </row>
    <row r="10" ht="16" customHeight="1">
      <c r="A10" s="3" t="inlineStr"/>
      <c r="B10" s="5" t="inlineStr">
        <is>
          <t>(5-3)  τ = γw·h·sinβ      – ứng suất tiếp đáy (lực kéo của dòng chảy đều), so với ứng suất tiếp cho phép của đất.</t>
        </is>
      </c>
    </row>
    <row r="11" ht="16" customHeight="1">
      <c r="A11" s="3" t="inlineStr"/>
      <c r="B11" s="5" t="inlineStr">
        <is>
          <t xml:space="preserve">         v = q/h           – lưu tốc trung bình;  t tập trung = (n·L/√sinβ)^0,6 / (C·i)^0,4 – sóng động học.</t>
        </is>
      </c>
    </row>
    <row r="12" ht="30" customHeight="1">
      <c r="A12" s="3" t="inlineStr">
        <is>
          <t>•</t>
        </is>
      </c>
      <c r="B12" s="4" t="inlineStr">
        <is>
          <t>Gộp lại: τ = γw·(C·i·n·L)^0,6·(sinβ)^0,7 → τ tỷ lệ với L^0,6: mức giảm τ khi rút ngắn L KHÔNG phụ thuộc C, i, n (xem sheet DoNhay).</t>
        </is>
      </c>
    </row>
    <row r="14">
      <c r="A14" s="2" t="inlineStr">
        <is>
          <t>3. Ý nghĩa các chiều dài đường chảy L (sheet Bang5_5)</t>
        </is>
      </c>
    </row>
    <row r="15" ht="16" customHeight="1">
      <c r="A15" s="3" t="inlineStr">
        <is>
          <t>•</t>
        </is>
      </c>
      <c r="B15" s="4" t="inlineStr">
        <is>
          <t>Cả đoạn mái (34 m với m = 3; 32,8 m với m = 3,5): chưa có rãnh – hiện trạng (rãnh cũ hư hỏng).</t>
        </is>
      </c>
    </row>
    <row r="16" ht="30" customHeight="1">
      <c r="A16" s="3" t="inlineStr">
        <is>
          <t>•</t>
        </is>
      </c>
      <c r="B16" s="4" t="inlineStr">
        <is>
          <t>Đường chéo ô 4 × 4 m = 5,66 m: đường chảy tính toán sau sửa chữa – các ô đặt xoay 45° so với đường dốc nhất nên nước chảy theo đường chéo ô. Cạnh ô 4 m chỉ để tham khảo.</t>
        </is>
      </c>
    </row>
    <row r="17" ht="16" customHeight="1">
      <c r="A17" s="3" t="inlineStr">
        <is>
          <t>•</t>
        </is>
      </c>
      <c r="B17" s="4" t="inlineStr">
        <is>
          <t>17 m, 8 m: các bước chia đôi đường chảy (thêm 1 hoặc 3 rãnh ngang) – để thấy τ giảm dần theo L.</t>
        </is>
      </c>
    </row>
    <row r="18" ht="30" customHeight="1">
      <c r="A18" s="3" t="inlineStr">
        <is>
          <t>•</t>
        </is>
      </c>
      <c r="B18" s="4" t="inlineStr">
        <is>
          <t>Đoạn mái trên (m = 3) là đoạn quyết định: dốc hơn và dài hơn; rãnh ngang trên cơ +68,0 thu nước đoạn trên nên đoạn dưới (m = 3,5) chỉ chịu nước mưa rơi trên chính nó.</t>
        </is>
      </c>
    </row>
    <row r="20">
      <c r="A20" s="2" t="inlineStr">
        <is>
          <t>4. Cách dùng</t>
        </is>
      </c>
    </row>
    <row r="21" ht="16" customHeight="1">
      <c r="A21" s="3" t="inlineStr">
        <is>
          <t>•</t>
        </is>
      </c>
      <c r="B21" s="4" t="inlineStr">
        <is>
          <t>Chỉ sửa các ô nền vàng chữ xanh ở sheet SoLieu (và các ô vàng ở sheet DoNhay); mọi ô khác là công thức.</t>
        </is>
      </c>
    </row>
    <row r="22" ht="30" customHeight="1">
      <c r="A22" s="3" t="inlineStr">
        <is>
          <t>•</t>
        </is>
      </c>
      <c r="B22" s="4" t="inlineStr">
        <is>
          <t>Số liệu: lượng mưa 1 ngày lớn nhất P = 10% = 191,8 mm – QTVH (2026) Bảng 2-11; mưa 30 phút = 30% mưa ngày (giả thiết – hồ sơ không có mưa thời đoạn ngắn); C = 0,6 (mặt đất dốc lớn, cỏ thưa); n = 0,03 (mặt đất trống); ứng suất tiếp cho phép của đất không có lớp phủ theo Chow [25].</t>
        </is>
      </c>
    </row>
    <row r="23" ht="16" customHeight="1">
      <c r="A23" s="3" t="inlineStr">
        <is>
          <t>•</t>
        </is>
      </c>
      <c r="B23" s="4" t="inlineStr">
        <is>
          <t>Chiều dài cả mái trên tính đúng là 34,3 m; bảng làm tròn 34 m như thuyết minh (τ chênh 0,04 Pa).</t>
        </is>
      </c>
    </row>
  </sheetData>
  <pageMargins left="0.4" right="0.4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EDA100"/>
    <outlinePr summaryBelow="1" summaryRight="1"/>
    <pageSetUpPr fitToPage="1"/>
  </sheetPr>
  <dimension ref="A1:D36"/>
  <sheetViews>
    <sheetView tabSelected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9" customWidth="1" min="3" max="3"/>
    <col width="70" customWidth="1" min="4" max="4"/>
  </cols>
  <sheetData>
    <row r="1">
      <c r="A1" s="1" t="inlineStr">
        <is>
          <t>SỐ LIỆU ĐẦU VÀO (ô vàng chữ xanh: nhập; còn lại: công thức)</t>
        </is>
      </c>
    </row>
    <row r="4">
      <c r="A4" s="2" t="inlineStr">
        <is>
          <t>A. MƯA TÍNH TOÁN</t>
        </is>
      </c>
    </row>
    <row r="5">
      <c r="A5" s="6" t="inlineStr">
        <is>
          <t>Thông số</t>
        </is>
      </c>
      <c r="B5" s="6" t="inlineStr">
        <is>
          <t>Giá trị</t>
        </is>
      </c>
      <c r="C5" s="6" t="inlineStr">
        <is>
          <t>Đơn vị</t>
        </is>
      </c>
      <c r="D5" s="6" t="inlineStr">
        <is>
          <t>Ghi chú, nguồn</t>
        </is>
      </c>
    </row>
    <row r="6">
      <c r="A6" s="7" t="inlineStr">
        <is>
          <t>Lượng mưa 1 ngày lớn nhất P = 10%</t>
        </is>
      </c>
      <c r="B6" s="8" t="n">
        <v>191.8</v>
      </c>
      <c r="C6" s="9" t="inlineStr">
        <is>
          <t>mm</t>
        </is>
      </c>
      <c r="D6" s="10" t="inlineStr">
        <is>
          <t>QTVH (2026) Bảng 2-11 – thuyết minh dẫn [1]</t>
        </is>
      </c>
    </row>
    <row r="7">
      <c r="A7" s="7" t="inlineStr">
        <is>
          <t>Tỷ lệ mưa 30 phút / mưa ngày</t>
        </is>
      </c>
      <c r="B7" s="11" t="n">
        <v>0.3</v>
      </c>
      <c r="C7" s="9" t="inlineStr">
        <is>
          <t>–</t>
        </is>
      </c>
      <c r="D7" s="10" t="inlineStr">
        <is>
          <t>Giả thiết (hồ sơ không có mưa thời đoạn ngắn); độ nhạy 0,20 ÷ 0,40</t>
        </is>
      </c>
    </row>
    <row r="8">
      <c r="A8" s="7" t="inlineStr">
        <is>
          <t>Thời đoạn mưa</t>
        </is>
      </c>
      <c r="B8" s="8" t="n">
        <v>0.5</v>
      </c>
      <c r="C8" s="9" t="inlineStr">
        <is>
          <t>giờ</t>
        </is>
      </c>
      <c r="D8" s="10" t="inlineStr">
        <is>
          <t>Thời gian tập trung nước trên mái chỉ 0,5 ÷ 2 phút (sheet Bang5_5)</t>
        </is>
      </c>
    </row>
    <row r="9">
      <c r="A9" s="7" t="inlineStr">
        <is>
          <t>Cường độ mưa tính toán i</t>
        </is>
      </c>
      <c r="B9" s="12">
        <f>Mua_ngay*Ty_le_mua/T_mua</f>
        <v/>
      </c>
      <c r="C9" s="9" t="inlineStr">
        <is>
          <t>mm/h</t>
        </is>
      </c>
      <c r="D9" s="10" t="inlineStr">
        <is>
          <t>i = 191,8 × 0,30 / 0,5</t>
        </is>
      </c>
    </row>
    <row r="10">
      <c r="A10" s="7" t="inlineStr">
        <is>
          <t>Cường độ mưa tính toán i</t>
        </is>
      </c>
      <c r="B10" s="13">
        <f>i_mmh/3600000</f>
        <v/>
      </c>
      <c r="C10" s="9" t="inlineStr">
        <is>
          <t>m/s</t>
        </is>
      </c>
      <c r="D10" s="10" t="inlineStr">
        <is>
          <t>đổi đơn vị: mm/h → m/s</t>
        </is>
      </c>
    </row>
    <row r="12">
      <c r="A12" s="2" t="inlineStr">
        <is>
          <t>B. MẶT MÁI</t>
        </is>
      </c>
    </row>
    <row r="13">
      <c r="A13" s="6" t="inlineStr">
        <is>
          <t>Thông số</t>
        </is>
      </c>
      <c r="B13" s="6" t="inlineStr">
        <is>
          <t>Giá trị</t>
        </is>
      </c>
      <c r="C13" s="6" t="inlineStr">
        <is>
          <t>Đơn vị</t>
        </is>
      </c>
      <c r="D13" s="6" t="inlineStr">
        <is>
          <t>Ghi chú, nguồn</t>
        </is>
      </c>
    </row>
    <row r="14">
      <c r="A14" s="7" t="inlineStr">
        <is>
          <t>Hệ số dòng chảy C</t>
        </is>
      </c>
      <c r="B14" s="11" t="n">
        <v>0.6</v>
      </c>
      <c r="C14" s="9" t="inlineStr">
        <is>
          <t>–</t>
        </is>
      </c>
      <c r="D14" s="10" t="inlineStr">
        <is>
          <t>Mặt đất dốc lớn, cỏ thưa khi mưa lớn (bảng hệ số dòng chảy ≈ 0,4 ÷ 0,6), lấy cận trên</t>
        </is>
      </c>
    </row>
    <row r="15">
      <c r="A15" s="7" t="inlineStr">
        <is>
          <t>Hệ số nhám Manning n</t>
        </is>
      </c>
      <c r="B15" s="14" t="n">
        <v>0.03</v>
      </c>
      <c r="C15" s="9" t="inlineStr">
        <is>
          <t>–</t>
        </is>
      </c>
      <c r="D15" s="10" t="inlineStr">
        <is>
          <t>Mặt đất trống – Chow [25]; dòng màng mỏng trên đất trống ≈ 0,011 ÷ 0,05</t>
        </is>
      </c>
    </row>
    <row r="16">
      <c r="A16" s="7" t="inlineStr">
        <is>
          <t>Trọng lượng riêng của nước γw</t>
        </is>
      </c>
      <c r="B16" s="15" t="n">
        <v>9810</v>
      </c>
      <c r="C16" s="9" t="inlineStr">
        <is>
          <t>N/m³</t>
        </is>
      </c>
      <c r="D16" s="10" t="inlineStr"/>
    </row>
    <row r="18">
      <c r="A18" s="2" t="inlineStr">
        <is>
          <t>C. HÌNH HỌC MÁI HẠ LƯU (mặt cắt lòng sông sau sửa chữa)</t>
        </is>
      </c>
    </row>
    <row r="19">
      <c r="A19" s="6" t="inlineStr">
        <is>
          <t>Thông số</t>
        </is>
      </c>
      <c r="B19" s="6" t="inlineStr">
        <is>
          <t>Giá trị</t>
        </is>
      </c>
      <c r="C19" s="6" t="inlineStr">
        <is>
          <t>Đơn vị</t>
        </is>
      </c>
      <c r="D19" s="6" t="inlineStr">
        <is>
          <t>Ghi chú, nguồn</t>
        </is>
      </c>
    </row>
    <row r="20">
      <c r="A20" s="7" t="inlineStr">
        <is>
          <t>Cao trình đỉnh đập</t>
        </is>
      </c>
      <c r="B20" s="11" t="n">
        <v>78.84999999999999</v>
      </c>
      <c r="C20" s="9" t="inlineStr">
        <is>
          <t>m</t>
        </is>
      </c>
      <c r="D20" s="10" t="inlineStr">
        <is>
          <t>Sau sửa chữa</t>
        </is>
      </c>
    </row>
    <row r="21">
      <c r="A21" s="7" t="inlineStr">
        <is>
          <t>Cao trình cơ hạ lưu</t>
        </is>
      </c>
      <c r="B21" s="11" t="n">
        <v>68</v>
      </c>
      <c r="C21" s="9" t="inlineStr">
        <is>
          <t>m</t>
        </is>
      </c>
      <c r="D21" s="10" t="inlineStr">
        <is>
          <t>Có rãnh ngang 40 × 40 cm thu nước đoạn mái trên</t>
        </is>
      </c>
    </row>
    <row r="22">
      <c r="A22" s="7" t="inlineStr">
        <is>
          <t>Cao trình đỉnh lăng trụ thoát nước</t>
        </is>
      </c>
      <c r="B22" s="11" t="n">
        <v>59</v>
      </c>
      <c r="C22" s="9" t="inlineStr">
        <is>
          <t>m</t>
        </is>
      </c>
      <c r="D22" s="10" t="inlineStr"/>
    </row>
    <row r="23">
      <c r="A23" s="7" t="inlineStr">
        <is>
          <t>Hệ số mái đoạn trên m₁</t>
        </is>
      </c>
      <c r="B23" s="8" t="n">
        <v>3</v>
      </c>
      <c r="C23" s="9" t="inlineStr">
        <is>
          <t>–</t>
        </is>
      </c>
      <c r="D23" s="10" t="inlineStr">
        <is>
          <t>Từ đỉnh xuống cơ</t>
        </is>
      </c>
    </row>
    <row r="24">
      <c r="A24" s="7" t="inlineStr">
        <is>
          <t>Hệ số mái đoạn dưới m₂</t>
        </is>
      </c>
      <c r="B24" s="8" t="n">
        <v>3.5</v>
      </c>
      <c r="C24" s="9" t="inlineStr">
        <is>
          <t>–</t>
        </is>
      </c>
      <c r="D24" s="10" t="inlineStr">
        <is>
          <t>Từ cơ xuống đỉnh lăng trụ</t>
        </is>
      </c>
    </row>
    <row r="25">
      <c r="A25" s="7" t="inlineStr">
        <is>
          <t>sinβ₁ = 1/√(1 + m₁²)</t>
        </is>
      </c>
      <c r="B25" s="16">
        <f>1/SQRT(1+m_tren^2)</f>
        <v/>
      </c>
      <c r="C25" s="9" t="inlineStr">
        <is>
          <t>–</t>
        </is>
      </c>
      <c r="D25" s="10" t="inlineStr">
        <is>
          <t>β₁ = 18,43°</t>
        </is>
      </c>
    </row>
    <row r="26">
      <c r="A26" s="7" t="inlineStr">
        <is>
          <t>sinβ₂ = 1/√(1 + m₂²)</t>
        </is>
      </c>
      <c r="B26" s="16">
        <f>1/SQRT(1+m_duoi^2)</f>
        <v/>
      </c>
      <c r="C26" s="9" t="inlineStr">
        <is>
          <t>–</t>
        </is>
      </c>
      <c r="D26" s="10" t="inlineStr">
        <is>
          <t>β₂ = 15,95°</t>
        </is>
      </c>
    </row>
    <row r="27">
      <c r="A27" s="7" t="inlineStr">
        <is>
          <t>Chiều dài đoạn mái trên (dọc mái)</t>
        </is>
      </c>
      <c r="B27" s="17">
        <f>(Z_dinh-Z_co)*SQRT(1+m_tren^2)</f>
        <v/>
      </c>
      <c r="C27" s="9" t="inlineStr">
        <is>
          <t>m</t>
        </is>
      </c>
      <c r="D27" s="10" t="inlineStr">
        <is>
          <t>Đường chảy khi chưa có rãnh</t>
        </is>
      </c>
    </row>
    <row r="28">
      <c r="A28" s="7" t="inlineStr">
        <is>
          <t>Chiều dài đoạn mái dưới (dọc mái)</t>
        </is>
      </c>
      <c r="B28" s="17">
        <f>(Z_co-Z_ltr)*SQRT(1+m_duoi^2)</f>
        <v/>
      </c>
      <c r="C28" s="9" t="inlineStr">
        <is>
          <t>m</t>
        </is>
      </c>
      <c r="D28" s="10" t="inlineStr"/>
    </row>
    <row r="29">
      <c r="A29" s="7" t="inlineStr">
        <is>
          <t>Cạnh ô rãnh a</t>
        </is>
      </c>
      <c r="B29" s="11" t="n">
        <v>4</v>
      </c>
      <c r="C29" s="9" t="inlineStr">
        <is>
          <t>m</t>
        </is>
      </c>
      <c r="D29" s="10" t="inlineStr">
        <is>
          <t>Ô 4 × 4 m (TKCS, Hình 3.2), đặt xoay 45°</t>
        </is>
      </c>
    </row>
    <row r="30">
      <c r="A30" s="7" t="inlineStr">
        <is>
          <t>Đường chéo ô a·√2</t>
        </is>
      </c>
      <c r="B30" s="17">
        <f>a_o*SQRT(2)</f>
        <v/>
      </c>
      <c r="C30" s="9" t="inlineStr">
        <is>
          <t>m</t>
        </is>
      </c>
      <c r="D30" s="10" t="inlineStr">
        <is>
          <t>Đường chảy dài nhất trong ô (theo đường dốc nhất)</t>
        </is>
      </c>
    </row>
    <row r="32">
      <c r="A32" s="2" t="inlineStr">
        <is>
          <t>D. ỨNG SUẤT TIẾP CHO PHÉP CỦA ĐẤT KHÔNG CÓ LỚP PHỦ (Chow [25])</t>
        </is>
      </c>
    </row>
    <row r="33">
      <c r="A33" s="6" t="inlineStr">
        <is>
          <t>Thông số</t>
        </is>
      </c>
      <c r="B33" s="6" t="inlineStr">
        <is>
          <t>Giá trị</t>
        </is>
      </c>
      <c r="C33" s="6" t="inlineStr">
        <is>
          <t>Đơn vị</t>
        </is>
      </c>
      <c r="D33" s="6" t="inlineStr">
        <is>
          <t>Ghi chú, nguồn</t>
        </is>
      </c>
    </row>
    <row r="34">
      <c r="A34" s="7" t="inlineStr">
        <is>
          <t>Đất pha cát</t>
        </is>
      </c>
      <c r="B34" s="8" t="n">
        <v>1.8</v>
      </c>
      <c r="C34" s="9" t="inlineStr">
        <is>
          <t>Pa</t>
        </is>
      </c>
      <c r="D34" s="10" t="inlineStr"/>
    </row>
    <row r="35">
      <c r="A35" s="7" t="inlineStr">
        <is>
          <t>Đất bụi</t>
        </is>
      </c>
      <c r="B35" s="8" t="n">
        <v>2.3</v>
      </c>
      <c r="C35" s="9" t="inlineStr">
        <is>
          <t>Pa</t>
        </is>
      </c>
      <c r="D35" s="10" t="inlineStr"/>
    </row>
    <row r="36">
      <c r="A36" s="7" t="inlineStr">
        <is>
          <t>Đất thịt chặt</t>
        </is>
      </c>
      <c r="B36" s="8" t="n">
        <v>3.6</v>
      </c>
      <c r="C36" s="9" t="inlineStr">
        <is>
          <t>Pa</t>
        </is>
      </c>
      <c r="D36" s="10" t="inlineStr">
        <is>
          <t>Khi cỏ đã phủ kín, mái chịu được ứng suất tiếp lớn hơn nhiều lần</t>
        </is>
      </c>
    </row>
  </sheetData>
  <pageMargins left="0.4" right="0.4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1BAF7A"/>
    <outlinePr summaryBelow="1" summaryRight="1"/>
    <pageSetUpPr fitToPage="1"/>
  </sheetPr>
  <dimension ref="A1:I31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10" customWidth="1" min="4" max="4"/>
    <col width="10" customWidth="1" min="5" max="5"/>
    <col width="10" customWidth="1" min="6" max="6"/>
    <col width="13" customWidth="1" min="7" max="7"/>
    <col width="30" customWidth="1" min="8" max="8"/>
    <col width="12" customWidth="1" min="9" max="9"/>
  </cols>
  <sheetData>
    <row r="1">
      <c r="A1" s="1" t="inlineStr">
        <is>
          <t>BẢNG 5.5 – ĐẶC TRƯNG DÒNG CHẢY TRÀN TRÊN MÁI HẠ LƯU THEO CHIỀU DÀI ĐƯỜNG CHẢY</t>
        </is>
      </c>
    </row>
    <row r="2">
      <c r="A2" s="18" t="inlineStr">
        <is>
          <t>q = C·i·L;  h = (q·n/√sinβ)^0,6;  v = q/h;  τ = γw·h·sinβ. Ô vàng chữ xanh (cột L) nhập được; dòng in đậm dùng để kết luận.</t>
        </is>
      </c>
    </row>
    <row r="4">
      <c r="A4" s="2" t="inlineStr">
        <is>
          <t>a) Đoạn mái trên m = 3,0 (đỉnh +78,85 → cơ +68,0) – đoạn quyết định, dùng cho Bảng 5.5</t>
        </is>
      </c>
    </row>
    <row r="5" ht="45" customHeight="1">
      <c r="A5" s="6" t="inlineStr">
        <is>
          <t>L (m)</t>
        </is>
      </c>
      <c r="B5" s="6" t="inlineStr">
        <is>
          <t>Ý nghĩa</t>
        </is>
      </c>
      <c r="C5" s="6" t="inlineStr">
        <is>
          <t>q = C·i·L (m²/s)</t>
        </is>
      </c>
      <c r="D5" s="6" t="inlineStr">
        <is>
          <t>h (mm)</t>
        </is>
      </c>
      <c r="E5" s="6" t="inlineStr">
        <is>
          <t>v (m/s)</t>
        </is>
      </c>
      <c r="F5" s="6" t="inlineStr">
        <is>
          <t>τ (Pa)</t>
        </is>
      </c>
      <c r="G5" s="6" t="inlineStr">
        <is>
          <t>Mức giảm so với cả đoạn mái (lần)</t>
        </is>
      </c>
      <c r="H5" s="6" t="inlineStr">
        <is>
          <t>So với ứng suất tiếp cho phép</t>
        </is>
      </c>
      <c r="I5" s="6" t="inlineStr">
        <is>
          <t>Thời gian tập trung (s)</t>
        </is>
      </c>
    </row>
    <row r="6">
      <c r="A6" s="9">
        <f>a_o</f>
        <v/>
      </c>
      <c r="B6" s="19" t="inlineStr">
        <is>
          <t>Cạnh ô 4 × 4 m (tham khảo)</t>
        </is>
      </c>
      <c r="C6" s="20">
        <f>HS_C*i_ms*A6</f>
        <v/>
      </c>
      <c r="D6" s="21">
        <f>1000*(C6*HS_n/SQRT(sin_tren))^0.6</f>
        <v/>
      </c>
      <c r="E6" s="21">
        <f>C6/(D6/1000)</f>
        <v/>
      </c>
      <c r="F6" s="22">
        <f>Gamma_w*D6/1000*sin_tren</f>
        <v/>
      </c>
      <c r="G6" s="23">
        <f>F$10/F6</f>
        <v/>
      </c>
      <c r="H6" s="19">
        <f>IF(F6&lt;=tau_cat,"Nhỏ hơn [τ] đất pha cát",IF(F6&lt;=tau_bui,"Nhỏ hơn [τ] đất bụi",IF(F6&lt;=tau_thit,"Nhỏ hơn [τ] đất thịt chặt","Lớn hơn [τ] mọi loại đất trống")))</f>
        <v/>
      </c>
      <c r="I6" s="24">
        <f>(HS_n*A6/SQRT(sin_tren))^0.6/(HS_C*i_ms)^0.4</f>
        <v/>
      </c>
    </row>
    <row r="7">
      <c r="A7" s="25">
        <f>L_cheo</f>
        <v/>
      </c>
      <c r="B7" s="26" t="inlineStr">
        <is>
          <t>Đường chéo ô – đường chảy tính toán sau sửa chữa</t>
        </is>
      </c>
      <c r="C7" s="27">
        <f>HS_C*i_ms*A7</f>
        <v/>
      </c>
      <c r="D7" s="25">
        <f>1000*(C7*HS_n/SQRT(sin_tren))^0.6</f>
        <v/>
      </c>
      <c r="E7" s="25">
        <f>C7/(D7/1000)</f>
        <v/>
      </c>
      <c r="F7" s="17">
        <f>Gamma_w*D7/1000*sin_tren</f>
        <v/>
      </c>
      <c r="G7" s="28">
        <f>F$10/F7</f>
        <v/>
      </c>
      <c r="H7" s="26">
        <f>IF(F7&lt;=tau_cat,"Nhỏ hơn [τ] đất pha cát",IF(F7&lt;=tau_bui,"Nhỏ hơn [τ] đất bụi",IF(F7&lt;=tau_thit,"Nhỏ hơn [τ] đất thịt chặt","Lớn hơn [τ] mọi loại đất trống")))</f>
        <v/>
      </c>
      <c r="I7" s="29">
        <f>(HS_n*A7/SQRT(sin_tren))^0.6/(HS_C*i_ms)^0.4</f>
        <v/>
      </c>
    </row>
    <row r="8">
      <c r="A8" s="30" t="n">
        <v>8</v>
      </c>
      <c r="B8" s="19" t="inlineStr">
        <is>
          <t>Thêm 3 rãnh ngang (so sánh)</t>
        </is>
      </c>
      <c r="C8" s="20">
        <f>HS_C*i_ms*A8</f>
        <v/>
      </c>
      <c r="D8" s="21">
        <f>1000*(C8*HS_n/SQRT(sin_tren))^0.6</f>
        <v/>
      </c>
      <c r="E8" s="21">
        <f>C8/(D8/1000)</f>
        <v/>
      </c>
      <c r="F8" s="22">
        <f>Gamma_w*D8/1000*sin_tren</f>
        <v/>
      </c>
      <c r="G8" s="23">
        <f>F$10/F8</f>
        <v/>
      </c>
      <c r="H8" s="19">
        <f>IF(F8&lt;=tau_cat,"Nhỏ hơn [τ] đất pha cát",IF(F8&lt;=tau_bui,"Nhỏ hơn [τ] đất bụi",IF(F8&lt;=tau_thit,"Nhỏ hơn [τ] đất thịt chặt","Lớn hơn [τ] mọi loại đất trống")))</f>
        <v/>
      </c>
      <c r="I8" s="24">
        <f>(HS_n*A8/SQRT(sin_tren))^0.6/(HS_C*i_ms)^0.4</f>
        <v/>
      </c>
    </row>
    <row r="9">
      <c r="A9" s="30" t="n">
        <v>17</v>
      </c>
      <c r="B9" s="19" t="inlineStr">
        <is>
          <t>Thêm 1 rãnh ngang giữa mái (so sánh)</t>
        </is>
      </c>
      <c r="C9" s="20">
        <f>HS_C*i_ms*A9</f>
        <v/>
      </c>
      <c r="D9" s="21">
        <f>1000*(C9*HS_n/SQRT(sin_tren))^0.6</f>
        <v/>
      </c>
      <c r="E9" s="21">
        <f>C9/(D9/1000)</f>
        <v/>
      </c>
      <c r="F9" s="22">
        <f>Gamma_w*D9/1000*sin_tren</f>
        <v/>
      </c>
      <c r="G9" s="23">
        <f>F$10/F9</f>
        <v/>
      </c>
      <c r="H9" s="19">
        <f>IF(F9&lt;=tau_cat,"Nhỏ hơn [τ] đất pha cát",IF(F9&lt;=tau_bui,"Nhỏ hơn [τ] đất bụi",IF(F9&lt;=tau_thit,"Nhỏ hơn [τ] đất thịt chặt","Lớn hơn [τ] mọi loại đất trống")))</f>
        <v/>
      </c>
      <c r="I9" s="24">
        <f>(HS_n*A9/SQRT(sin_tren))^0.6/(HS_C*i_ms)^0.4</f>
        <v/>
      </c>
    </row>
    <row r="10">
      <c r="A10" s="31">
        <f>ROUND(L_tren,0)</f>
        <v/>
      </c>
      <c r="B10" s="26" t="inlineStr">
        <is>
          <t>Cả đoạn mái, chưa có rãnh – hiện trạng</t>
        </is>
      </c>
      <c r="C10" s="27">
        <f>HS_C*i_ms*A10</f>
        <v/>
      </c>
      <c r="D10" s="25">
        <f>1000*(C10*HS_n/SQRT(sin_tren))^0.6</f>
        <v/>
      </c>
      <c r="E10" s="25">
        <f>C10/(D10/1000)</f>
        <v/>
      </c>
      <c r="F10" s="17">
        <f>Gamma_w*D10/1000*sin_tren</f>
        <v/>
      </c>
      <c r="G10" s="28">
        <f>F$10/F10</f>
        <v/>
      </c>
      <c r="H10" s="26">
        <f>IF(F10&lt;=tau_cat,"Nhỏ hơn [τ] đất pha cát",IF(F10&lt;=tau_bui,"Nhỏ hơn [τ] đất bụi",IF(F10&lt;=tau_thit,"Nhỏ hơn [τ] đất thịt chặt","Lớn hơn [τ] mọi loại đất trống")))</f>
        <v/>
      </c>
      <c r="I10" s="29">
        <f>(HS_n*A10/SQRT(sin_tren))^0.6/(HS_C*i_ms)^0.4</f>
        <v/>
      </c>
    </row>
    <row r="13">
      <c r="A13" s="2" t="inlineStr">
        <is>
          <t>b) Đoạn mái dưới m = 3,5 (cơ +68,0 → đỉnh lăng trụ +59,0) – kiểm tra thêm</t>
        </is>
      </c>
    </row>
    <row r="14" ht="45" customHeight="1">
      <c r="A14" s="6" t="inlineStr">
        <is>
          <t>L (m)</t>
        </is>
      </c>
      <c r="B14" s="6" t="inlineStr">
        <is>
          <t>Ý nghĩa</t>
        </is>
      </c>
      <c r="C14" s="6" t="inlineStr">
        <is>
          <t>q = C·i·L (m²/s)</t>
        </is>
      </c>
      <c r="D14" s="6" t="inlineStr">
        <is>
          <t>h (mm)</t>
        </is>
      </c>
      <c r="E14" s="6" t="inlineStr">
        <is>
          <t>v (m/s)</t>
        </is>
      </c>
      <c r="F14" s="6" t="inlineStr">
        <is>
          <t>τ (Pa)</t>
        </is>
      </c>
      <c r="G14" s="6" t="inlineStr">
        <is>
          <t>Mức giảm so với cả đoạn mái (lần)</t>
        </is>
      </c>
      <c r="H14" s="6" t="inlineStr">
        <is>
          <t>So với ứng suất tiếp cho phép</t>
        </is>
      </c>
      <c r="I14" s="6" t="inlineStr">
        <is>
          <t>Thời gian tập trung (s)</t>
        </is>
      </c>
    </row>
    <row r="15">
      <c r="A15" s="9">
        <f>a_o</f>
        <v/>
      </c>
      <c r="B15" s="19" t="inlineStr">
        <is>
          <t>Cạnh ô 4 × 4 m (tham khảo)</t>
        </is>
      </c>
      <c r="C15" s="20">
        <f>HS_C*i_ms*A15</f>
        <v/>
      </c>
      <c r="D15" s="21">
        <f>1000*(C15*HS_n/SQRT(sin_duoi))^0.6</f>
        <v/>
      </c>
      <c r="E15" s="21">
        <f>C15/(D15/1000)</f>
        <v/>
      </c>
      <c r="F15" s="22">
        <f>Gamma_w*D15/1000*sin_duoi</f>
        <v/>
      </c>
      <c r="G15" s="23">
        <f>F$19/F15</f>
        <v/>
      </c>
      <c r="H15" s="19">
        <f>IF(F15&lt;=tau_cat,"Nhỏ hơn [τ] đất pha cát",IF(F15&lt;=tau_bui,"Nhỏ hơn [τ] đất bụi",IF(F15&lt;=tau_thit,"Nhỏ hơn [τ] đất thịt chặt","Lớn hơn [τ] mọi loại đất trống")))</f>
        <v/>
      </c>
      <c r="I15" s="24">
        <f>(HS_n*A15/SQRT(sin_duoi))^0.6/(HS_C*i_ms)^0.4</f>
        <v/>
      </c>
    </row>
    <row r="16">
      <c r="A16" s="25">
        <f>L_cheo</f>
        <v/>
      </c>
      <c r="B16" s="26" t="inlineStr">
        <is>
          <t>Đường chéo ô – đường chảy tính toán sau sửa chữa</t>
        </is>
      </c>
      <c r="C16" s="27">
        <f>HS_C*i_ms*A16</f>
        <v/>
      </c>
      <c r="D16" s="25">
        <f>1000*(C16*HS_n/SQRT(sin_duoi))^0.6</f>
        <v/>
      </c>
      <c r="E16" s="25">
        <f>C16/(D16/1000)</f>
        <v/>
      </c>
      <c r="F16" s="17">
        <f>Gamma_w*D16/1000*sin_duoi</f>
        <v/>
      </c>
      <c r="G16" s="28">
        <f>F$19/F16</f>
        <v/>
      </c>
      <c r="H16" s="26">
        <f>IF(F16&lt;=tau_cat,"Nhỏ hơn [τ] đất pha cát",IF(F16&lt;=tau_bui,"Nhỏ hơn [τ] đất bụi",IF(F16&lt;=tau_thit,"Nhỏ hơn [τ] đất thịt chặt","Lớn hơn [τ] mọi loại đất trống")))</f>
        <v/>
      </c>
      <c r="I16" s="29">
        <f>(HS_n*A16/SQRT(sin_duoi))^0.6/(HS_C*i_ms)^0.4</f>
        <v/>
      </c>
    </row>
    <row r="17">
      <c r="A17" s="30" t="n">
        <v>8</v>
      </c>
      <c r="B17" s="19" t="inlineStr">
        <is>
          <t>Thêm 3 rãnh ngang (so sánh)</t>
        </is>
      </c>
      <c r="C17" s="20">
        <f>HS_C*i_ms*A17</f>
        <v/>
      </c>
      <c r="D17" s="21">
        <f>1000*(C17*HS_n/SQRT(sin_duoi))^0.6</f>
        <v/>
      </c>
      <c r="E17" s="21">
        <f>C17/(D17/1000)</f>
        <v/>
      </c>
      <c r="F17" s="22">
        <f>Gamma_w*D17/1000*sin_duoi</f>
        <v/>
      </c>
      <c r="G17" s="23">
        <f>F$19/F17</f>
        <v/>
      </c>
      <c r="H17" s="19">
        <f>IF(F17&lt;=tau_cat,"Nhỏ hơn [τ] đất pha cát",IF(F17&lt;=tau_bui,"Nhỏ hơn [τ] đất bụi",IF(F17&lt;=tau_thit,"Nhỏ hơn [τ] đất thịt chặt","Lớn hơn [τ] mọi loại đất trống")))</f>
        <v/>
      </c>
      <c r="I17" s="24">
        <f>(HS_n*A17/SQRT(sin_duoi))^0.6/(HS_C*i_ms)^0.4</f>
        <v/>
      </c>
    </row>
    <row r="18">
      <c r="A18" s="30" t="n">
        <v>17</v>
      </c>
      <c r="B18" s="19" t="inlineStr">
        <is>
          <t>Thêm 1 rãnh ngang giữa mái (so sánh)</t>
        </is>
      </c>
      <c r="C18" s="20">
        <f>HS_C*i_ms*A18</f>
        <v/>
      </c>
      <c r="D18" s="21">
        <f>1000*(C18*HS_n/SQRT(sin_duoi))^0.6</f>
        <v/>
      </c>
      <c r="E18" s="21">
        <f>C18/(D18/1000)</f>
        <v/>
      </c>
      <c r="F18" s="22">
        <f>Gamma_w*D18/1000*sin_duoi</f>
        <v/>
      </c>
      <c r="G18" s="23">
        <f>F$19/F18</f>
        <v/>
      </c>
      <c r="H18" s="19">
        <f>IF(F18&lt;=tau_cat,"Nhỏ hơn [τ] đất pha cát",IF(F18&lt;=tau_bui,"Nhỏ hơn [τ] đất bụi",IF(F18&lt;=tau_thit,"Nhỏ hơn [τ] đất thịt chặt","Lớn hơn [τ] mọi loại đất trống")))</f>
        <v/>
      </c>
      <c r="I18" s="24">
        <f>(HS_n*A18/SQRT(sin_duoi))^0.6/(HS_C*i_ms)^0.4</f>
        <v/>
      </c>
    </row>
    <row r="19">
      <c r="A19" s="31">
        <f>ROUND(L_duoi,1)</f>
        <v/>
      </c>
      <c r="B19" s="26" t="inlineStr">
        <is>
          <t>Cả đoạn mái, chưa có rãnh</t>
        </is>
      </c>
      <c r="C19" s="27">
        <f>HS_C*i_ms*A19</f>
        <v/>
      </c>
      <c r="D19" s="25">
        <f>1000*(C19*HS_n/SQRT(sin_duoi))^0.6</f>
        <v/>
      </c>
      <c r="E19" s="25">
        <f>C19/(D19/1000)</f>
        <v/>
      </c>
      <c r="F19" s="17">
        <f>Gamma_w*D19/1000*sin_duoi</f>
        <v/>
      </c>
      <c r="G19" s="28">
        <f>F$19/F19</f>
        <v/>
      </c>
      <c r="H19" s="26">
        <f>IF(F19&lt;=tau_cat,"Nhỏ hơn [τ] đất pha cát",IF(F19&lt;=tau_bui,"Nhỏ hơn [τ] đất bụi",IF(F19&lt;=tau_thit,"Nhỏ hơn [τ] đất thịt chặt","Lớn hơn [τ] mọi loại đất trống")))</f>
        <v/>
      </c>
      <c r="I19" s="29">
        <f>(HS_n*A19/SQRT(sin_duoi))^0.6/(HS_C*i_ms)^0.4</f>
        <v/>
      </c>
    </row>
    <row r="22">
      <c r="A22" s="2" t="inlineStr">
        <is>
          <t>c) Tổng hợp mức giảm ứng suất tiếp nhờ chia ô 4 × 4 m</t>
        </is>
      </c>
    </row>
    <row r="23" ht="30" customHeight="1">
      <c r="A23" s="6" t="inlineStr"/>
      <c r="B23" s="6" t="inlineStr">
        <is>
          <t>Nội dung</t>
        </is>
      </c>
      <c r="C23" s="6" t="inlineStr">
        <is>
          <t>Đoạn trên m = 3,0</t>
        </is>
      </c>
      <c r="D23" s="6" t="inlineStr">
        <is>
          <t>Đoạn dưới m = 3,5</t>
        </is>
      </c>
    </row>
    <row r="24">
      <c r="A24" s="9" t="n">
        <v>1</v>
      </c>
      <c r="B24" s="19" t="inlineStr">
        <is>
          <t>τ cả đoạn mái, chưa có rãnh (Pa)</t>
        </is>
      </c>
      <c r="C24" s="17">
        <f>F10</f>
        <v/>
      </c>
      <c r="D24" s="17">
        <f>F19</f>
        <v/>
      </c>
    </row>
    <row r="25">
      <c r="A25" s="9" t="n">
        <v>2</v>
      </c>
      <c r="B25" s="19" t="inlineStr">
        <is>
          <t>τ trên ô, theo đường chéo (Pa)</t>
        </is>
      </c>
      <c r="C25" s="17">
        <f>F7</f>
        <v/>
      </c>
      <c r="D25" s="17">
        <f>F16</f>
        <v/>
      </c>
    </row>
    <row r="26">
      <c r="A26" s="9" t="n">
        <v>3</v>
      </c>
      <c r="B26" s="19" t="inlineStr">
        <is>
          <t>Mức giảm theo đường chéo ô (lần)</t>
        </is>
      </c>
      <c r="C26" s="12">
        <f>G7</f>
        <v/>
      </c>
      <c r="D26" s="12">
        <f>G16</f>
        <v/>
      </c>
    </row>
    <row r="27">
      <c r="A27" s="9" t="n">
        <v>4</v>
      </c>
      <c r="B27" s="19" t="inlineStr">
        <is>
          <t>Mức giảm theo cạnh ô (lần)</t>
        </is>
      </c>
      <c r="C27" s="12">
        <f>G6</f>
        <v/>
      </c>
      <c r="D27" s="12">
        <f>G15</f>
        <v/>
      </c>
    </row>
    <row r="28">
      <c r="A28" s="9" t="n">
        <v>5</v>
      </c>
      <c r="B28" s="19" t="inlineStr">
        <is>
          <t>Kiểm tra: (L cả mái / L chéo)^0,6 – không phụ thuộc C, i, n</t>
        </is>
      </c>
      <c r="C28" s="17">
        <f>(A10/A7)^0.6</f>
        <v/>
      </c>
      <c r="D28" s="17">
        <f>(A19/A16)^0.6</f>
        <v/>
      </c>
    </row>
    <row r="30">
      <c r="A30" s="18" t="inlineStr">
        <is>
          <t>Ghi chú: cột "Mức giảm" = τ cả đoạn mái / τ của dòng đó. Thời gian tập trung nước trên mái chỉ 0,5 ÷ 2 phút nên dòng chảy ổn định ngay trong trận mưa – công thức (5-1) áp dụng được.</t>
        </is>
      </c>
    </row>
    <row r="31">
      <c r="A31" s="18" t="inlineStr">
        <is>
          <t>Rãnh ngang trên cơ +68,0 phải được duy tu thông thoáng: nếu bị lấp, nước của đoạn mái trên và mặt cơ tràn xuống đoạn dưới (đường chảy ≈ 81 m) làm τ ở chân mái dưới tăng tới khoảng 10 Pa.</t>
        </is>
      </c>
    </row>
  </sheetData>
  <pageMargins left="0.4" right="0.4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2A78D6"/>
    <outlinePr summaryBelow="1" summaryRight="1"/>
    <pageSetUpPr fitToPage="1"/>
  </sheetPr>
  <dimension ref="A1:H10"/>
  <sheetViews>
    <sheetView tabSelected="0"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2" customWidth="1" min="3" max="3"/>
    <col width="9" customWidth="1" min="4" max="4"/>
    <col width="11" customWidth="1" min="5" max="5"/>
    <col width="15" customWidth="1" min="6" max="6"/>
    <col width="15" customWidth="1" min="7" max="7"/>
    <col width="13" customWidth="1" min="8" max="8"/>
  </cols>
  <sheetData>
    <row r="1">
      <c r="A1" s="1" t="inlineStr">
        <is>
          <t>ĐỘ NHẠY THEO CÁC THÔNG SỐ GIẢ THIẾT (đoạn mái trên m = 3,0)</t>
        </is>
      </c>
    </row>
    <row r="2">
      <c r="A2" s="18" t="inlineStr">
        <is>
          <t>Ô vàng: thông số của từng trường hợp (sửa được). τ = γw·(C·i·n·L/√sinβ)^0,6·sinβ. Mức giảm không đổi khi C, i, n thay đổi.</t>
        </is>
      </c>
    </row>
    <row r="4" ht="45" customHeight="1">
      <c r="A4" s="6" t="inlineStr">
        <is>
          <t>Trường hợp</t>
        </is>
      </c>
      <c r="B4" s="6" t="inlineStr">
        <is>
          <t>C</t>
        </is>
      </c>
      <c r="C4" s="6" t="inlineStr">
        <is>
          <t>Tỷ lệ mưa 30 phút</t>
        </is>
      </c>
      <c r="D4" s="6" t="inlineStr">
        <is>
          <t>n</t>
        </is>
      </c>
      <c r="E4" s="6" t="inlineStr">
        <is>
          <t>i (mm/h)</t>
        </is>
      </c>
      <c r="F4" s="6" t="inlineStr">
        <is>
          <t>τ trên ô – đường chéo (Pa)</t>
        </is>
      </c>
      <c r="G4" s="6" t="inlineStr">
        <is>
          <t>τ cả đoạn mái (Pa)</t>
        </is>
      </c>
      <c r="H4" s="6" t="inlineStr">
        <is>
          <t>Mức giảm (lần)</t>
        </is>
      </c>
    </row>
    <row r="5">
      <c r="A5" s="26" t="inlineStr">
        <is>
          <t>Cơ sở (như sheet SoLieu)</t>
        </is>
      </c>
      <c r="B5" s="21">
        <f>HS_C</f>
        <v/>
      </c>
      <c r="C5" s="21">
        <f>Ty_le_mua</f>
        <v/>
      </c>
      <c r="D5" s="32">
        <f>HS_n</f>
        <v/>
      </c>
      <c r="E5" s="23">
        <f>Mua_ngay*C5/T_mua</f>
        <v/>
      </c>
      <c r="F5" s="17">
        <f>Gamma_w*(B5*E5/3600000*Bang5_5!$A$7*D5/SQRT(sin_tren))^0.6*sin_tren</f>
        <v/>
      </c>
      <c r="G5" s="17">
        <f>Gamma_w*(B5*E5/3600000*Bang5_5!$A$10*D5/SQRT(sin_tren))^0.6*sin_tren</f>
        <v/>
      </c>
      <c r="H5" s="21">
        <f>G5/F5</f>
        <v/>
      </c>
    </row>
    <row r="6">
      <c r="A6" s="19" t="inlineStr">
        <is>
          <t>Mưa 30 phút = 20% mưa ngày</t>
        </is>
      </c>
      <c r="B6" s="21">
        <f>HS_C</f>
        <v/>
      </c>
      <c r="C6" s="11" t="n">
        <v>0.2</v>
      </c>
      <c r="D6" s="32">
        <f>HS_n</f>
        <v/>
      </c>
      <c r="E6" s="23">
        <f>Mua_ngay*C6/T_mua</f>
        <v/>
      </c>
      <c r="F6" s="17">
        <f>Gamma_w*(B6*E6/3600000*Bang5_5!$A$7*D6/SQRT(sin_tren))^0.6*sin_tren</f>
        <v/>
      </c>
      <c r="G6" s="17">
        <f>Gamma_w*(B6*E6/3600000*Bang5_5!$A$10*D6/SQRT(sin_tren))^0.6*sin_tren</f>
        <v/>
      </c>
      <c r="H6" s="21">
        <f>G6/F6</f>
        <v/>
      </c>
    </row>
    <row r="7">
      <c r="A7" s="19" t="inlineStr">
        <is>
          <t>Mưa 30 phút = 40% mưa ngày</t>
        </is>
      </c>
      <c r="B7" s="21">
        <f>HS_C</f>
        <v/>
      </c>
      <c r="C7" s="11" t="n">
        <v>0.4</v>
      </c>
      <c r="D7" s="32">
        <f>HS_n</f>
        <v/>
      </c>
      <c r="E7" s="23">
        <f>Mua_ngay*C7/T_mua</f>
        <v/>
      </c>
      <c r="F7" s="17">
        <f>Gamma_w*(B7*E7/3600000*Bang5_5!$A$7*D7/SQRT(sin_tren))^0.6*sin_tren</f>
        <v/>
      </c>
      <c r="G7" s="17">
        <f>Gamma_w*(B7*E7/3600000*Bang5_5!$A$10*D7/SQRT(sin_tren))^0.6*sin_tren</f>
        <v/>
      </c>
      <c r="H7" s="21">
        <f>G7/F7</f>
        <v/>
      </c>
    </row>
    <row r="8">
      <c r="A8" s="19" t="inlineStr">
        <is>
          <t>Đất gần như không thấm, C = 0,9</t>
        </is>
      </c>
      <c r="B8" s="11" t="n">
        <v>0.9</v>
      </c>
      <c r="C8" s="21">
        <f>Ty_le_mua</f>
        <v/>
      </c>
      <c r="D8" s="32">
        <f>HS_n</f>
        <v/>
      </c>
      <c r="E8" s="23">
        <f>Mua_ngay*C8/T_mua</f>
        <v/>
      </c>
      <c r="F8" s="17">
        <f>Gamma_w*(B8*E8/3600000*Bang5_5!$A$7*D8/SQRT(sin_tren))^0.6*sin_tren</f>
        <v/>
      </c>
      <c r="G8" s="17">
        <f>Gamma_w*(B8*E8/3600000*Bang5_5!$A$10*D8/SQRT(sin_tren))^0.6*sin_tren</f>
        <v/>
      </c>
      <c r="H8" s="21">
        <f>G8/F8</f>
        <v/>
      </c>
    </row>
    <row r="9">
      <c r="A9" s="19" t="inlineStr">
        <is>
          <t>Mặt đất trơn, n = 0,011</t>
        </is>
      </c>
      <c r="B9" s="21">
        <f>HS_C</f>
        <v/>
      </c>
      <c r="C9" s="21">
        <f>Ty_le_mua</f>
        <v/>
      </c>
      <c r="D9" s="14" t="n">
        <v>0.011</v>
      </c>
      <c r="E9" s="23">
        <f>Mua_ngay*C9/T_mua</f>
        <v/>
      </c>
      <c r="F9" s="17">
        <f>Gamma_w*(B9*E9/3600000*Bang5_5!$A$7*D9/SQRT(sin_tren))^0.6*sin_tren</f>
        <v/>
      </c>
      <c r="G9" s="17">
        <f>Gamma_w*(B9*E9/3600000*Bang5_5!$A$10*D9/SQRT(sin_tren))^0.6*sin_tren</f>
        <v/>
      </c>
      <c r="H9" s="21">
        <f>G9/F9</f>
        <v/>
      </c>
    </row>
    <row r="10">
      <c r="A10" s="19" t="inlineStr">
        <is>
          <t>Mặt đất gồ ghề, n = 0,05</t>
        </is>
      </c>
      <c r="B10" s="21">
        <f>HS_C</f>
        <v/>
      </c>
      <c r="C10" s="21">
        <f>Ty_le_mua</f>
        <v/>
      </c>
      <c r="D10" s="14" t="n">
        <v>0.05</v>
      </c>
      <c r="E10" s="23">
        <f>Mua_ngay*C10/T_mua</f>
        <v/>
      </c>
      <c r="F10" s="17">
        <f>Gamma_w*(B10*E10/3600000*Bang5_5!$A$7*D10/SQRT(sin_tren))^0.6*sin_tren</f>
        <v/>
      </c>
      <c r="G10" s="17">
        <f>Gamma_w*(B10*E10/3600000*Bang5_5!$A$10*D10/SQRT(sin_tren))^0.6*sin_tren</f>
        <v/>
      </c>
      <c r="H10" s="21">
        <f>G10/F10</f>
        <v/>
      </c>
    </row>
  </sheetData>
  <pageMargins left="0.4" right="0.4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8A8984"/>
    <outlinePr summaryBelow="1" summaryRight="1"/>
    <pageSetUpPr fitToPage="1"/>
  </sheetPr>
  <dimension ref="A1:F38"/>
  <sheetViews>
    <sheetView tabSelected="0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ỨNG SUẤT TIẾP THEO CHIỀU DÀI ĐƯỜNG CHẢY (số liệu vẽ biểu đồ – công thức)</t>
        </is>
      </c>
    </row>
    <row r="3" ht="45" customHeight="1">
      <c r="A3" s="6" t="inlineStr">
        <is>
          <t>L (m)</t>
        </is>
      </c>
      <c r="B3" s="6" t="inlineStr">
        <is>
          <t>τ mái m = 3,0 (Pa)</t>
        </is>
      </c>
      <c r="C3" s="6" t="inlineStr">
        <is>
          <t>τ mái m = 3,5 (Pa)</t>
        </is>
      </c>
      <c r="D3" s="6" t="inlineStr">
        <is>
          <t>[τ] đất pha cát</t>
        </is>
      </c>
      <c r="E3" s="6" t="inlineStr">
        <is>
          <t>[τ] đất bụi</t>
        </is>
      </c>
      <c r="F3" s="6" t="inlineStr">
        <is>
          <t>[τ] đất thịt chặt</t>
        </is>
      </c>
    </row>
    <row r="4">
      <c r="A4" s="24" t="n">
        <v>1</v>
      </c>
      <c r="B4" s="21">
        <f>Gamma_w*(HS_C*i_ms*A4*HS_n/SQRT(sin_tren))^0.6*sin_tren</f>
        <v/>
      </c>
      <c r="C4" s="21">
        <f>Gamma_w*(HS_C*i_ms*A4*HS_n/SQRT(sin_duoi))^0.6*sin_duoi</f>
        <v/>
      </c>
      <c r="D4" s="23">
        <f>tau_cat</f>
        <v/>
      </c>
      <c r="E4" s="23">
        <f>tau_bui</f>
        <v/>
      </c>
      <c r="F4" s="23">
        <f>tau_thit</f>
        <v/>
      </c>
    </row>
    <row r="5">
      <c r="A5" s="24" t="n">
        <v>2</v>
      </c>
      <c r="B5" s="21">
        <f>Gamma_w*(HS_C*i_ms*A5*HS_n/SQRT(sin_tren))^0.6*sin_tren</f>
        <v/>
      </c>
      <c r="C5" s="21">
        <f>Gamma_w*(HS_C*i_ms*A5*HS_n/SQRT(sin_duoi))^0.6*sin_duoi</f>
        <v/>
      </c>
      <c r="D5" s="23">
        <f>tau_cat</f>
        <v/>
      </c>
      <c r="E5" s="23">
        <f>tau_bui</f>
        <v/>
      </c>
      <c r="F5" s="23">
        <f>tau_thit</f>
        <v/>
      </c>
    </row>
    <row r="6">
      <c r="A6" s="24" t="n">
        <v>3</v>
      </c>
      <c r="B6" s="21">
        <f>Gamma_w*(HS_C*i_ms*A6*HS_n/SQRT(sin_tren))^0.6*sin_tren</f>
        <v/>
      </c>
      <c r="C6" s="21">
        <f>Gamma_w*(HS_C*i_ms*A6*HS_n/SQRT(sin_duoi))^0.6*sin_duoi</f>
        <v/>
      </c>
      <c r="D6" s="23">
        <f>tau_cat</f>
        <v/>
      </c>
      <c r="E6" s="23">
        <f>tau_bui</f>
        <v/>
      </c>
      <c r="F6" s="23">
        <f>tau_thit</f>
        <v/>
      </c>
    </row>
    <row r="7">
      <c r="A7" s="24" t="n">
        <v>4</v>
      </c>
      <c r="B7" s="21">
        <f>Gamma_w*(HS_C*i_ms*A7*HS_n/SQRT(sin_tren))^0.6*sin_tren</f>
        <v/>
      </c>
      <c r="C7" s="21">
        <f>Gamma_w*(HS_C*i_ms*A7*HS_n/SQRT(sin_duoi))^0.6*sin_duoi</f>
        <v/>
      </c>
      <c r="D7" s="23">
        <f>tau_cat</f>
        <v/>
      </c>
      <c r="E7" s="23">
        <f>tau_bui</f>
        <v/>
      </c>
      <c r="F7" s="23">
        <f>tau_thit</f>
        <v/>
      </c>
    </row>
    <row r="8">
      <c r="A8" s="24" t="n">
        <v>5</v>
      </c>
      <c r="B8" s="21">
        <f>Gamma_w*(HS_C*i_ms*A8*HS_n/SQRT(sin_tren))^0.6*sin_tren</f>
        <v/>
      </c>
      <c r="C8" s="21">
        <f>Gamma_w*(HS_C*i_ms*A8*HS_n/SQRT(sin_duoi))^0.6*sin_duoi</f>
        <v/>
      </c>
      <c r="D8" s="23">
        <f>tau_cat</f>
        <v/>
      </c>
      <c r="E8" s="23">
        <f>tau_bui</f>
        <v/>
      </c>
      <c r="F8" s="23">
        <f>tau_thit</f>
        <v/>
      </c>
    </row>
    <row r="9">
      <c r="A9" s="24" t="n">
        <v>6</v>
      </c>
      <c r="B9" s="21">
        <f>Gamma_w*(HS_C*i_ms*A9*HS_n/SQRT(sin_tren))^0.6*sin_tren</f>
        <v/>
      </c>
      <c r="C9" s="21">
        <f>Gamma_w*(HS_C*i_ms*A9*HS_n/SQRT(sin_duoi))^0.6*sin_duoi</f>
        <v/>
      </c>
      <c r="D9" s="23">
        <f>tau_cat</f>
        <v/>
      </c>
      <c r="E9" s="23">
        <f>tau_bui</f>
        <v/>
      </c>
      <c r="F9" s="23">
        <f>tau_thit</f>
        <v/>
      </c>
    </row>
    <row r="10">
      <c r="A10" s="24" t="n">
        <v>7</v>
      </c>
      <c r="B10" s="21">
        <f>Gamma_w*(HS_C*i_ms*A10*HS_n/SQRT(sin_tren))^0.6*sin_tren</f>
        <v/>
      </c>
      <c r="C10" s="21">
        <f>Gamma_w*(HS_C*i_ms*A10*HS_n/SQRT(sin_duoi))^0.6*sin_duoi</f>
        <v/>
      </c>
      <c r="D10" s="23">
        <f>tau_cat</f>
        <v/>
      </c>
      <c r="E10" s="23">
        <f>tau_bui</f>
        <v/>
      </c>
      <c r="F10" s="23">
        <f>tau_thit</f>
        <v/>
      </c>
    </row>
    <row r="11">
      <c r="A11" s="24" t="n">
        <v>8</v>
      </c>
      <c r="B11" s="21">
        <f>Gamma_w*(HS_C*i_ms*A11*HS_n/SQRT(sin_tren))^0.6*sin_tren</f>
        <v/>
      </c>
      <c r="C11" s="21">
        <f>Gamma_w*(HS_C*i_ms*A11*HS_n/SQRT(sin_duoi))^0.6*sin_duoi</f>
        <v/>
      </c>
      <c r="D11" s="23">
        <f>tau_cat</f>
        <v/>
      </c>
      <c r="E11" s="23">
        <f>tau_bui</f>
        <v/>
      </c>
      <c r="F11" s="23">
        <f>tau_thit</f>
        <v/>
      </c>
    </row>
    <row r="12">
      <c r="A12" s="24" t="n">
        <v>9</v>
      </c>
      <c r="B12" s="21">
        <f>Gamma_w*(HS_C*i_ms*A12*HS_n/SQRT(sin_tren))^0.6*sin_tren</f>
        <v/>
      </c>
      <c r="C12" s="21">
        <f>Gamma_w*(HS_C*i_ms*A12*HS_n/SQRT(sin_duoi))^0.6*sin_duoi</f>
        <v/>
      </c>
      <c r="D12" s="23">
        <f>tau_cat</f>
        <v/>
      </c>
      <c r="E12" s="23">
        <f>tau_bui</f>
        <v/>
      </c>
      <c r="F12" s="23">
        <f>tau_thit</f>
        <v/>
      </c>
    </row>
    <row r="13">
      <c r="A13" s="24" t="n">
        <v>10</v>
      </c>
      <c r="B13" s="21">
        <f>Gamma_w*(HS_C*i_ms*A13*HS_n/SQRT(sin_tren))^0.6*sin_tren</f>
        <v/>
      </c>
      <c r="C13" s="21">
        <f>Gamma_w*(HS_C*i_ms*A13*HS_n/SQRT(sin_duoi))^0.6*sin_duoi</f>
        <v/>
      </c>
      <c r="D13" s="23">
        <f>tau_cat</f>
        <v/>
      </c>
      <c r="E13" s="23">
        <f>tau_bui</f>
        <v/>
      </c>
      <c r="F13" s="23">
        <f>tau_thit</f>
        <v/>
      </c>
    </row>
    <row r="14">
      <c r="A14" s="24" t="n">
        <v>11</v>
      </c>
      <c r="B14" s="21">
        <f>Gamma_w*(HS_C*i_ms*A14*HS_n/SQRT(sin_tren))^0.6*sin_tren</f>
        <v/>
      </c>
      <c r="C14" s="21">
        <f>Gamma_w*(HS_C*i_ms*A14*HS_n/SQRT(sin_duoi))^0.6*sin_duoi</f>
        <v/>
      </c>
      <c r="D14" s="23">
        <f>tau_cat</f>
        <v/>
      </c>
      <c r="E14" s="23">
        <f>tau_bui</f>
        <v/>
      </c>
      <c r="F14" s="23">
        <f>tau_thit</f>
        <v/>
      </c>
    </row>
    <row r="15">
      <c r="A15" s="24" t="n">
        <v>12</v>
      </c>
      <c r="B15" s="21">
        <f>Gamma_w*(HS_C*i_ms*A15*HS_n/SQRT(sin_tren))^0.6*sin_tren</f>
        <v/>
      </c>
      <c r="C15" s="21">
        <f>Gamma_w*(HS_C*i_ms*A15*HS_n/SQRT(sin_duoi))^0.6*sin_duoi</f>
        <v/>
      </c>
      <c r="D15" s="23">
        <f>tau_cat</f>
        <v/>
      </c>
      <c r="E15" s="23">
        <f>tau_bui</f>
        <v/>
      </c>
      <c r="F15" s="23">
        <f>tau_thit</f>
        <v/>
      </c>
    </row>
    <row r="16">
      <c r="A16" s="24" t="n">
        <v>13</v>
      </c>
      <c r="B16" s="21">
        <f>Gamma_w*(HS_C*i_ms*A16*HS_n/SQRT(sin_tren))^0.6*sin_tren</f>
        <v/>
      </c>
      <c r="C16" s="21">
        <f>Gamma_w*(HS_C*i_ms*A16*HS_n/SQRT(sin_duoi))^0.6*sin_duoi</f>
        <v/>
      </c>
      <c r="D16" s="23">
        <f>tau_cat</f>
        <v/>
      </c>
      <c r="E16" s="23">
        <f>tau_bui</f>
        <v/>
      </c>
      <c r="F16" s="23">
        <f>tau_thit</f>
        <v/>
      </c>
    </row>
    <row r="17">
      <c r="A17" s="24" t="n">
        <v>14</v>
      </c>
      <c r="B17" s="21">
        <f>Gamma_w*(HS_C*i_ms*A17*HS_n/SQRT(sin_tren))^0.6*sin_tren</f>
        <v/>
      </c>
      <c r="C17" s="21">
        <f>Gamma_w*(HS_C*i_ms*A17*HS_n/SQRT(sin_duoi))^0.6*sin_duoi</f>
        <v/>
      </c>
      <c r="D17" s="23">
        <f>tau_cat</f>
        <v/>
      </c>
      <c r="E17" s="23">
        <f>tau_bui</f>
        <v/>
      </c>
      <c r="F17" s="23">
        <f>tau_thit</f>
        <v/>
      </c>
    </row>
    <row r="18">
      <c r="A18" s="24" t="n">
        <v>15</v>
      </c>
      <c r="B18" s="21">
        <f>Gamma_w*(HS_C*i_ms*A18*HS_n/SQRT(sin_tren))^0.6*sin_tren</f>
        <v/>
      </c>
      <c r="C18" s="21">
        <f>Gamma_w*(HS_C*i_ms*A18*HS_n/SQRT(sin_duoi))^0.6*sin_duoi</f>
        <v/>
      </c>
      <c r="D18" s="23">
        <f>tau_cat</f>
        <v/>
      </c>
      <c r="E18" s="23">
        <f>tau_bui</f>
        <v/>
      </c>
      <c r="F18" s="23">
        <f>tau_thit</f>
        <v/>
      </c>
    </row>
    <row r="19">
      <c r="A19" s="24" t="n">
        <v>16</v>
      </c>
      <c r="B19" s="21">
        <f>Gamma_w*(HS_C*i_ms*A19*HS_n/SQRT(sin_tren))^0.6*sin_tren</f>
        <v/>
      </c>
      <c r="C19" s="21">
        <f>Gamma_w*(HS_C*i_ms*A19*HS_n/SQRT(sin_duoi))^0.6*sin_duoi</f>
        <v/>
      </c>
      <c r="D19" s="23">
        <f>tau_cat</f>
        <v/>
      </c>
      <c r="E19" s="23">
        <f>tau_bui</f>
        <v/>
      </c>
      <c r="F19" s="23">
        <f>tau_thit</f>
        <v/>
      </c>
    </row>
    <row r="20">
      <c r="A20" s="24" t="n">
        <v>17</v>
      </c>
      <c r="B20" s="21">
        <f>Gamma_w*(HS_C*i_ms*A20*HS_n/SQRT(sin_tren))^0.6*sin_tren</f>
        <v/>
      </c>
      <c r="C20" s="21">
        <f>Gamma_w*(HS_C*i_ms*A20*HS_n/SQRT(sin_duoi))^0.6*sin_duoi</f>
        <v/>
      </c>
      <c r="D20" s="23">
        <f>tau_cat</f>
        <v/>
      </c>
      <c r="E20" s="23">
        <f>tau_bui</f>
        <v/>
      </c>
      <c r="F20" s="23">
        <f>tau_thit</f>
        <v/>
      </c>
    </row>
    <row r="21">
      <c r="A21" s="24" t="n">
        <v>18</v>
      </c>
      <c r="B21" s="21">
        <f>Gamma_w*(HS_C*i_ms*A21*HS_n/SQRT(sin_tren))^0.6*sin_tren</f>
        <v/>
      </c>
      <c r="C21" s="21">
        <f>Gamma_w*(HS_C*i_ms*A21*HS_n/SQRT(sin_duoi))^0.6*sin_duoi</f>
        <v/>
      </c>
      <c r="D21" s="23">
        <f>tau_cat</f>
        <v/>
      </c>
      <c r="E21" s="23">
        <f>tau_bui</f>
        <v/>
      </c>
      <c r="F21" s="23">
        <f>tau_thit</f>
        <v/>
      </c>
    </row>
    <row r="22">
      <c r="A22" s="24" t="n">
        <v>19</v>
      </c>
      <c r="B22" s="21">
        <f>Gamma_w*(HS_C*i_ms*A22*HS_n/SQRT(sin_tren))^0.6*sin_tren</f>
        <v/>
      </c>
      <c r="C22" s="21">
        <f>Gamma_w*(HS_C*i_ms*A22*HS_n/SQRT(sin_duoi))^0.6*sin_duoi</f>
        <v/>
      </c>
      <c r="D22" s="23">
        <f>tau_cat</f>
        <v/>
      </c>
      <c r="E22" s="23">
        <f>tau_bui</f>
        <v/>
      </c>
      <c r="F22" s="23">
        <f>tau_thit</f>
        <v/>
      </c>
    </row>
    <row r="23">
      <c r="A23" s="24" t="n">
        <v>20</v>
      </c>
      <c r="B23" s="21">
        <f>Gamma_w*(HS_C*i_ms*A23*HS_n/SQRT(sin_tren))^0.6*sin_tren</f>
        <v/>
      </c>
      <c r="C23" s="21">
        <f>Gamma_w*(HS_C*i_ms*A23*HS_n/SQRT(sin_duoi))^0.6*sin_duoi</f>
        <v/>
      </c>
      <c r="D23" s="23">
        <f>tau_cat</f>
        <v/>
      </c>
      <c r="E23" s="23">
        <f>tau_bui</f>
        <v/>
      </c>
      <c r="F23" s="23">
        <f>tau_thit</f>
        <v/>
      </c>
    </row>
    <row r="24">
      <c r="A24" s="24" t="n">
        <v>21</v>
      </c>
      <c r="B24" s="21">
        <f>Gamma_w*(HS_C*i_ms*A24*HS_n/SQRT(sin_tren))^0.6*sin_tren</f>
        <v/>
      </c>
      <c r="C24" s="21">
        <f>Gamma_w*(HS_C*i_ms*A24*HS_n/SQRT(sin_duoi))^0.6*sin_duoi</f>
        <v/>
      </c>
      <c r="D24" s="23">
        <f>tau_cat</f>
        <v/>
      </c>
      <c r="E24" s="23">
        <f>tau_bui</f>
        <v/>
      </c>
      <c r="F24" s="23">
        <f>tau_thit</f>
        <v/>
      </c>
    </row>
    <row r="25">
      <c r="A25" s="24" t="n">
        <v>22</v>
      </c>
      <c r="B25" s="21">
        <f>Gamma_w*(HS_C*i_ms*A25*HS_n/SQRT(sin_tren))^0.6*sin_tren</f>
        <v/>
      </c>
      <c r="C25" s="21">
        <f>Gamma_w*(HS_C*i_ms*A25*HS_n/SQRT(sin_duoi))^0.6*sin_duoi</f>
        <v/>
      </c>
      <c r="D25" s="23">
        <f>tau_cat</f>
        <v/>
      </c>
      <c r="E25" s="23">
        <f>tau_bui</f>
        <v/>
      </c>
      <c r="F25" s="23">
        <f>tau_thit</f>
        <v/>
      </c>
    </row>
    <row r="26">
      <c r="A26" s="24" t="n">
        <v>23</v>
      </c>
      <c r="B26" s="21">
        <f>Gamma_w*(HS_C*i_ms*A26*HS_n/SQRT(sin_tren))^0.6*sin_tren</f>
        <v/>
      </c>
      <c r="C26" s="21">
        <f>Gamma_w*(HS_C*i_ms*A26*HS_n/SQRT(sin_duoi))^0.6*sin_duoi</f>
        <v/>
      </c>
      <c r="D26" s="23">
        <f>tau_cat</f>
        <v/>
      </c>
      <c r="E26" s="23">
        <f>tau_bui</f>
        <v/>
      </c>
      <c r="F26" s="23">
        <f>tau_thit</f>
        <v/>
      </c>
    </row>
    <row r="27">
      <c r="A27" s="24" t="n">
        <v>24</v>
      </c>
      <c r="B27" s="21">
        <f>Gamma_w*(HS_C*i_ms*A27*HS_n/SQRT(sin_tren))^0.6*sin_tren</f>
        <v/>
      </c>
      <c r="C27" s="21">
        <f>Gamma_w*(HS_C*i_ms*A27*HS_n/SQRT(sin_duoi))^0.6*sin_duoi</f>
        <v/>
      </c>
      <c r="D27" s="23">
        <f>tau_cat</f>
        <v/>
      </c>
      <c r="E27" s="23">
        <f>tau_bui</f>
        <v/>
      </c>
      <c r="F27" s="23">
        <f>tau_thit</f>
        <v/>
      </c>
    </row>
    <row r="28">
      <c r="A28" s="24" t="n">
        <v>25</v>
      </c>
      <c r="B28" s="21">
        <f>Gamma_w*(HS_C*i_ms*A28*HS_n/SQRT(sin_tren))^0.6*sin_tren</f>
        <v/>
      </c>
      <c r="C28" s="21">
        <f>Gamma_w*(HS_C*i_ms*A28*HS_n/SQRT(sin_duoi))^0.6*sin_duoi</f>
        <v/>
      </c>
      <c r="D28" s="23">
        <f>tau_cat</f>
        <v/>
      </c>
      <c r="E28" s="23">
        <f>tau_bui</f>
        <v/>
      </c>
      <c r="F28" s="23">
        <f>tau_thit</f>
        <v/>
      </c>
    </row>
    <row r="29">
      <c r="A29" s="24" t="n">
        <v>26</v>
      </c>
      <c r="B29" s="21">
        <f>Gamma_w*(HS_C*i_ms*A29*HS_n/SQRT(sin_tren))^0.6*sin_tren</f>
        <v/>
      </c>
      <c r="C29" s="21">
        <f>Gamma_w*(HS_C*i_ms*A29*HS_n/SQRT(sin_duoi))^0.6*sin_duoi</f>
        <v/>
      </c>
      <c r="D29" s="23">
        <f>tau_cat</f>
        <v/>
      </c>
      <c r="E29" s="23">
        <f>tau_bui</f>
        <v/>
      </c>
      <c r="F29" s="23">
        <f>tau_thit</f>
        <v/>
      </c>
    </row>
    <row r="30">
      <c r="A30" s="24" t="n">
        <v>27</v>
      </c>
      <c r="B30" s="21">
        <f>Gamma_w*(HS_C*i_ms*A30*HS_n/SQRT(sin_tren))^0.6*sin_tren</f>
        <v/>
      </c>
      <c r="C30" s="21">
        <f>Gamma_w*(HS_C*i_ms*A30*HS_n/SQRT(sin_duoi))^0.6*sin_duoi</f>
        <v/>
      </c>
      <c r="D30" s="23">
        <f>tau_cat</f>
        <v/>
      </c>
      <c r="E30" s="23">
        <f>tau_bui</f>
        <v/>
      </c>
      <c r="F30" s="23">
        <f>tau_thit</f>
        <v/>
      </c>
    </row>
    <row r="31">
      <c r="A31" s="24" t="n">
        <v>28</v>
      </c>
      <c r="B31" s="21">
        <f>Gamma_w*(HS_C*i_ms*A31*HS_n/SQRT(sin_tren))^0.6*sin_tren</f>
        <v/>
      </c>
      <c r="C31" s="21">
        <f>Gamma_w*(HS_C*i_ms*A31*HS_n/SQRT(sin_duoi))^0.6*sin_duoi</f>
        <v/>
      </c>
      <c r="D31" s="23">
        <f>tau_cat</f>
        <v/>
      </c>
      <c r="E31" s="23">
        <f>tau_bui</f>
        <v/>
      </c>
      <c r="F31" s="23">
        <f>tau_thit</f>
        <v/>
      </c>
    </row>
    <row r="32">
      <c r="A32" s="24" t="n">
        <v>29</v>
      </c>
      <c r="B32" s="21">
        <f>Gamma_w*(HS_C*i_ms*A32*HS_n/SQRT(sin_tren))^0.6*sin_tren</f>
        <v/>
      </c>
      <c r="C32" s="21">
        <f>Gamma_w*(HS_C*i_ms*A32*HS_n/SQRT(sin_duoi))^0.6*sin_duoi</f>
        <v/>
      </c>
      <c r="D32" s="23">
        <f>tau_cat</f>
        <v/>
      </c>
      <c r="E32" s="23">
        <f>tau_bui</f>
        <v/>
      </c>
      <c r="F32" s="23">
        <f>tau_thit</f>
        <v/>
      </c>
    </row>
    <row r="33">
      <c r="A33" s="24" t="n">
        <v>30</v>
      </c>
      <c r="B33" s="21">
        <f>Gamma_w*(HS_C*i_ms*A33*HS_n/SQRT(sin_tren))^0.6*sin_tren</f>
        <v/>
      </c>
      <c r="C33" s="21">
        <f>Gamma_w*(HS_C*i_ms*A33*HS_n/SQRT(sin_duoi))^0.6*sin_duoi</f>
        <v/>
      </c>
      <c r="D33" s="23">
        <f>tau_cat</f>
        <v/>
      </c>
      <c r="E33" s="23">
        <f>tau_bui</f>
        <v/>
      </c>
      <c r="F33" s="23">
        <f>tau_thit</f>
        <v/>
      </c>
    </row>
    <row r="34">
      <c r="A34" s="24" t="n">
        <v>31</v>
      </c>
      <c r="B34" s="21">
        <f>Gamma_w*(HS_C*i_ms*A34*HS_n/SQRT(sin_tren))^0.6*sin_tren</f>
        <v/>
      </c>
      <c r="C34" s="21">
        <f>Gamma_w*(HS_C*i_ms*A34*HS_n/SQRT(sin_duoi))^0.6*sin_duoi</f>
        <v/>
      </c>
      <c r="D34" s="23">
        <f>tau_cat</f>
        <v/>
      </c>
      <c r="E34" s="23">
        <f>tau_bui</f>
        <v/>
      </c>
      <c r="F34" s="23">
        <f>tau_thit</f>
        <v/>
      </c>
    </row>
    <row r="35">
      <c r="A35" s="24" t="n">
        <v>32</v>
      </c>
      <c r="B35" s="21">
        <f>Gamma_w*(HS_C*i_ms*A35*HS_n/SQRT(sin_tren))^0.6*sin_tren</f>
        <v/>
      </c>
      <c r="C35" s="21">
        <f>Gamma_w*(HS_C*i_ms*A35*HS_n/SQRT(sin_duoi))^0.6*sin_duoi</f>
        <v/>
      </c>
      <c r="D35" s="23">
        <f>tau_cat</f>
        <v/>
      </c>
      <c r="E35" s="23">
        <f>tau_bui</f>
        <v/>
      </c>
      <c r="F35" s="23">
        <f>tau_thit</f>
        <v/>
      </c>
    </row>
    <row r="36">
      <c r="A36" s="24" t="n">
        <v>33</v>
      </c>
      <c r="B36" s="21">
        <f>Gamma_w*(HS_C*i_ms*A36*HS_n/SQRT(sin_tren))^0.6*sin_tren</f>
        <v/>
      </c>
      <c r="C36" s="21">
        <f>Gamma_w*(HS_C*i_ms*A36*HS_n/SQRT(sin_duoi))^0.6*sin_duoi</f>
        <v/>
      </c>
      <c r="D36" s="23">
        <f>tau_cat</f>
        <v/>
      </c>
      <c r="E36" s="23">
        <f>tau_bui</f>
        <v/>
      </c>
      <c r="F36" s="23">
        <f>tau_thit</f>
        <v/>
      </c>
    </row>
    <row r="37">
      <c r="A37" s="24" t="n">
        <v>34</v>
      </c>
      <c r="B37" s="21">
        <f>Gamma_w*(HS_C*i_ms*A37*HS_n/SQRT(sin_tren))^0.6*sin_tren</f>
        <v/>
      </c>
      <c r="C37" s="21">
        <f>Gamma_w*(HS_C*i_ms*A37*HS_n/SQRT(sin_duoi))^0.6*sin_duoi</f>
        <v/>
      </c>
      <c r="D37" s="23">
        <f>tau_cat</f>
        <v/>
      </c>
      <c r="E37" s="23">
        <f>tau_bui</f>
        <v/>
      </c>
      <c r="F37" s="23">
        <f>tau_thit</f>
        <v/>
      </c>
    </row>
    <row r="38">
      <c r="A38" s="24" t="n">
        <v>35</v>
      </c>
      <c r="B38" s="21">
        <f>Gamma_w*(HS_C*i_ms*A38*HS_n/SQRT(sin_tren))^0.6*sin_tren</f>
        <v/>
      </c>
      <c r="C38" s="21">
        <f>Gamma_w*(HS_C*i_ms*A38*HS_n/SQRT(sin_duoi))^0.6*sin_duoi</f>
        <v/>
      </c>
      <c r="D38" s="23">
        <f>tau_cat</f>
        <v/>
      </c>
      <c r="E38" s="23">
        <f>tau_bui</f>
        <v/>
      </c>
      <c r="F38" s="23">
        <f>tau_thit</f>
        <v/>
      </c>
    </row>
  </sheetData>
  <pageMargins left="0.4" right="0.4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2026-10-24T12:55:06Z</dcterms:created>
  <dcterms:modified xmlns:dcterms="http://purl.org/dc/terms/" xmlns:xsi="http://www.w3.org/2001/XMLSchema-instance" xsi:type="dcterms:W3CDTF">2026-10-24T12:55:06Z</dcterms:modified>
</cp:coreProperties>
</file>