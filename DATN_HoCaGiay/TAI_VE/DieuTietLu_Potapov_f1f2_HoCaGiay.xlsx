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SoLieu" sheetId="2" state="visible" r:id="rId2"/>
    <sheet xmlns:r="http://schemas.openxmlformats.org/officeDocument/2006/relationships" name="QuanHe" sheetId="3" state="visible" r:id="rId3"/>
    <sheet xmlns:r="http://schemas.openxmlformats.org/officeDocument/2006/relationships" name="BieuDoPhuTro" sheetId="4" state="visible" r:id="rId4"/>
    <sheet xmlns:r="http://schemas.openxmlformats.org/officeDocument/2006/relationships" name="P1_BinhThuong" sheetId="5" state="visible" r:id="rId5"/>
    <sheet xmlns:r="http://schemas.openxmlformats.org/officeDocument/2006/relationships" name="P1_SuCo" sheetId="6" state="visible" r:id="rId6"/>
    <sheet xmlns:r="http://schemas.openxmlformats.org/officeDocument/2006/relationships" name="P02_BinhThuong" sheetId="7" state="visible" r:id="rId7"/>
    <sheet xmlns:r="http://schemas.openxmlformats.org/officeDocument/2006/relationships" name="P02_SuCo" sheetId="8" state="visible" r:id="rId8"/>
    <sheet xmlns:r="http://schemas.openxmlformats.org/officeDocument/2006/relationships" name="BangIn" sheetId="9" state="visible" r:id="rId9"/>
    <sheet xmlns:r="http://schemas.openxmlformats.org/officeDocument/2006/relationships" name="KetQua" sheetId="10" state="visible" r:id="rId10"/>
  </sheets>
  <definedNames>
    <definedName name="Z0">SoLieu!$B$6</definedName>
    <definedName name="dt_h">SoLieu!$B$7</definedName>
    <definedName name="dt_s">SoLieu!$B$8</definedName>
    <definedName name="g_">SoLieu!$B$9</definedName>
    <definedName name="TC_Z">SoLieu!$B$13</definedName>
    <definedName name="TC_n">SoLieu!$B$14</definedName>
    <definedName name="TC_b">SoLieu!$B$15</definedName>
    <definedName name="TC_d">SoLieu!$B$16</definedName>
    <definedName name="TC_B">SoLieu!$B$17</definedName>
    <definedName name="TC_m">SoLieu!$B$18</definedName>
    <definedName name="TC_xmb">SoLieu!$B$19</definedName>
    <definedName name="TC_xmt">SoLieu!$B$20</definedName>
    <definedName name="TC_s">SoLieu!$B$21</definedName>
    <definedName name="TC_hong">SoLieu!$B$22</definedName>
    <definedName name="TC_n_sc">SoLieu!$B$23</definedName>
    <definedName name="SC_Z">SoLieu!$B$27</definedName>
    <definedName name="SC_n">SoLieu!$B$28</definedName>
    <definedName name="SC_b">SoLieu!$B$29</definedName>
    <definedName name="SC_m">SoLieu!$B$30</definedName>
    <definedName name="SC_xmb">SoLieu!$B$31</definedName>
    <definedName name="SC_xmt">SoLieu!$B$32</definedName>
    <definedName name="SC_s">SoLieu!$B$33</definedName>
    <definedName name="Lu_t">SoLieu!$A$38:$A$74</definedName>
    <definedName name="Lu_Q">SoLieu!$B$38:$C$74</definedName>
    <definedName name="Lu_P">SoLieu!$B$36:$C$36</definedName>
    <definedName name="Bang_Z">SoLieu!$A$79:$A$105</definedName>
    <definedName name="Bang_F">SoLieu!$B$79:$B$105</definedName>
    <definedName name="Bang_W">SoLieu!$C$79:$C$105</definedName>
    <definedName name="QH_Z">QuanHe!$A$5:$A$105</definedName>
    <definedName name="QH_V">QuanHe!$C$5:$C$105</definedName>
    <definedName name="QH_qtc">QuanHe!$H$5:$I$105</definedName>
    <definedName name="QH_qsc">QuanHe!$L$5:$L$105</definedName>
    <definedName name="QH_q">QuanHe!$M$5:$N$105</definedName>
    <definedName name="QH_f1">QuanHe!$O$5:$P$105</definedName>
    <definedName name="QH_f2">QuanHe!$Q$5:$R$105</definedName>
    <definedName name="Z_dau_in">BangIn!$C$4</definedName>
    <definedName name="Z_cuoi_in">BangIn!$F$4</definedName>
    <definedName name="Buoc_in">BangIn!$I$4</definedName>
    <definedName name="Z_dinh_SC">KetQua!$B$9</definedName>
    <definedName name="_xlnm.Print_Area" localSheetId="8">OFFSET(BangIn!$A$1,0,0,6+COUNT(BangIn!$B$7:$B$107),13)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Times New Roman"/>
      <b val="1"/>
      <color rgb="0012324A"/>
      <sz val="14"/>
    </font>
    <font>
      <name val="Times New Roman"/>
      <i val="1"/>
      <color rgb="0052514E"/>
      <sz val="10"/>
    </font>
    <font>
      <name val="Times New Roman"/>
      <b val="1"/>
      <color rgb="00A65A10"/>
      <sz val="12"/>
    </font>
    <font>
      <name val="Times New Roman"/>
      <sz val="11"/>
    </font>
    <font>
      <name val="Times New Roman"/>
      <b val="1"/>
      <color rgb="0012324A"/>
      <sz val="12"/>
    </font>
    <font>
      <name val="Times New Roman"/>
      <b val="1"/>
      <color rgb="00FFFFFF"/>
      <sz val="10"/>
    </font>
    <font>
      <name val="Times New Roman"/>
      <b val="1"/>
      <sz val="11"/>
    </font>
    <font>
      <name val="Times New Roman"/>
      <b val="1"/>
      <color rgb="000000FF"/>
      <sz val="11"/>
    </font>
    <font>
      <name val="Times New Roman"/>
      <color rgb="000000FF"/>
      <sz val="11"/>
    </font>
    <font>
      <name val="Times New Roman"/>
      <color rgb="008A8984"/>
      <sz val="10"/>
    </font>
  </fonts>
  <fills count="8">
    <fill>
      <patternFill/>
    </fill>
    <fill>
      <patternFill patternType="gray125"/>
    </fill>
    <fill>
      <patternFill patternType="solid">
        <fgColor rgb="0012324A"/>
      </patternFill>
    </fill>
    <fill>
      <patternFill patternType="solid">
        <fgColor rgb="00FFF2CC"/>
      </patternFill>
    </fill>
    <fill>
      <patternFill patternType="solid">
        <fgColor rgb="00FBF3E8"/>
      </patternFill>
    </fill>
    <fill>
      <patternFill patternType="solid">
        <fgColor rgb="00EEF3FA"/>
      </patternFill>
    </fill>
    <fill>
      <patternFill patternType="solid">
        <fgColor rgb="00F4F1FA"/>
      </patternFill>
    </fill>
    <fill>
      <patternFill patternType="solid">
        <fgColor rgb="00EAF6EF"/>
      </patternFill>
    </fill>
  </fills>
  <borders count="6">
    <border>
      <left/>
      <right/>
      <top/>
      <bottom/>
      <diagonal/>
    </border>
    <border>
      <left style="thin">
        <color rgb="00B8BEC6"/>
      </left>
      <right style="thin">
        <color rgb="00B8BEC6"/>
      </right>
      <top style="thin">
        <color rgb="00B8BEC6"/>
      </top>
      <bottom style="thin">
        <color rgb="00B8BEC6"/>
      </bottom>
    </border>
    <border>
      <left/>
      <right/>
      <top style="thin">
        <color rgb="00B8BEC6"/>
      </top>
      <bottom/>
      <diagonal/>
    </border>
    <border>
      <left/>
      <right style="thin">
        <color rgb="00B8BEC6"/>
      </right>
      <top style="thin">
        <color rgb="00B8BEC6"/>
      </top>
      <bottom/>
      <diagonal/>
    </border>
    <border>
      <left/>
      <right/>
      <top style="thin">
        <color rgb="00B8BEC6"/>
      </top>
      <bottom style="thin">
        <color rgb="00B8BEC6"/>
      </bottom>
      <diagonal/>
    </border>
    <border>
      <left/>
      <right style="thin">
        <color rgb="00B8BEC6"/>
      </right>
      <top style="thin">
        <color rgb="00B8BEC6"/>
      </top>
      <bottom style="thin">
        <color rgb="00B8BEC6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2" fontId="8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1" fontId="8" fillId="3" borderId="1" applyAlignment="1" pivotButton="0" quotePrefix="0" xfId="0">
      <alignment horizontal="center"/>
    </xf>
    <xf numFmtId="1" fontId="7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/>
    </xf>
    <xf numFmtId="1" fontId="9" fillId="3" borderId="1" applyAlignment="1" pivotButton="0" quotePrefix="0" xfId="0">
      <alignment horizontal="center"/>
    </xf>
    <xf numFmtId="2" fontId="9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2" fontId="4" fillId="5" borderId="0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2" fontId="4" fillId="6" borderId="0" applyAlignment="1" pivotButton="0" quotePrefix="0" xfId="0">
      <alignment horizontal="center"/>
    </xf>
    <xf numFmtId="164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165" fontId="7" fillId="4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7"/>
        </patternFill>
      </fill>
    </dxf>
    <dxf>
      <border>
        <left style="thin">
          <color rgb="00B8BEC6"/>
        </left>
        <right style="thin">
          <color rgb="00B8BEC6"/>
        </right>
        <top style="thin">
          <color rgb="00B8BEC6"/>
        </top>
        <bottom style="thin">
          <color rgb="00B8BEC6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phụ trợ – Vận hành bình thường (tràn chính 9 khoang + tràn sự cố)</a:t>
            </a:r>
          </a:p>
        </rich>
      </tx>
    </title>
    <plotArea>
      <scatterChart>
        <ser>
          <idx val="0"/>
          <order val="0"/>
          <tx>
            <v>q ~ f₁ = V/Δt − q/2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'QuanHe'!$O$35:$O$95</f>
            </numRef>
          </xVal>
          <yVal>
            <numRef>
              <f>'QuanHe'!$M$35:$M$95</f>
            </numRef>
          </yVal>
          <smooth val="0"/>
        </ser>
        <ser>
          <idx val="1"/>
          <order val="1"/>
          <tx>
            <v>q ~ f₂ = V/Δt + q/2</v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'QuanHe'!$Q$35:$Q$95</f>
            </numRef>
          </xVal>
          <yVal>
            <numRef>
              <f>'QuanHe'!$M$35:$M$95</f>
            </numRef>
          </yVal>
          <smooth val="0"/>
        </ser>
        <ser>
          <idx val="2"/>
          <order val="2"/>
          <tx>
            <v>Ví dụ tra giờ 10 (P = 1%)</v>
          </tx>
          <spPr>
            <a:ln xmlns:a="http://schemas.openxmlformats.org/drawingml/2006/main" w="22225">
              <a:solidFill>
                <a:srgbClr val="52514E"/>
              </a:solidFill>
              <a:prstDash val="dash"/>
            </a:ln>
          </spPr>
          <marker>
            <symbol val="circle"/>
            <size val="6"/>
            <spPr>
              <a:solidFill xmlns:a="http://schemas.openxmlformats.org/drawingml/2006/main">
                <a:srgbClr val="52514E"/>
              </a:solidFill>
              <a:ln xmlns:a="http://schemas.openxmlformats.org/drawingml/2006/main">
                <a:solidFill>
                  <a:srgbClr val="52514E"/>
                </a:solidFill>
                <a:prstDash val="solid"/>
              </a:ln>
            </spPr>
          </marker>
          <xVal>
            <numRef>
              <f>'BieuDoPhuTro'!$E$51:$E$55</f>
            </numRef>
          </xVal>
          <yVal>
            <numRef>
              <f>'BieuDoPhuTro'!$F$51:$F$55</f>
            </numRef>
          </yVal>
          <smooth val="0"/>
        </ser>
        <axId val="10"/>
        <axId val="20"/>
      </scatterChart>
      <valAx>
        <axId val="10"/>
        <scaling>
          <orientation val="minMax"/>
          <max val="22000"/>
          <min val="85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 (m³/s)</a:t>
                </a:r>
              </a:p>
            </rich>
          </tx>
        </title>
        <numFmt formatCode="0" sourceLinked="0"/>
        <majorTickMark val="none"/>
        <minorTickMark val="none"/>
        <crossAx val="20"/>
        <majorUnit val="1000"/>
      </valAx>
      <valAx>
        <axId val="20"/>
        <scaling>
          <orientation val="minMax"/>
          <max val="7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10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phụ trợ – Sự cố – 1 cửa tràn chính không mở (8 khoang + tràn sự cố)</a:t>
            </a:r>
          </a:p>
        </rich>
      </tx>
    </title>
    <plotArea>
      <scatterChart>
        <ser>
          <idx val="0"/>
          <order val="0"/>
          <tx>
            <v>q ~ f₁ = V/Δt − q/2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'QuanHe'!$P$35:$P$95</f>
            </numRef>
          </xVal>
          <yVal>
            <numRef>
              <f>'QuanHe'!$N$35:$N$95</f>
            </numRef>
          </yVal>
          <smooth val="0"/>
        </ser>
        <ser>
          <idx val="1"/>
          <order val="1"/>
          <tx>
            <v>q ~ f₂ = V/Δt + q/2</v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'QuanHe'!$R$35:$R$95</f>
            </numRef>
          </xVal>
          <yVal>
            <numRef>
              <f>'QuanHe'!$N$35:$N$95</f>
            </numRef>
          </yVal>
          <smooth val="0"/>
        </ser>
        <axId val="10"/>
        <axId val="20"/>
      </scatterChart>
      <valAx>
        <axId val="10"/>
        <scaling>
          <orientation val="minMax"/>
          <max val="22000"/>
          <min val="85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 (m³/s)</a:t>
                </a:r>
              </a:p>
            </rich>
          </tx>
        </title>
        <numFmt formatCode="0" sourceLinked="0"/>
        <majorTickMark val="none"/>
        <minorTickMark val="none"/>
        <crossAx val="20"/>
        <majorUnit val="1000"/>
      </valAx>
      <valAx>
        <axId val="20"/>
        <scaling>
          <orientation val="minMax"/>
          <max val="7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10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Đường quá trình lũ đến và xả</a:t>
            </a:r>
          </a:p>
        </rich>
      </tx>
    </title>
    <plotArea>
      <scatterChart>
        <ser>
          <idx val="0"/>
          <order val="0"/>
          <tx>
            <v>Q đến</v>
          </tx>
          <spPr>
            <a:ln xmlns:a="http://schemas.openxmlformats.org/drawingml/2006/main" w="22225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'P1_BinhThuong'!$A$16:$A$64</f>
            </numRef>
          </xVal>
          <yVal>
            <numRef>
              <f>'P1_BinhThuong'!$B$16:$B$64</f>
            </numRef>
          </yVal>
          <smooth val="0"/>
        </ser>
        <ser>
          <idx val="1"/>
          <order val="1"/>
          <tx>
            <v>q xả (tổng)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'P1_BinhThuong'!$A$16:$A$64</f>
            </numRef>
          </xVal>
          <yVal>
            <numRef>
              <f>'P1_BinhThuong'!$G$16:$G$64</f>
            </numRef>
          </yVal>
          <smooth val="0"/>
        </ser>
        <ser>
          <idx val="2"/>
          <order val="2"/>
          <tx>
            <v>q tràn chính</v>
          </tx>
          <spPr>
            <a:ln xmlns:a="http://schemas.openxmlformats.org/drawingml/2006/main" w="22225">
              <a:solidFill>
                <a:srgbClr val="2A78D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'P1_BinhThuong'!$A$16:$A$64</f>
            </numRef>
          </xVal>
          <yVal>
            <numRef>
              <f>'P1_BinhThuong'!$I$16:$I$64</f>
            </numRef>
          </yVal>
          <smooth val="0"/>
        </ser>
        <ser>
          <idx val="3"/>
          <order val="3"/>
          <tx>
            <v>q tràn sự cố</v>
          </tx>
          <spPr>
            <a:ln xmlns:a="http://schemas.openxmlformats.org/drawingml/2006/main" w="22225">
              <a:solidFill>
                <a:srgbClr val="1BAF7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'P1_BinhThuong'!$A$16:$A$64</f>
            </numRef>
          </xVal>
          <yVal>
            <numRef>
              <f>'P1_BinhThuong'!$J$16:$J$64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1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Lưu lượng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Đường quá trình lũ đến và xả</a:t>
            </a:r>
          </a:p>
        </rich>
      </tx>
    </title>
    <plotArea>
      <scatterChart>
        <ser>
          <idx val="0"/>
          <order val="0"/>
          <tx>
            <v>Q đến</v>
          </tx>
          <spPr>
            <a:ln xmlns:a="http://schemas.openxmlformats.org/drawingml/2006/main" w="22225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'P1_SuCo'!$A$16:$A$64</f>
            </numRef>
          </xVal>
          <yVal>
            <numRef>
              <f>'P1_SuCo'!$B$16:$B$64</f>
            </numRef>
          </yVal>
          <smooth val="0"/>
        </ser>
        <ser>
          <idx val="1"/>
          <order val="1"/>
          <tx>
            <v>q xả (tổng)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'P1_SuCo'!$A$16:$A$64</f>
            </numRef>
          </xVal>
          <yVal>
            <numRef>
              <f>'P1_SuCo'!$G$16:$G$64</f>
            </numRef>
          </yVal>
          <smooth val="0"/>
        </ser>
        <ser>
          <idx val="2"/>
          <order val="2"/>
          <tx>
            <v>q tràn chính</v>
          </tx>
          <spPr>
            <a:ln xmlns:a="http://schemas.openxmlformats.org/drawingml/2006/main" w="22225">
              <a:solidFill>
                <a:srgbClr val="2A78D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'P1_SuCo'!$A$16:$A$64</f>
            </numRef>
          </xVal>
          <yVal>
            <numRef>
              <f>'P1_SuCo'!$I$16:$I$64</f>
            </numRef>
          </yVal>
          <smooth val="0"/>
        </ser>
        <ser>
          <idx val="3"/>
          <order val="3"/>
          <tx>
            <v>q tràn sự cố</v>
          </tx>
          <spPr>
            <a:ln xmlns:a="http://schemas.openxmlformats.org/drawingml/2006/main" w="22225">
              <a:solidFill>
                <a:srgbClr val="1BAF7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'P1_SuCo'!$A$16:$A$64</f>
            </numRef>
          </xVal>
          <yVal>
            <numRef>
              <f>'P1_SuCo'!$J$16:$J$64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1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Lưu lượng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Đường quá trình lũ đến và xả</a:t>
            </a:r>
          </a:p>
        </rich>
      </tx>
    </title>
    <plotArea>
      <scatterChart>
        <ser>
          <idx val="0"/>
          <order val="0"/>
          <tx>
            <v>Q đến</v>
          </tx>
          <spPr>
            <a:ln xmlns:a="http://schemas.openxmlformats.org/drawingml/2006/main" w="22225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'P02_BinhThuong'!$A$16:$A$64</f>
            </numRef>
          </xVal>
          <yVal>
            <numRef>
              <f>'P02_BinhThuong'!$B$16:$B$64</f>
            </numRef>
          </yVal>
          <smooth val="0"/>
        </ser>
        <ser>
          <idx val="1"/>
          <order val="1"/>
          <tx>
            <v>q xả (tổng)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'P02_BinhThuong'!$A$16:$A$64</f>
            </numRef>
          </xVal>
          <yVal>
            <numRef>
              <f>'P02_BinhThuong'!$G$16:$G$64</f>
            </numRef>
          </yVal>
          <smooth val="0"/>
        </ser>
        <ser>
          <idx val="2"/>
          <order val="2"/>
          <tx>
            <v>q tràn chính</v>
          </tx>
          <spPr>
            <a:ln xmlns:a="http://schemas.openxmlformats.org/drawingml/2006/main" w="22225">
              <a:solidFill>
                <a:srgbClr val="2A78D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'P02_BinhThuong'!$A$16:$A$64</f>
            </numRef>
          </xVal>
          <yVal>
            <numRef>
              <f>'P02_BinhThuong'!$I$16:$I$64</f>
            </numRef>
          </yVal>
          <smooth val="0"/>
        </ser>
        <ser>
          <idx val="3"/>
          <order val="3"/>
          <tx>
            <v>q tràn sự cố</v>
          </tx>
          <spPr>
            <a:ln xmlns:a="http://schemas.openxmlformats.org/drawingml/2006/main" w="22225">
              <a:solidFill>
                <a:srgbClr val="1BAF7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'P02_BinhThuong'!$A$16:$A$64</f>
            </numRef>
          </xVal>
          <yVal>
            <numRef>
              <f>'P02_BinhThuong'!$J$16:$J$64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1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Lưu lượng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Đường quá trình lũ đến và xả</a:t>
            </a:r>
          </a:p>
        </rich>
      </tx>
    </title>
    <plotArea>
      <scatterChart>
        <ser>
          <idx val="0"/>
          <order val="0"/>
          <tx>
            <v>Q đến</v>
          </tx>
          <spPr>
            <a:ln xmlns:a="http://schemas.openxmlformats.org/drawingml/2006/main" w="22225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'P02_SuCo'!$A$16:$A$64</f>
            </numRef>
          </xVal>
          <yVal>
            <numRef>
              <f>'P02_SuCo'!$B$16:$B$64</f>
            </numRef>
          </yVal>
          <smooth val="0"/>
        </ser>
        <ser>
          <idx val="1"/>
          <order val="1"/>
          <tx>
            <v>q xả (tổng)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'P02_SuCo'!$A$16:$A$64</f>
            </numRef>
          </xVal>
          <yVal>
            <numRef>
              <f>'P02_SuCo'!$G$16:$G$64</f>
            </numRef>
          </yVal>
          <smooth val="0"/>
        </ser>
        <ser>
          <idx val="2"/>
          <order val="2"/>
          <tx>
            <v>q tràn chính</v>
          </tx>
          <spPr>
            <a:ln xmlns:a="http://schemas.openxmlformats.org/drawingml/2006/main" w="22225">
              <a:solidFill>
                <a:srgbClr val="2A78D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'P02_SuCo'!$A$16:$A$64</f>
            </numRef>
          </xVal>
          <yVal>
            <numRef>
              <f>'P02_SuCo'!$I$16:$I$64</f>
            </numRef>
          </yVal>
          <smooth val="0"/>
        </ser>
        <ser>
          <idx val="3"/>
          <order val="3"/>
          <tx>
            <v>q tràn sự cố</v>
          </tx>
          <spPr>
            <a:ln xmlns:a="http://schemas.openxmlformats.org/drawingml/2006/main" w="22225">
              <a:solidFill>
                <a:srgbClr val="1BAF7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'P02_SuCo'!$A$16:$A$64</f>
            </numRef>
          </xVal>
          <yVal>
            <numRef>
              <f>'P02_SuCo'!$J$16:$J$64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1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Lưu lượng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Đường quá trình lũ đến và xả – P = 1%</a:t>
            </a:r>
          </a:p>
        </rich>
      </tx>
    </title>
    <plotArea>
      <scatterChart>
        <ser>
          <idx val="0"/>
          <order val="0"/>
          <tx>
            <v>Q đến</v>
          </tx>
          <spPr>
            <a:ln xmlns:a="http://schemas.openxmlformats.org/drawingml/2006/main" w="22225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'KetQua'!$B$17:$B$65</f>
            </numRef>
          </yVal>
          <smooth val="0"/>
        </ser>
        <ser>
          <idx val="1"/>
          <order val="1"/>
          <tx>
            <v>q xả – bình thường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'KetQua'!$C$17:$C$65</f>
            </numRef>
          </yVal>
          <smooth val="0"/>
        </ser>
        <ser>
          <idx val="2"/>
          <order val="2"/>
          <tx>
            <v>q xả – sự cố</v>
          </tx>
          <spPr>
            <a:ln xmlns:a="http://schemas.openxmlformats.org/drawingml/2006/main" w="22225">
              <a:solidFill>
                <a:srgbClr val="EB683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'KetQua'!$D$17:$D$65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1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Lưu lượng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Đường quá trình lũ đến và xả – P = 0,2%</a:t>
            </a:r>
          </a:p>
        </rich>
      </tx>
    </title>
    <plotArea>
      <scatterChart>
        <ser>
          <idx val="0"/>
          <order val="0"/>
          <tx>
            <v>Q đến</v>
          </tx>
          <spPr>
            <a:ln xmlns:a="http://schemas.openxmlformats.org/drawingml/2006/main" w="22225">
              <a:solidFill>
                <a:srgbClr val="52514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'KetQua'!$E$17:$E$65</f>
            </numRef>
          </yVal>
          <smooth val="0"/>
        </ser>
        <ser>
          <idx val="1"/>
          <order val="1"/>
          <tx>
            <v>q xả – bình thường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'KetQua'!$F$17:$F$65</f>
            </numRef>
          </yVal>
          <smooth val="0"/>
        </ser>
        <ser>
          <idx val="2"/>
          <order val="2"/>
          <tx>
            <v>q xả – sự cố</v>
          </tx>
          <spPr>
            <a:ln xmlns:a="http://schemas.openxmlformats.org/drawingml/2006/main" w="22225">
              <a:solidFill>
                <a:srgbClr val="EB683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'KetQua'!$G$17:$G$65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14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Lưu lượng (m³/s)</a:t>
                </a:r>
              </a:p>
            </rich>
          </tx>
        </title>
        <numFmt formatCode="0" sourceLinked="0"/>
        <majorTickMark val="none"/>
        <minorTickMark val="none"/>
        <crossAx val="10"/>
        <majorUnit val="20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Mực nước hồ theo thời gian</a:t>
            </a:r>
          </a:p>
        </rich>
      </tx>
    </title>
    <plotArea>
      <scatterChart>
        <ser>
          <idx val="0"/>
          <order val="0"/>
          <tx>
            <v>P = 1% – bình thường</v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'KetQua'!$H$17:$H$65</f>
            </numRef>
          </yVal>
          <smooth val="0"/>
        </ser>
        <ser>
          <idx val="1"/>
          <order val="1"/>
          <tx>
            <v>P = 1% – sự cố</v>
          </tx>
          <spPr>
            <a:ln xmlns:a="http://schemas.openxmlformats.org/drawingml/2006/main" w="22225">
              <a:solidFill>
                <a:srgbClr val="2A78D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'KetQua'!$I$17:$I$65</f>
            </numRef>
          </yVal>
          <smooth val="0"/>
        </ser>
        <ser>
          <idx val="2"/>
          <order val="2"/>
          <tx>
            <v>P = 0,2% – bình thường</v>
          </tx>
          <spPr>
            <a:ln xmlns:a="http://schemas.openxmlformats.org/drawingml/2006/main" w="22225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'KetQua'!$J$17:$J$65</f>
            </numRef>
          </yVal>
          <smooth val="0"/>
        </ser>
        <ser>
          <idx val="3"/>
          <order val="3"/>
          <tx>
            <v>P = 0,2% – sự cố</v>
          </tx>
          <spPr>
            <a:ln xmlns:a="http://schemas.openxmlformats.org/drawingml/2006/main" w="22225">
              <a:solidFill>
                <a:srgbClr val="EB683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'KetQua'!$A$17:$A$65</f>
            </numRef>
          </xVal>
          <yVal>
            <numRef>
              <f>'KetQua'!$K$17:$K$65</f>
            </numRef>
          </yVal>
          <smooth val="0"/>
        </ser>
        <axId val="10"/>
        <axId val="20"/>
      </scatterChart>
      <valAx>
        <axId val="1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(giờ)</a:t>
                </a:r>
              </a:p>
            </rich>
          </tx>
        </title>
        <numFmt formatCode="0" sourceLinked="0"/>
        <majorTickMark val="none"/>
        <minorTickMark val="none"/>
        <crossAx val="20"/>
        <majorUnit val="6"/>
      </valAx>
      <valAx>
        <axId val="20"/>
        <scaling>
          <orientation val="minMax"/>
          <max val="79"/>
          <min val="7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" sourceLinked="0"/>
        <majorTickMark val="none"/>
        <minorTickMark val="none"/>
        <crossAx val="10"/>
        <majorUnit val="0.5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Hướng dẫn</author>
  </authors>
  <commentList>
    <comment ref="M15" authorId="0" shapeId="0">
      <text>
        <t>k₁ = MATCH(q₁; cột q của QuanHe; 1): dòng có q(k₁) ≤ q₁ &lt; q(k₁+1); w₁ = tỷ lệ nội suy.
f₁ = f₁(k₁) + w₁ × [f₁(k₁+1) − f₁(k₁)] – tức tra đường q ~ f₁ với q₁.
Cột phụ – không cần đưa vào thuyết minh.</t>
      </text>
    </comment>
    <comment ref="O15" authorId="0" shapeId="0">
      <text>
        <t>k = MATCH(f₂; cột f₂ của QuanHe; 1): dòng có f₂(k) ≤ f₂ &lt; f₂(k+1); w = tỷ lệ nội suy.
q₂, Z₂, V₂ = giá trị dòng k + w × (dòng k+1 − dòng k) – tức tra đường q ~ f₂ với f₂.
Cột phụ – không cần đưa vào thuyết minh.</t>
      </text>
    </comment>
  </commentList>
</comments>
</file>

<file path=xl/comments/comment2.xml><?xml version="1.0" encoding="utf-8"?>
<comments xmlns="http://schemas.openxmlformats.org/spreadsheetml/2006/main">
  <authors>
    <author>Hướng dẫn</author>
  </authors>
  <commentList>
    <comment ref="M15" authorId="0" shapeId="0">
      <text>
        <t>k₁ = MATCH(q₁; cột q của QuanHe; 1): dòng có q(k₁) ≤ q₁ &lt; q(k₁+1); w₁ = tỷ lệ nội suy.
f₁ = f₁(k₁) + w₁ × [f₁(k₁+1) − f₁(k₁)] – tức tra đường q ~ f₁ với q₁.
Cột phụ – không cần đưa vào thuyết minh.</t>
      </text>
    </comment>
    <comment ref="O15" authorId="0" shapeId="0">
      <text>
        <t>k = MATCH(f₂; cột f₂ của QuanHe; 1): dòng có f₂(k) ≤ f₂ &lt; f₂(k+1); w = tỷ lệ nội suy.
q₂, Z₂, V₂ = giá trị dòng k + w × (dòng k+1 − dòng k) – tức tra đường q ~ f₂ với f₂.
Cột phụ – không cần đưa vào thuyết minh.</t>
      </text>
    </comment>
  </commentList>
</comments>
</file>

<file path=xl/comments/comment3.xml><?xml version="1.0" encoding="utf-8"?>
<comments xmlns="http://schemas.openxmlformats.org/spreadsheetml/2006/main">
  <authors>
    <author>Hướng dẫn</author>
  </authors>
  <commentList>
    <comment ref="M15" authorId="0" shapeId="0">
      <text>
        <t>k₁ = MATCH(q₁; cột q của QuanHe; 1): dòng có q(k₁) ≤ q₁ &lt; q(k₁+1); w₁ = tỷ lệ nội suy.
f₁ = f₁(k₁) + w₁ × [f₁(k₁+1) − f₁(k₁)] – tức tra đường q ~ f₁ với q₁.
Cột phụ – không cần đưa vào thuyết minh.</t>
      </text>
    </comment>
    <comment ref="O15" authorId="0" shapeId="0">
      <text>
        <t>k = MATCH(f₂; cột f₂ của QuanHe; 1): dòng có f₂(k) ≤ f₂ &lt; f₂(k+1); w = tỷ lệ nội suy.
q₂, Z₂, V₂ = giá trị dòng k + w × (dòng k+1 − dòng k) – tức tra đường q ~ f₂ với f₂.
Cột phụ – không cần đưa vào thuyết minh.</t>
      </text>
    </comment>
  </commentList>
</comments>
</file>

<file path=xl/comments/comment4.xml><?xml version="1.0" encoding="utf-8"?>
<comments xmlns="http://schemas.openxmlformats.org/spreadsheetml/2006/main">
  <authors>
    <author>Hướng dẫn</author>
  </authors>
  <commentList>
    <comment ref="M15" authorId="0" shapeId="0">
      <text>
        <t>k₁ = MATCH(q₁; cột q của QuanHe; 1): dòng có q(k₁) ≤ q₁ &lt; q(k₁+1); w₁ = tỷ lệ nội suy.
f₁ = f₁(k₁) + w₁ × [f₁(k₁+1) − f₁(k₁)] – tức tra đường q ~ f₁ với q₁.
Cột phụ – không cần đưa vào thuyết minh.</t>
      </text>
    </comment>
    <comment ref="O15" authorId="0" shapeId="0">
      <text>
        <t>k = MATCH(f₂; cột f₂ của QuanHe; 1): dòng có f₂(k) ≤ f₂ &lt; f₂(k+1); w = tỷ lệ nội suy.
q₂, Z₂, V₂ = giá trị dòng k + w × (dòng k+1 − dòng k) – tức tra đường q ~ f₂ với f₂.
Cột phụ – không cần đưa vào thuyết minh.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44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A65A10"/>
    <outlinePr summaryBelow="1" summaryRight="1"/>
    <pageSetUpPr fitToPage="1"/>
  </sheetPr>
  <dimension ref="B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 ht="24" customHeight="1">
      <c r="B1" s="1" t="inlineStr">
        <is>
          <t>ĐIỀU TIẾT LŨ HỒ CÀ GIÂY – PHƯƠNG PHÁP PÔ-TA-PỐP VỚI HAI ĐƯỜNG PHỤ TRỢ q ~ f₁, q ~ f₂</t>
        </is>
      </c>
    </row>
    <row r="2" ht="30" customHeight="1">
      <c r="B2" s="2" t="inlineStr">
        <is>
          <t>Mọi ô kết quả là công thức. Sửa thông số tràn, mực nước trước lũ ở sheet SoLieu; đổi tần suất, trường hợp ở ô vàng đầu mỗi sheet điều tiết.</t>
        </is>
      </c>
    </row>
    <row r="3" ht="22" customHeight="1">
      <c r="B3" s="3" t="inlineStr">
        <is>
          <t>1. Công trình tháo lũ và các trường hợp tính</t>
        </is>
      </c>
    </row>
    <row r="4" ht="31" customHeight="1">
      <c r="B4" s="4" t="inlineStr">
        <is>
          <t>•  Tràn chính: 9 khoang có cửa van, mỗi khoang b = 2,4 m (Σb = 21,6 m), ngưỡng +74,70 m; 8 trụ pin dày 0,6 m đầu lượn tròn → tổng bề rộng tràn 26,4 m. Tràn sự cố: 1 khoang có cửa van, b = 5 m, ngưỡng +71,00 m.</t>
        </is>
      </c>
    </row>
    <row r="5" ht="46.5" customHeight="1">
      <c r="B5" s="4" t="inlineStr">
        <is>
          <t>•  Vận hành bình thường: khi đón lũ, tất cả cửa van (9 cửa tràn chính và cửa tràn sự cố) kéo lên hoàn toàn – hai tràn chảy tự do. Sự cố: 1 cửa tràn chính không mở được – tràn chính còn 8 khoang làm việc (Σb = 19,2 m), tràn sự cố mở hoàn toàn. Mỗi trường hợp tính cho lũ thiết kế P = 1% (MNLTK) và lũ kiểm tra P = 0,2% (MNLKT).</t>
        </is>
      </c>
    </row>
    <row r="6" ht="31" customHeight="1">
      <c r="B6" s="4" t="inlineStr">
        <is>
          <t>•  Hồ ở MNDBT +74,70 m khi lũ đến (ô SoLieu!B5). Vì ngưỡng tràn sự cố thấp hơn MNDBT 3,7 m, cửa mở hết từ đầu nên những giờ đầu xả khoảng 64 m³/s trong khi lũ đến mới 2 ÷ 50 m³/s – mực nước giảm nhẹ (≈ +74,64 m) rồi mới dâng.</t>
        </is>
      </c>
    </row>
    <row r="7" ht="22" customHeight="1">
      <c r="B7" s="3" t="inlineStr">
        <is>
          <t>2. Lưu lượng qua tràn (TCVN 9147:2012 – công thức đập tràn chảy tự do)</t>
        </is>
      </c>
    </row>
    <row r="8" ht="24" customHeight="1">
      <c r="B8" s="5" t="inlineStr">
        <is>
          <t>q = σn·ε·m·n·b·√(2g)·H^1,5        ε = 1 − 0,2·[ξmb + (n − 1)·ξmt]·H / (n·b)</t>
        </is>
      </c>
    </row>
    <row r="9" ht="46.5" customHeight="1">
      <c r="B9" s="4" t="inlineStr">
        <is>
          <t>•  H = Z − Z ngưỡng; n – số khoang làm việc; b – bề rộng một khoang; m = 0,45; ξmb = 0,70 (mố bên lượn tròn); ξmt = 0,45 (trụ pin đầu lượn tròn). Bề dày trụ 0,6 m không có trong công thức – chỉ hình dạng đầu trụ ảnh hưởng tới co hẹp ε. Sự cố: n = 8 (coi cửa hỏng ở khoang biên; nếu cửa hỏng ở giữa – hai nhóm 4 khoang – Zmax chỉ cao thêm 0,3 ÷ 0,7 cm). Hai tràn cùng một mực nước: q(Z) = q tràn chính(Z) + q tràn sự cố(Z).</t>
        </is>
      </c>
    </row>
    <row r="10" ht="22" customHeight="1">
      <c r="B10" s="3" t="inlineStr">
        <is>
          <t>3. Phương pháp Pô-ta-pốp với hai đường phụ trợ</t>
        </is>
      </c>
    </row>
    <row r="11" ht="24" customHeight="1">
      <c r="B11" s="5" t="inlineStr">
        <is>
          <t>(Q₁ + Q₂)/2·Δt − (q₁ + q₂)/2·Δt = V₂ − V₁    ⇒    V₂/Δt + q₂/2 = (V₁/Δt − q₁/2) + Qtb    ⇒    f₂ = f₁ + Qtb</t>
        </is>
      </c>
    </row>
    <row r="12" ht="31" customHeight="1">
      <c r="B12" s="4" t="inlineStr">
        <is>
          <t>•  f₁ = V/Δt − q/2 và f₂ = V/Δt + q/2 (m³/s) chỉ phụ thuộc mực nước Z → lập sẵn bảng Z ~ V ~ q ~ f₁ ~ f₂ (sheet QuanHe, bước 0,1 m) và vẽ hai đường q ~ f₁, q ~ f₂ (sheet BieuDoPhuTro) cho từng trường hợp.</t>
        </is>
      </c>
    </row>
    <row r="13" ht="31" customHeight="1">
      <c r="B13" s="4" t="inlineStr">
        <is>
          <t>•  Mỗi giờ: (1) Qtb = (Q₁ + Q₂)/2; (2) từ q₁ (cuối giờ trước) tra đường q ~ f₁ được f₁; (3) f₂ = f₁ + Qtb; (4) từ f₂ tra đường q ~ f₂ được q₂, đồng thời Z₂, V₂; (5) sang giờ sau với q₁ = q₂.</t>
        </is>
      </c>
    </row>
    <row r="14" ht="31" customHeight="1">
      <c r="B14" s="4" t="inlineStr">
        <is>
          <t>•  Tra bảng trong Excel: k = MATCH(giá trị; cột tra; 1) – dòng có giá trị ≤ giá trị cần tra; w = tỷ lệ nội suy giữa dòng k và k + 1 (cột phụ màu xám). Z₂, q₂, V₂ nội suy với CÙNG k, w nên V₂/Δt + q₂/2 = f₂ đúng tuyệt đối (cột kiểm tra L).</t>
        </is>
      </c>
    </row>
    <row r="15" ht="31" customHeight="1">
      <c r="B15" s="4" t="inlineStr">
        <is>
          <t>•  Giờ 0: Z = MNDBT, q = q(MNDBT). Kết quả: Zmax = MNLTK (P = 1%) hoặc MNLKT (P = 0,2%), lưu lượng xả lớn nhất, phân chia cho từng tràn; kiểm tra W đến − W xả = ΔV (≈ 0).</t>
        </is>
      </c>
    </row>
    <row r="16" ht="22" customHeight="1">
      <c r="B16" s="3" t="inlineStr">
        <is>
          <t>4. Trình tự trong file</t>
        </is>
      </c>
    </row>
    <row r="17" ht="15.5" customHeight="1">
      <c r="B17" s="4" t="inlineStr">
        <is>
          <t>•  SoLieu: thông số hai tràn, mực nước trước lũ, đường quá trình lũ P = 1% và 0,2% (BCNCKT – mô hình Gurdich 36 giờ), bảng Z ~ F ~ W 2022.</t>
        </is>
      </c>
    </row>
    <row r="18" ht="15.5" customHeight="1">
      <c r="B18" s="4" t="inlineStr">
        <is>
          <t>•  QuanHe: bảng Z ~ V ~ q (tràn chính 9 / 8 khoang, tràn sự cố) ~ f₁ ~ f₂ cho hai trường hợp (101 dòng, +71,00 ÷ +81,00 m).</t>
        </is>
      </c>
    </row>
    <row r="19" ht="15.5" customHeight="1">
      <c r="B19" s="4" t="inlineStr">
        <is>
          <t>•  BieuDoPhuTro: hai đường q ~ f₁, q ~ f₂ (bình thường, sự cố) và ví dụ tra một giờ.</t>
        </is>
      </c>
    </row>
    <row r="20" ht="31" customHeight="1">
      <c r="B20" s="4" t="inlineStr">
        <is>
          <t>•  P1_BinhThuong, P1_SuCo, P02_BinhThuong, P02_SuCo: bốn bảng điều tiết giống nhau, chỉ khác ô tần suất (C3) và trường hợp (F3); mỗi sheet có biểu đồ đường quá trình lũ đến và xả.</t>
        </is>
      </c>
    </row>
    <row r="21" ht="15.5" customHeight="1">
      <c r="B21" s="4" t="inlineStr">
        <is>
          <t>•  BangIn: bảng quan hệ phụ trợ để in vào thuyết minh (chọn Z đầu, cuối, bước). KetQua: tổng hợp 4 trường hợp và biểu đồ.</t>
        </is>
      </c>
    </row>
    <row r="22" ht="22" customHeight="1">
      <c r="B22" s="3" t="inlineStr">
        <is>
          <t>5. Chú giải màu ô</t>
        </is>
      </c>
    </row>
    <row r="23" ht="15.5" customHeight="1">
      <c r="B23" s="4" t="inlineStr">
        <is>
          <t>•  Nền vàng chữ xanh: ô được sửa. Chữ đen: công thức. Nền xanh lá: f₁, f₂. Nền đỏ nhạt: dòng có mực nước lớn nhất.</t>
        </is>
      </c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EDA100"/>
    <outlinePr summaryBelow="1" summaryRight="1"/>
    <pageSetUpPr fitToPage="1"/>
  </sheetPr>
  <dimension ref="A1:H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6" t="inlineStr">
        <is>
          <t>SỐ LIỆU ĐẦU VÀO – ĐIỀU TIẾT LŨ (PÔ-TA-PỐP, HAI ĐƯỜNG f₁, f₂)</t>
        </is>
      </c>
    </row>
    <row r="2">
      <c r="A2" s="7" t="inlineStr">
        <is>
          <t>Ô nền vàng chữ xanh: được sửa. Chữ đen: công thức.</t>
        </is>
      </c>
    </row>
    <row r="4">
      <c r="A4" s="8" t="inlineStr">
        <is>
          <t>A. THÔNG SỐ CHUNG</t>
        </is>
      </c>
    </row>
    <row r="5">
      <c r="A5" s="9" t="inlineStr">
        <is>
          <t>Thông số</t>
        </is>
      </c>
      <c r="B5" s="9" t="inlineStr">
        <is>
          <t>Giá trị</t>
        </is>
      </c>
      <c r="C5" s="9" t="inlineStr">
        <is>
          <t>Đơn vị</t>
        </is>
      </c>
      <c r="D5" s="9" t="inlineStr">
        <is>
          <t>Ghi chú, nguồn</t>
        </is>
      </c>
      <c r="E5" s="10" t="n"/>
      <c r="F5" s="10" t="n"/>
      <c r="G5" s="10" t="n"/>
      <c r="H5" s="11" t="n"/>
    </row>
    <row r="6">
      <c r="A6" s="12" t="inlineStr">
        <is>
          <t>Mực nước hồ khi lũ đến (MNDBT)</t>
        </is>
      </c>
      <c r="B6" s="13" t="n">
        <v>74.7</v>
      </c>
      <c r="C6" s="14" t="inlineStr">
        <is>
          <t>m</t>
        </is>
      </c>
      <c r="D6" s="15" t="inlineStr">
        <is>
          <t>Giả thiết bất lợi: lũ đến khi hồ đầy ở MNDBT</t>
        </is>
      </c>
      <c r="E6" s="10" t="n"/>
      <c r="F6" s="10" t="n"/>
      <c r="G6" s="10" t="n"/>
      <c r="H6" s="11" t="n"/>
    </row>
    <row r="7">
      <c r="A7" s="12" t="inlineStr">
        <is>
          <t>Bước thời gian Δt</t>
        </is>
      </c>
      <c r="B7" s="16" t="n">
        <v>1</v>
      </c>
      <c r="C7" s="14" t="inlineStr">
        <is>
          <t>giờ</t>
        </is>
      </c>
      <c r="D7" s="15" t="inlineStr">
        <is>
          <t>Bằng bước của đường quá trình lũ (cố định 1 giờ)</t>
        </is>
      </c>
      <c r="E7" s="10" t="n"/>
      <c r="F7" s="10" t="n"/>
      <c r="G7" s="10" t="n"/>
      <c r="H7" s="11" t="n"/>
    </row>
    <row r="8">
      <c r="A8" s="12" t="inlineStr">
        <is>
          <t>Δt tính bằng giây</t>
        </is>
      </c>
      <c r="B8" s="17">
        <f>dt_h*3600</f>
        <v/>
      </c>
      <c r="C8" s="14" t="inlineStr">
        <is>
          <t>s</t>
        </is>
      </c>
      <c r="D8" s="15" t="inlineStr"/>
      <c r="E8" s="10" t="n"/>
      <c r="F8" s="10" t="n"/>
      <c r="G8" s="10" t="n"/>
      <c r="H8" s="11" t="n"/>
    </row>
    <row r="9">
      <c r="A9" s="12" t="inlineStr">
        <is>
          <t>Gia tốc trọng trường g</t>
        </is>
      </c>
      <c r="B9" s="13" t="n">
        <v>9.81</v>
      </c>
      <c r="C9" s="14" t="inlineStr">
        <is>
          <t>m/s²</t>
        </is>
      </c>
      <c r="D9" s="15" t="inlineStr"/>
      <c r="E9" s="10" t="n"/>
      <c r="F9" s="10" t="n"/>
      <c r="G9" s="10" t="n"/>
      <c r="H9" s="11" t="n"/>
    </row>
    <row r="11">
      <c r="A11" s="8" t="inlineStr">
        <is>
          <t>B. TRÀN CHÍNH (9 khoang có cửa van – mở hoàn toàn khi đón lũ)</t>
        </is>
      </c>
    </row>
    <row r="12">
      <c r="A12" s="9" t="inlineStr">
        <is>
          <t>Thông số</t>
        </is>
      </c>
      <c r="B12" s="9" t="inlineStr">
        <is>
          <t>Giá trị</t>
        </is>
      </c>
      <c r="C12" s="9" t="inlineStr">
        <is>
          <t>Đơn vị</t>
        </is>
      </c>
      <c r="D12" s="9" t="inlineStr">
        <is>
          <t>Ghi chú, nguồn</t>
        </is>
      </c>
      <c r="E12" s="10" t="n"/>
      <c r="F12" s="10" t="n"/>
      <c r="G12" s="10" t="n"/>
      <c r="H12" s="11" t="n"/>
    </row>
    <row r="13">
      <c r="A13" s="12" t="inlineStr">
        <is>
          <t>Cao trình ngưỡng</t>
        </is>
      </c>
      <c r="B13" s="13" t="n">
        <v>74.7</v>
      </c>
      <c r="C13" s="14" t="inlineStr">
        <is>
          <t>m</t>
        </is>
      </c>
      <c r="D13" s="15" t="inlineStr">
        <is>
          <t>Không thay đổi</t>
        </is>
      </c>
      <c r="E13" s="10" t="n"/>
      <c r="F13" s="10" t="n"/>
      <c r="G13" s="10" t="n"/>
      <c r="H13" s="11" t="n"/>
    </row>
    <row r="14">
      <c r="A14" s="12" t="inlineStr">
        <is>
          <t>Số khoang n</t>
        </is>
      </c>
      <c r="B14" s="16" t="n">
        <v>9</v>
      </c>
      <c r="C14" s="14" t="inlineStr">
        <is>
          <t>khoang</t>
        </is>
      </c>
      <c r="D14" s="15" t="inlineStr"/>
      <c r="E14" s="10" t="n"/>
      <c r="F14" s="10" t="n"/>
      <c r="G14" s="10" t="n"/>
      <c r="H14" s="11" t="n"/>
    </row>
    <row r="15">
      <c r="A15" s="12" t="inlineStr">
        <is>
          <t>Bề rộng một khoang b</t>
        </is>
      </c>
      <c r="B15" s="13" t="n">
        <v>2.4</v>
      </c>
      <c r="C15" s="14" t="inlineStr">
        <is>
          <t>m</t>
        </is>
      </c>
      <c r="D15" s="15" t="inlineStr">
        <is>
          <t>Σb = 9 × 2,4 = 21,6 m</t>
        </is>
      </c>
      <c r="E15" s="10" t="n"/>
      <c r="F15" s="10" t="n"/>
      <c r="G15" s="10" t="n"/>
      <c r="H15" s="11" t="n"/>
    </row>
    <row r="16">
      <c r="A16" s="12" t="inlineStr">
        <is>
          <t>Bề dày trụ pin d</t>
        </is>
      </c>
      <c r="B16" s="13" t="n">
        <v>0.6</v>
      </c>
      <c r="C16" s="14" t="inlineStr">
        <is>
          <t>m</t>
        </is>
      </c>
      <c r="D16" s="15" t="inlineStr">
        <is>
          <t>Đầu trụ lượn tròn</t>
        </is>
      </c>
      <c r="E16" s="10" t="n"/>
      <c r="F16" s="10" t="n"/>
      <c r="G16" s="10" t="n"/>
      <c r="H16" s="11" t="n"/>
    </row>
    <row r="17">
      <c r="A17" s="12" t="inlineStr">
        <is>
          <t>Tổng bề rộng tràn kể trụ pin</t>
        </is>
      </c>
      <c r="B17" s="18">
        <f>TC_n*TC_b+(TC_n-1)*TC_d</f>
        <v/>
      </c>
      <c r="C17" s="14" t="inlineStr">
        <is>
          <t>m</t>
        </is>
      </c>
      <c r="D17" s="15" t="inlineStr">
        <is>
          <t>n·b + (n − 1)·d = 21,6 + 8 × 0,6</t>
        </is>
      </c>
      <c r="E17" s="10" t="n"/>
      <c r="F17" s="10" t="n"/>
      <c r="G17" s="10" t="n"/>
      <c r="H17" s="11" t="n"/>
    </row>
    <row r="18">
      <c r="A18" s="12" t="inlineStr">
        <is>
          <t>Hệ số lưu lượng m</t>
        </is>
      </c>
      <c r="B18" s="19" t="n">
        <v>0.45</v>
      </c>
      <c r="C18" s="14" t="inlineStr"/>
      <c r="D18" s="15" t="inlineStr">
        <is>
          <t>Như thuyết minh (mục 2.3.2)</t>
        </is>
      </c>
      <c r="E18" s="10" t="n"/>
      <c r="F18" s="10" t="n"/>
      <c r="G18" s="10" t="n"/>
      <c r="H18" s="11" t="n"/>
    </row>
    <row r="19">
      <c r="A19" s="12" t="inlineStr">
        <is>
          <t>Hệ số hình dạng mố bên ξmb</t>
        </is>
      </c>
      <c r="B19" s="13" t="n">
        <v>0.7</v>
      </c>
      <c r="C19" s="14" t="inlineStr"/>
      <c r="D19" s="15" t="inlineStr">
        <is>
          <t>Mố bên lượn tròn</t>
        </is>
      </c>
      <c r="E19" s="10" t="n"/>
      <c r="F19" s="10" t="n"/>
      <c r="G19" s="10" t="n"/>
      <c r="H19" s="11" t="n"/>
    </row>
    <row r="20">
      <c r="A20" s="12" t="inlineStr">
        <is>
          <t>Hệ số hình dạng trụ pin ξmt</t>
        </is>
      </c>
      <c r="B20" s="13" t="n">
        <v>0.45</v>
      </c>
      <c r="C20" s="14" t="inlineStr"/>
      <c r="D20" s="15" t="inlineStr">
        <is>
          <t>Trụ pin đầu lượn tròn</t>
        </is>
      </c>
      <c r="E20" s="10" t="n"/>
      <c r="F20" s="10" t="n"/>
      <c r="G20" s="10" t="n"/>
      <c r="H20" s="11" t="n"/>
    </row>
    <row r="21">
      <c r="A21" s="12" t="inlineStr">
        <is>
          <t>Hệ số chảy ngập σn</t>
        </is>
      </c>
      <c r="B21" s="13" t="n">
        <v>1</v>
      </c>
      <c r="C21" s="14" t="inlineStr"/>
      <c r="D21" s="15" t="inlineStr">
        <is>
          <t>Chảy không ngập</t>
        </is>
      </c>
      <c r="E21" s="10" t="n"/>
      <c r="F21" s="10" t="n"/>
      <c r="G21" s="10" t="n"/>
      <c r="H21" s="11" t="n"/>
    </row>
    <row r="22">
      <c r="A22" s="12" t="inlineStr">
        <is>
          <t>Số cửa không mở được khi sự cố</t>
        </is>
      </c>
      <c r="B22" s="16" t="n">
        <v>1</v>
      </c>
      <c r="C22" s="14" t="inlineStr">
        <is>
          <t>cửa</t>
        </is>
      </c>
      <c r="D22" s="15" t="inlineStr">
        <is>
          <t>Trường hợp sự cố</t>
        </is>
      </c>
      <c r="E22" s="10" t="n"/>
      <c r="F22" s="10" t="n"/>
      <c r="G22" s="10" t="n"/>
      <c r="H22" s="11" t="n"/>
    </row>
    <row r="23">
      <c r="A23" s="12" t="inlineStr">
        <is>
          <t>Số khoang làm việc khi sự cố</t>
        </is>
      </c>
      <c r="B23" s="17">
        <f>TC_n-TC_hong</f>
        <v/>
      </c>
      <c r="C23" s="14" t="inlineStr">
        <is>
          <t>khoang</t>
        </is>
      </c>
      <c r="D23" s="15" t="inlineStr"/>
      <c r="E23" s="10" t="n"/>
      <c r="F23" s="10" t="n"/>
      <c r="G23" s="10" t="n"/>
      <c r="H23" s="11" t="n"/>
    </row>
    <row r="25">
      <c r="A25" s="8" t="inlineStr">
        <is>
          <t>C. TRÀN SỰ CỐ (1 khoang có cửa van – mở hoàn toàn khi đón lũ)</t>
        </is>
      </c>
    </row>
    <row r="26">
      <c r="A26" s="9" t="inlineStr">
        <is>
          <t>Thông số</t>
        </is>
      </c>
      <c r="B26" s="9" t="inlineStr">
        <is>
          <t>Giá trị</t>
        </is>
      </c>
      <c r="C26" s="9" t="inlineStr">
        <is>
          <t>Đơn vị</t>
        </is>
      </c>
      <c r="D26" s="9" t="inlineStr">
        <is>
          <t>Ghi chú, nguồn</t>
        </is>
      </c>
      <c r="E26" s="10" t="n"/>
      <c r="F26" s="10" t="n"/>
      <c r="G26" s="10" t="n"/>
      <c r="H26" s="11" t="n"/>
    </row>
    <row r="27">
      <c r="A27" s="12" t="inlineStr">
        <is>
          <t>Cao trình ngưỡng</t>
        </is>
      </c>
      <c r="B27" s="13" t="n">
        <v>71</v>
      </c>
      <c r="C27" s="14" t="inlineStr">
        <is>
          <t>m</t>
        </is>
      </c>
      <c r="D27" s="15" t="inlineStr">
        <is>
          <t>KTTV Bảng 1-2</t>
        </is>
      </c>
      <c r="E27" s="10" t="n"/>
      <c r="F27" s="10" t="n"/>
      <c r="G27" s="10" t="n"/>
      <c r="H27" s="11" t="n"/>
    </row>
    <row r="28">
      <c r="A28" s="12" t="inlineStr">
        <is>
          <t>Số khoang n</t>
        </is>
      </c>
      <c r="B28" s="16" t="n">
        <v>1</v>
      </c>
      <c r="C28" s="14" t="inlineStr">
        <is>
          <t>khoang</t>
        </is>
      </c>
      <c r="D28" s="15" t="inlineStr"/>
      <c r="E28" s="10" t="n"/>
      <c r="F28" s="10" t="n"/>
      <c r="G28" s="10" t="n"/>
      <c r="H28" s="11" t="n"/>
    </row>
    <row r="29">
      <c r="A29" s="12" t="inlineStr">
        <is>
          <t>Bề rộng khoang b</t>
        </is>
      </c>
      <c r="B29" s="13" t="n">
        <v>5</v>
      </c>
      <c r="C29" s="14" t="inlineStr">
        <is>
          <t>m</t>
        </is>
      </c>
      <c r="D29" s="15" t="inlineStr"/>
      <c r="E29" s="10" t="n"/>
      <c r="F29" s="10" t="n"/>
      <c r="G29" s="10" t="n"/>
      <c r="H29" s="11" t="n"/>
    </row>
    <row r="30">
      <c r="A30" s="12" t="inlineStr">
        <is>
          <t>Hệ số lưu lượng m</t>
        </is>
      </c>
      <c r="B30" s="19" t="n">
        <v>0.45</v>
      </c>
      <c r="C30" s="14" t="inlineStr"/>
      <c r="D30" s="15" t="inlineStr">
        <is>
          <t>Như tràn chính</t>
        </is>
      </c>
      <c r="E30" s="10" t="n"/>
      <c r="F30" s="10" t="n"/>
      <c r="G30" s="10" t="n"/>
      <c r="H30" s="11" t="n"/>
    </row>
    <row r="31">
      <c r="A31" s="12" t="inlineStr">
        <is>
          <t>Hệ số hình dạng mố bên ξmb</t>
        </is>
      </c>
      <c r="B31" s="13" t="n">
        <v>0.7</v>
      </c>
      <c r="C31" s="14" t="inlineStr"/>
      <c r="D31" s="15" t="inlineStr"/>
      <c r="E31" s="10" t="n"/>
      <c r="F31" s="10" t="n"/>
      <c r="G31" s="10" t="n"/>
      <c r="H31" s="11" t="n"/>
    </row>
    <row r="32">
      <c r="A32" s="12" t="inlineStr">
        <is>
          <t>Hệ số hình dạng trụ pin ξmt</t>
        </is>
      </c>
      <c r="B32" s="13" t="n">
        <v>0.45</v>
      </c>
      <c r="C32" s="14" t="inlineStr"/>
      <c r="D32" s="15" t="inlineStr">
        <is>
          <t>Không dùng khi n = 1</t>
        </is>
      </c>
      <c r="E32" s="10" t="n"/>
      <c r="F32" s="10" t="n"/>
      <c r="G32" s="10" t="n"/>
      <c r="H32" s="11" t="n"/>
    </row>
    <row r="33">
      <c r="A33" s="12" t="inlineStr">
        <is>
          <t>Hệ số chảy ngập σn</t>
        </is>
      </c>
      <c r="B33" s="13" t="n">
        <v>1</v>
      </c>
      <c r="C33" s="14" t="inlineStr"/>
      <c r="D33" s="15" t="inlineStr">
        <is>
          <t>Chảy không ngập</t>
        </is>
      </c>
      <c r="E33" s="10" t="n"/>
      <c r="F33" s="10" t="n"/>
      <c r="G33" s="10" t="n"/>
      <c r="H33" s="11" t="n"/>
    </row>
    <row r="35">
      <c r="A35" s="8" t="inlineStr">
        <is>
          <t>D. ĐƯỜNG QUÁ TRÌNH LŨ ĐẾN (m³/s) – BCNCKT 2022, mô hình Gurdich 36 giờ (KTTV Bảng 4-5)</t>
        </is>
      </c>
    </row>
    <row r="36">
      <c r="A36" s="20" t="inlineStr">
        <is>
          <t>Tần suất P (%) →</t>
        </is>
      </c>
      <c r="B36" s="21" t="n">
        <v>1</v>
      </c>
      <c r="C36" s="21" t="n">
        <v>0.2</v>
      </c>
    </row>
    <row r="37">
      <c r="A37" s="9" t="inlineStr">
        <is>
          <t>t (giờ)</t>
        </is>
      </c>
      <c r="B37" s="9" t="inlineStr">
        <is>
          <t>P = 1%</t>
        </is>
      </c>
      <c r="C37" s="9" t="inlineStr">
        <is>
          <t>P = 0,2%</t>
        </is>
      </c>
    </row>
    <row r="38">
      <c r="A38" s="22" t="n">
        <v>0</v>
      </c>
      <c r="B38" s="23" t="n">
        <v>2</v>
      </c>
      <c r="C38" s="23" t="n">
        <v>4</v>
      </c>
      <c r="D38" s="7" t="inlineStr">
        <is>
          <t>Giờ 0 lấy bằng giờ 1 (như thuyết minh); sau giờ 36 lưu lượng đến = 0.</t>
        </is>
      </c>
    </row>
    <row r="39">
      <c r="A39" s="22" t="n">
        <v>1</v>
      </c>
      <c r="B39" s="23" t="n">
        <v>2</v>
      </c>
      <c r="C39" s="23" t="n">
        <v>4</v>
      </c>
    </row>
    <row r="40">
      <c r="A40" s="22" t="n">
        <v>2</v>
      </c>
      <c r="B40" s="23" t="n">
        <v>50</v>
      </c>
      <c r="C40" s="23" t="n">
        <v>84</v>
      </c>
    </row>
    <row r="41">
      <c r="A41" s="22" t="n">
        <v>3</v>
      </c>
      <c r="B41" s="23" t="n">
        <v>207</v>
      </c>
      <c r="C41" s="23" t="n">
        <v>324</v>
      </c>
    </row>
    <row r="42">
      <c r="A42" s="22" t="n">
        <v>4</v>
      </c>
      <c r="B42" s="23" t="n">
        <v>437</v>
      </c>
      <c r="C42" s="23" t="n">
        <v>652</v>
      </c>
    </row>
    <row r="43">
      <c r="A43" s="22" t="n">
        <v>5</v>
      </c>
      <c r="B43" s="23" t="n">
        <v>657</v>
      </c>
      <c r="C43" s="23" t="n">
        <v>950</v>
      </c>
    </row>
    <row r="44">
      <c r="A44" s="22" t="n">
        <v>6</v>
      </c>
      <c r="B44" s="23" t="n">
        <v>816</v>
      </c>
      <c r="C44" s="23" t="n">
        <v>1150</v>
      </c>
    </row>
    <row r="45">
      <c r="A45" s="22" t="n">
        <v>7</v>
      </c>
      <c r="B45" s="23" t="n">
        <v>898</v>
      </c>
      <c r="C45" s="23" t="n">
        <v>1239</v>
      </c>
    </row>
    <row r="46">
      <c r="A46" s="22" t="n">
        <v>8</v>
      </c>
      <c r="B46" s="23" t="n">
        <v>914</v>
      </c>
      <c r="C46" s="23" t="n">
        <v>1236</v>
      </c>
    </row>
    <row r="47">
      <c r="A47" s="22" t="n">
        <v>9</v>
      </c>
      <c r="B47" s="23" t="n">
        <v>879</v>
      </c>
      <c r="C47" s="23" t="n">
        <v>1168</v>
      </c>
    </row>
    <row r="48">
      <c r="A48" s="22" t="n">
        <v>10</v>
      </c>
      <c r="B48" s="23" t="n">
        <v>812</v>
      </c>
      <c r="C48" s="23" t="n">
        <v>1062</v>
      </c>
    </row>
    <row r="49">
      <c r="A49" s="22" t="n">
        <v>11</v>
      </c>
      <c r="B49" s="23" t="n">
        <v>727</v>
      </c>
      <c r="C49" s="23" t="n">
        <v>937</v>
      </c>
    </row>
    <row r="50">
      <c r="A50" s="22" t="n">
        <v>12</v>
      </c>
      <c r="B50" s="23" t="n">
        <v>636</v>
      </c>
      <c r="C50" s="23" t="n">
        <v>808</v>
      </c>
    </row>
    <row r="51">
      <c r="A51" s="22" t="n">
        <v>13</v>
      </c>
      <c r="B51" s="23" t="n">
        <v>547</v>
      </c>
      <c r="C51" s="23" t="n">
        <v>685</v>
      </c>
    </row>
    <row r="52">
      <c r="A52" s="22" t="n">
        <v>14</v>
      </c>
      <c r="B52" s="23" t="n">
        <v>461</v>
      </c>
      <c r="C52" s="23" t="n">
        <v>572</v>
      </c>
    </row>
    <row r="53">
      <c r="A53" s="22" t="n">
        <v>15</v>
      </c>
      <c r="B53" s="23" t="n">
        <v>386</v>
      </c>
      <c r="C53" s="23" t="n">
        <v>472</v>
      </c>
    </row>
    <row r="54">
      <c r="A54" s="22" t="n">
        <v>16</v>
      </c>
      <c r="B54" s="23" t="n">
        <v>321</v>
      </c>
      <c r="C54" s="23" t="n">
        <v>387</v>
      </c>
    </row>
    <row r="55">
      <c r="A55" s="22" t="n">
        <v>17</v>
      </c>
      <c r="B55" s="23" t="n">
        <v>263</v>
      </c>
      <c r="C55" s="23" t="n">
        <v>313</v>
      </c>
    </row>
    <row r="56">
      <c r="A56" s="22" t="n">
        <v>18</v>
      </c>
      <c r="B56" s="23" t="n">
        <v>214</v>
      </c>
      <c r="C56" s="23" t="n">
        <v>253</v>
      </c>
    </row>
    <row r="57">
      <c r="A57" s="22" t="n">
        <v>19</v>
      </c>
      <c r="B57" s="23" t="n">
        <v>174</v>
      </c>
      <c r="C57" s="23" t="n">
        <v>203</v>
      </c>
    </row>
    <row r="58">
      <c r="A58" s="22" t="n">
        <v>20</v>
      </c>
      <c r="B58" s="23" t="n">
        <v>141</v>
      </c>
      <c r="C58" s="23" t="n">
        <v>161</v>
      </c>
    </row>
    <row r="59">
      <c r="A59" s="22" t="n">
        <v>21</v>
      </c>
      <c r="B59" s="23" t="n">
        <v>112</v>
      </c>
      <c r="C59" s="23" t="n">
        <v>128</v>
      </c>
    </row>
    <row r="60">
      <c r="A60" s="22" t="n">
        <v>22</v>
      </c>
      <c r="B60" s="23" t="n">
        <v>89</v>
      </c>
      <c r="C60" s="23" t="n">
        <v>101</v>
      </c>
    </row>
    <row r="61">
      <c r="A61" s="22" t="n">
        <v>23</v>
      </c>
      <c r="B61" s="23" t="n">
        <v>71</v>
      </c>
      <c r="C61" s="23" t="n">
        <v>81</v>
      </c>
    </row>
    <row r="62">
      <c r="A62" s="22" t="n">
        <v>24</v>
      </c>
      <c r="B62" s="23" t="n">
        <v>57</v>
      </c>
      <c r="C62" s="23" t="n">
        <v>63</v>
      </c>
    </row>
    <row r="63">
      <c r="A63" s="22" t="n">
        <v>25</v>
      </c>
      <c r="B63" s="23" t="n">
        <v>46</v>
      </c>
      <c r="C63" s="23" t="n">
        <v>50</v>
      </c>
    </row>
    <row r="64">
      <c r="A64" s="22" t="n">
        <v>26</v>
      </c>
      <c r="B64" s="23" t="n">
        <v>36</v>
      </c>
      <c r="C64" s="23" t="n">
        <v>39</v>
      </c>
    </row>
    <row r="65">
      <c r="A65" s="22" t="n">
        <v>27</v>
      </c>
      <c r="B65" s="23" t="n">
        <v>29</v>
      </c>
      <c r="C65" s="23" t="n">
        <v>30</v>
      </c>
    </row>
    <row r="66">
      <c r="A66" s="22" t="n">
        <v>28</v>
      </c>
      <c r="B66" s="23" t="n">
        <v>23</v>
      </c>
      <c r="C66" s="23" t="n">
        <v>24</v>
      </c>
    </row>
    <row r="67">
      <c r="A67" s="22" t="n">
        <v>29</v>
      </c>
      <c r="B67" s="23" t="n">
        <v>18</v>
      </c>
      <c r="C67" s="23" t="n">
        <v>18</v>
      </c>
    </row>
    <row r="68">
      <c r="A68" s="22" t="n">
        <v>30</v>
      </c>
      <c r="B68" s="23" t="n">
        <v>14</v>
      </c>
      <c r="C68" s="23" t="n">
        <v>14</v>
      </c>
    </row>
    <row r="69">
      <c r="A69" s="22" t="n">
        <v>31</v>
      </c>
      <c r="B69" s="23" t="n">
        <v>11</v>
      </c>
      <c r="C69" s="23" t="n">
        <v>11</v>
      </c>
    </row>
    <row r="70">
      <c r="A70" s="22" t="n">
        <v>32</v>
      </c>
      <c r="B70" s="23" t="n">
        <v>8</v>
      </c>
      <c r="C70" s="23" t="n">
        <v>9</v>
      </c>
    </row>
    <row r="71">
      <c r="A71" s="22" t="n">
        <v>33</v>
      </c>
      <c r="B71" s="23" t="n">
        <v>7</v>
      </c>
      <c r="C71" s="23" t="n">
        <v>7</v>
      </c>
    </row>
    <row r="72">
      <c r="A72" s="22" t="n">
        <v>34</v>
      </c>
      <c r="B72" s="23" t="n">
        <v>5</v>
      </c>
      <c r="C72" s="23" t="n">
        <v>5</v>
      </c>
    </row>
    <row r="73">
      <c r="A73" s="22" t="n">
        <v>35</v>
      </c>
      <c r="B73" s="23" t="n">
        <v>4</v>
      </c>
      <c r="C73" s="23" t="n">
        <v>4</v>
      </c>
    </row>
    <row r="74">
      <c r="A74" s="22" t="n">
        <v>36</v>
      </c>
      <c r="B74" s="23" t="n">
        <v>3</v>
      </c>
      <c r="C74" s="23" t="n">
        <v>3</v>
      </c>
    </row>
    <row r="77">
      <c r="A77" s="8" t="inlineStr">
        <is>
          <t>E. QUAN HỆ Z ~ F ~ W – BÌNH ĐỒ 2022 (QTVH Bảng 1-2)</t>
        </is>
      </c>
    </row>
    <row r="78">
      <c r="A78" s="9" t="inlineStr">
        <is>
          <t>Z (m)</t>
        </is>
      </c>
      <c r="B78" s="9" t="inlineStr">
        <is>
          <t>F (km²)</t>
        </is>
      </c>
      <c r="C78" s="9" t="inlineStr">
        <is>
          <t>W (10⁶ m³)</t>
        </is>
      </c>
    </row>
    <row r="79">
      <c r="A79" s="24" t="n">
        <v>59</v>
      </c>
      <c r="B79" s="24" t="n">
        <v>0</v>
      </c>
      <c r="C79" s="25" t="n">
        <v>0</v>
      </c>
      <c r="D79" s="7" t="inlineStr">
        <is>
          <t>W cộng dồn từ F (F biến đổi tuyến tính giữa hai cao trình) – V(+74,70) = 36,41·10⁶ m³ như thuyết minh.</t>
        </is>
      </c>
    </row>
    <row r="80">
      <c r="A80" s="24" t="n">
        <v>60</v>
      </c>
      <c r="B80" s="24" t="n">
        <v>0.09</v>
      </c>
      <c r="C80" s="25">
        <f>C79+(A80-A79)*(B79+B80)/2</f>
        <v/>
      </c>
    </row>
    <row r="81">
      <c r="A81" s="24" t="n">
        <v>61</v>
      </c>
      <c r="B81" s="24" t="n">
        <v>0.21</v>
      </c>
      <c r="C81" s="25">
        <f>C80+(A81-A80)*(B80+B81)/2</f>
        <v/>
      </c>
    </row>
    <row r="82">
      <c r="A82" s="24" t="n">
        <v>62</v>
      </c>
      <c r="B82" s="24" t="n">
        <v>0.4</v>
      </c>
      <c r="C82" s="25">
        <f>C81+(A82-A81)*(B81+B82)/2</f>
        <v/>
      </c>
    </row>
    <row r="83">
      <c r="A83" s="24" t="n">
        <v>63</v>
      </c>
      <c r="B83" s="24" t="n">
        <v>0.62</v>
      </c>
      <c r="C83" s="25">
        <f>C82+(A83-A82)*(B82+B83)/2</f>
        <v/>
      </c>
    </row>
    <row r="84">
      <c r="A84" s="24" t="n">
        <v>64</v>
      </c>
      <c r="B84" s="24" t="n">
        <v>0.87</v>
      </c>
      <c r="C84" s="25">
        <f>C83+(A84-A83)*(B83+B84)/2</f>
        <v/>
      </c>
    </row>
    <row r="85">
      <c r="A85" s="24" t="n">
        <v>65</v>
      </c>
      <c r="B85" s="24" t="n">
        <v>1.16</v>
      </c>
      <c r="C85" s="25">
        <f>C84+(A85-A84)*(B84+B85)/2</f>
        <v/>
      </c>
    </row>
    <row r="86">
      <c r="A86" s="24" t="n">
        <v>66</v>
      </c>
      <c r="B86" s="24" t="n">
        <v>1.48</v>
      </c>
      <c r="C86" s="25">
        <f>C85+(A86-A85)*(B85+B86)/2</f>
        <v/>
      </c>
    </row>
    <row r="87">
      <c r="A87" s="24" t="n">
        <v>67</v>
      </c>
      <c r="B87" s="24" t="n">
        <v>1.92</v>
      </c>
      <c r="C87" s="25">
        <f>C86+(A87-A86)*(B86+B87)/2</f>
        <v/>
      </c>
    </row>
    <row r="88">
      <c r="A88" s="24" t="n">
        <v>68</v>
      </c>
      <c r="B88" s="24" t="n">
        <v>2.45</v>
      </c>
      <c r="C88" s="25">
        <f>C87+(A88-A87)*(B87+B88)/2</f>
        <v/>
      </c>
    </row>
    <row r="89">
      <c r="A89" s="24" t="n">
        <v>69</v>
      </c>
      <c r="B89" s="24" t="n">
        <v>2.94</v>
      </c>
      <c r="C89" s="25">
        <f>C88+(A89-A88)*(B88+B89)/2</f>
        <v/>
      </c>
    </row>
    <row r="90">
      <c r="A90" s="24" t="n">
        <v>70</v>
      </c>
      <c r="B90" s="24" t="n">
        <v>3.45</v>
      </c>
      <c r="C90" s="25">
        <f>C89+(A90-A89)*(B89+B90)/2</f>
        <v/>
      </c>
    </row>
    <row r="91">
      <c r="A91" s="24" t="n">
        <v>71</v>
      </c>
      <c r="B91" s="24" t="n">
        <v>3.95</v>
      </c>
      <c r="C91" s="25">
        <f>C90+(A91-A90)*(B90+B91)/2</f>
        <v/>
      </c>
    </row>
    <row r="92">
      <c r="A92" s="24" t="n">
        <v>72</v>
      </c>
      <c r="B92" s="24" t="n">
        <v>4.55</v>
      </c>
      <c r="C92" s="25">
        <f>C91+(A92-A91)*(B91+B92)/2</f>
        <v/>
      </c>
    </row>
    <row r="93">
      <c r="A93" s="24" t="n">
        <v>73</v>
      </c>
      <c r="B93" s="24" t="n">
        <v>5.2</v>
      </c>
      <c r="C93" s="25">
        <f>C92+(A93-A92)*(B92+B93)/2</f>
        <v/>
      </c>
    </row>
    <row r="94">
      <c r="A94" s="24" t="n">
        <v>74</v>
      </c>
      <c r="B94" s="24" t="n">
        <v>5.8</v>
      </c>
      <c r="C94" s="25">
        <f>C93+(A94-A93)*(B93+B94)/2</f>
        <v/>
      </c>
    </row>
    <row r="95">
      <c r="A95" s="24" t="n">
        <v>75</v>
      </c>
      <c r="B95" s="24" t="n">
        <v>6.46</v>
      </c>
      <c r="C95" s="25">
        <f>C94+(A95-A94)*(B94+B95)/2</f>
        <v/>
      </c>
    </row>
    <row r="96">
      <c r="A96" s="24" t="n">
        <v>76</v>
      </c>
      <c r="B96" s="24" t="n">
        <v>6.9</v>
      </c>
      <c r="C96" s="25">
        <f>C95+(A96-A95)*(B95+B96)/2</f>
        <v/>
      </c>
    </row>
    <row r="97">
      <c r="A97" s="24" t="n">
        <v>77</v>
      </c>
      <c r="B97" s="24" t="n">
        <v>7.4</v>
      </c>
      <c r="C97" s="25">
        <f>C96+(A97-A96)*(B96+B97)/2</f>
        <v/>
      </c>
    </row>
    <row r="98">
      <c r="A98" s="24" t="n">
        <v>78</v>
      </c>
      <c r="B98" s="24" t="n">
        <v>7.91</v>
      </c>
      <c r="C98" s="25">
        <f>C97+(A98-A97)*(B97+B98)/2</f>
        <v/>
      </c>
    </row>
    <row r="99">
      <c r="A99" s="24" t="n">
        <v>79</v>
      </c>
      <c r="B99" s="24" t="n">
        <v>8.43</v>
      </c>
      <c r="C99" s="25">
        <f>C98+(A99-A98)*(B98+B99)/2</f>
        <v/>
      </c>
    </row>
    <row r="100">
      <c r="A100" s="24" t="n">
        <v>80</v>
      </c>
      <c r="B100" s="24" t="n">
        <v>9.130000000000001</v>
      </c>
      <c r="C100" s="25">
        <f>C99+(A100-A99)*(B99+B100)/2</f>
        <v/>
      </c>
    </row>
    <row r="101">
      <c r="A101" s="24" t="n">
        <v>81</v>
      </c>
      <c r="B101" s="24" t="n">
        <v>9.99</v>
      </c>
      <c r="C101" s="25">
        <f>C100+(A101-A100)*(B100+B101)/2</f>
        <v/>
      </c>
    </row>
    <row r="102">
      <c r="A102" s="24" t="n">
        <v>82</v>
      </c>
      <c r="B102" s="24" t="n">
        <v>10.5</v>
      </c>
      <c r="C102" s="25">
        <f>C101+(A102-A101)*(B101+B102)/2</f>
        <v/>
      </c>
    </row>
    <row r="103">
      <c r="A103" s="24" t="n">
        <v>83</v>
      </c>
      <c r="B103" s="24" t="n">
        <v>11.22</v>
      </c>
      <c r="C103" s="25">
        <f>C102+(A103-A102)*(B102+B103)/2</f>
        <v/>
      </c>
    </row>
    <row r="104">
      <c r="A104" s="24" t="n">
        <v>84</v>
      </c>
      <c r="B104" s="24" t="n">
        <v>11.95</v>
      </c>
      <c r="C104" s="25">
        <f>C103+(A104-A103)*(B103+B104)/2</f>
        <v/>
      </c>
    </row>
    <row r="105">
      <c r="A105" s="24" t="n">
        <v>85</v>
      </c>
      <c r="B105" s="24" t="n">
        <v>12.95</v>
      </c>
      <c r="C105" s="25">
        <f>C104+(A105-A104)*(B104+B105)/2</f>
        <v/>
      </c>
    </row>
  </sheetData>
  <mergeCells count="25">
    <mergeCell ref="D20:H20"/>
    <mergeCell ref="D19:H19"/>
    <mergeCell ref="D31:H31"/>
    <mergeCell ref="D22:H22"/>
    <mergeCell ref="D21:H21"/>
    <mergeCell ref="D6:H6"/>
    <mergeCell ref="D13:H13"/>
    <mergeCell ref="D27:H27"/>
    <mergeCell ref="D32:H32"/>
    <mergeCell ref="D17:H17"/>
    <mergeCell ref="D7:H7"/>
    <mergeCell ref="D16:H16"/>
    <mergeCell ref="D28:H28"/>
    <mergeCell ref="D18:H18"/>
    <mergeCell ref="D9:H9"/>
    <mergeCell ref="D12:H12"/>
    <mergeCell ref="D30:H30"/>
    <mergeCell ref="D8:H8"/>
    <mergeCell ref="D15:H15"/>
    <mergeCell ref="D33:H33"/>
    <mergeCell ref="D29:H29"/>
    <mergeCell ref="D5:H5"/>
    <mergeCell ref="D23:H23"/>
    <mergeCell ref="D14:H14"/>
    <mergeCell ref="D26:H2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8A8984"/>
    <outlinePr summaryBelow="1" summaryRight="1"/>
    <pageSetUpPr fitToPage="1"/>
  </sheetPr>
  <dimension ref="A1:R1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0" customWidth="1" min="4" max="4"/>
    <col width="7" customWidth="1" min="5" max="5"/>
    <col width="8" customWidth="1" min="6" max="6"/>
    <col width="8" customWidth="1" min="7" max="7"/>
    <col width="9" customWidth="1" min="8" max="8"/>
    <col width="9" customWidth="1" min="9" max="9"/>
    <col width="7" customWidth="1" min="10" max="10"/>
    <col width="7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6" t="inlineStr">
        <is>
          <t>BẢNG QUAN HỆ PHỤ TRỢ Z ~ V ~ q ~ f₁ ~ f₂ (bước 0,1 m) – dùng để tra trong các sheet điều tiết</t>
        </is>
      </c>
    </row>
    <row r="2">
      <c r="A2" s="7" t="inlineStr">
        <is>
          <t>f₁ = V/Δt − q/2;  f₂ = V/Δt + q/2 (m³/s). BT – vận hành bình thường (tràn chính 9 khoang); SC – sự cố (tràn chính 8 khoang). q của hồ = q tràn chính + q tràn sự cố tại CÙNG mực nước Z.</t>
        </is>
      </c>
    </row>
    <row r="4" ht="58" customHeight="1">
      <c r="A4" s="9" t="inlineStr">
        <is>
          <t>Z (m)</t>
        </is>
      </c>
      <c r="B4" s="9" t="inlineStr">
        <is>
          <t>F (km²)</t>
        </is>
      </c>
      <c r="C4" s="9" t="inlineStr">
        <is>
          <t>V (10⁶ m³)</t>
        </is>
      </c>
      <c r="D4" s="9" t="inlineStr">
        <is>
          <t>V/Δt (m³/s)</t>
        </is>
      </c>
      <c r="E4" s="9" t="inlineStr">
        <is>
          <t>H tràn chính (m)</t>
        </is>
      </c>
      <c r="F4" s="9" t="inlineStr">
        <is>
          <t>ε tràn chính 9 khoang</t>
        </is>
      </c>
      <c r="G4" s="9" t="inlineStr">
        <is>
          <t>ε tràn chính 8 khoang</t>
        </is>
      </c>
      <c r="H4" s="9" t="inlineStr">
        <is>
          <t>q tràn chính 9 khoang (m³/s)</t>
        </is>
      </c>
      <c r="I4" s="9" t="inlineStr">
        <is>
          <t>q tràn chính 8 khoang (m³/s)</t>
        </is>
      </c>
      <c r="J4" s="9" t="inlineStr">
        <is>
          <t>H tràn sự cố (m)</t>
        </is>
      </c>
      <c r="K4" s="9" t="inlineStr">
        <is>
          <t>ε tràn sự cố</t>
        </is>
      </c>
      <c r="L4" s="9" t="inlineStr">
        <is>
          <t>q tràn sự cố (m³/s)</t>
        </is>
      </c>
      <c r="M4" s="9" t="inlineStr">
        <is>
          <t>q BT (m³/s)</t>
        </is>
      </c>
      <c r="N4" s="9" t="inlineStr">
        <is>
          <t>q SC (m³/s)</t>
        </is>
      </c>
      <c r="O4" s="9" t="inlineStr">
        <is>
          <t>f₁ BT (m³/s)</t>
        </is>
      </c>
      <c r="P4" s="9" t="inlineStr">
        <is>
          <t>f₁ SC (m³/s)</t>
        </is>
      </c>
      <c r="Q4" s="9" t="inlineStr">
        <is>
          <t>f₂ BT (m³/s)</t>
        </is>
      </c>
      <c r="R4" s="9" t="inlineStr">
        <is>
          <t>f₂ SC (m³/s)</t>
        </is>
      </c>
    </row>
    <row r="5">
      <c r="A5" s="26" t="n">
        <v>71</v>
      </c>
      <c r="B5" s="27">
        <f>INDEX(Bang_F,MATCH(A5,Bang_Z,1))+(A5-INDEX(Bang_Z,MATCH(A5,Bang_Z,1)))*(INDEX(Bang_F,MATCH(A5,Bang_Z,1)+1)-INDEX(Bang_F,MATCH(A5,Bang_Z,1)))</f>
        <v/>
      </c>
      <c r="C5" s="27">
        <f>INDEX(Bang_W,MATCH(A5,Bang_Z,1))+(A5-INDEX(Bang_Z,MATCH(A5,Bang_Z,1)))*(INDEX(Bang_F,MATCH(A5,Bang_Z,1))+B5)/2</f>
        <v/>
      </c>
      <c r="D5" s="28">
        <f>C5*1000000/dt_s</f>
        <v/>
      </c>
      <c r="E5" s="29">
        <f>MAX(A5-TC_Z,0)</f>
        <v/>
      </c>
      <c r="F5" s="30">
        <f>1-0.2*(TC_xmb+(TC_n-1)*TC_xmt)*E5/(TC_n*TC_b)</f>
        <v/>
      </c>
      <c r="G5" s="30">
        <f>1-0.2*(TC_xmb+(TC_n_sc-1)*TC_xmt)*E5/(TC_n_sc*TC_b)</f>
        <v/>
      </c>
      <c r="H5" s="31">
        <f>TC_s*F5*TC_m*TC_n*TC_b*SQRT(2*g_)*E5^1.5</f>
        <v/>
      </c>
      <c r="I5" s="31">
        <f>TC_s*G5*TC_m*TC_n_sc*TC_b*SQRT(2*g_)*E5^1.5</f>
        <v/>
      </c>
      <c r="J5" s="32">
        <f>MAX(A5-SC_Z,0)</f>
        <v/>
      </c>
      <c r="K5" s="33">
        <f>1-0.2*(SC_xmb+(SC_n-1)*SC_xmt)*J5/(SC_n*SC_b)</f>
        <v/>
      </c>
      <c r="L5" s="34">
        <f>SC_s*K5*SC_m*SC_n*SC_b*SQRT(2*g_)*J5^1.5</f>
        <v/>
      </c>
      <c r="M5" s="35">
        <f>H5+L5</f>
        <v/>
      </c>
      <c r="N5" s="35">
        <f>I5+L5</f>
        <v/>
      </c>
      <c r="O5" s="36">
        <f>D5-M5/2</f>
        <v/>
      </c>
      <c r="P5" s="36">
        <f>D5-N5/2</f>
        <v/>
      </c>
      <c r="Q5" s="36">
        <f>D5+M5/2</f>
        <v/>
      </c>
      <c r="R5" s="36">
        <f>D5+N5/2</f>
        <v/>
      </c>
    </row>
    <row r="6">
      <c r="A6" s="26">
        <f>ROUND(A5+0.1,2)</f>
        <v/>
      </c>
      <c r="B6" s="27">
        <f>INDEX(Bang_F,MATCH(A6,Bang_Z,1))+(A6-INDEX(Bang_Z,MATCH(A6,Bang_Z,1)))*(INDEX(Bang_F,MATCH(A6,Bang_Z,1)+1)-INDEX(Bang_F,MATCH(A6,Bang_Z,1)))</f>
        <v/>
      </c>
      <c r="C6" s="27">
        <f>INDEX(Bang_W,MATCH(A6,Bang_Z,1))+(A6-INDEX(Bang_Z,MATCH(A6,Bang_Z,1)))*(INDEX(Bang_F,MATCH(A6,Bang_Z,1))+B6)/2</f>
        <v/>
      </c>
      <c r="D6" s="28">
        <f>C6*1000000/dt_s</f>
        <v/>
      </c>
      <c r="E6" s="29">
        <f>MAX(A6-TC_Z,0)</f>
        <v/>
      </c>
      <c r="F6" s="30">
        <f>1-0.2*(TC_xmb+(TC_n-1)*TC_xmt)*E6/(TC_n*TC_b)</f>
        <v/>
      </c>
      <c r="G6" s="30">
        <f>1-0.2*(TC_xmb+(TC_n_sc-1)*TC_xmt)*E6/(TC_n_sc*TC_b)</f>
        <v/>
      </c>
      <c r="H6" s="31">
        <f>TC_s*F6*TC_m*TC_n*TC_b*SQRT(2*g_)*E6^1.5</f>
        <v/>
      </c>
      <c r="I6" s="31">
        <f>TC_s*G6*TC_m*TC_n_sc*TC_b*SQRT(2*g_)*E6^1.5</f>
        <v/>
      </c>
      <c r="J6" s="32">
        <f>MAX(A6-SC_Z,0)</f>
        <v/>
      </c>
      <c r="K6" s="33">
        <f>1-0.2*(SC_xmb+(SC_n-1)*SC_xmt)*J6/(SC_n*SC_b)</f>
        <v/>
      </c>
      <c r="L6" s="34">
        <f>SC_s*K6*SC_m*SC_n*SC_b*SQRT(2*g_)*J6^1.5</f>
        <v/>
      </c>
      <c r="M6" s="35">
        <f>H6+L6</f>
        <v/>
      </c>
      <c r="N6" s="35">
        <f>I6+L6</f>
        <v/>
      </c>
      <c r="O6" s="36">
        <f>D6-M6/2</f>
        <v/>
      </c>
      <c r="P6" s="36">
        <f>D6-N6/2</f>
        <v/>
      </c>
      <c r="Q6" s="36">
        <f>D6+M6/2</f>
        <v/>
      </c>
      <c r="R6" s="36">
        <f>D6+N6/2</f>
        <v/>
      </c>
    </row>
    <row r="7">
      <c r="A7" s="26">
        <f>ROUND(A6+0.1,2)</f>
        <v/>
      </c>
      <c r="B7" s="27">
        <f>INDEX(Bang_F,MATCH(A7,Bang_Z,1))+(A7-INDEX(Bang_Z,MATCH(A7,Bang_Z,1)))*(INDEX(Bang_F,MATCH(A7,Bang_Z,1)+1)-INDEX(Bang_F,MATCH(A7,Bang_Z,1)))</f>
        <v/>
      </c>
      <c r="C7" s="27">
        <f>INDEX(Bang_W,MATCH(A7,Bang_Z,1))+(A7-INDEX(Bang_Z,MATCH(A7,Bang_Z,1)))*(INDEX(Bang_F,MATCH(A7,Bang_Z,1))+B7)/2</f>
        <v/>
      </c>
      <c r="D7" s="28">
        <f>C7*1000000/dt_s</f>
        <v/>
      </c>
      <c r="E7" s="29">
        <f>MAX(A7-TC_Z,0)</f>
        <v/>
      </c>
      <c r="F7" s="30">
        <f>1-0.2*(TC_xmb+(TC_n-1)*TC_xmt)*E7/(TC_n*TC_b)</f>
        <v/>
      </c>
      <c r="G7" s="30">
        <f>1-0.2*(TC_xmb+(TC_n_sc-1)*TC_xmt)*E7/(TC_n_sc*TC_b)</f>
        <v/>
      </c>
      <c r="H7" s="31">
        <f>TC_s*F7*TC_m*TC_n*TC_b*SQRT(2*g_)*E7^1.5</f>
        <v/>
      </c>
      <c r="I7" s="31">
        <f>TC_s*G7*TC_m*TC_n_sc*TC_b*SQRT(2*g_)*E7^1.5</f>
        <v/>
      </c>
      <c r="J7" s="32">
        <f>MAX(A7-SC_Z,0)</f>
        <v/>
      </c>
      <c r="K7" s="33">
        <f>1-0.2*(SC_xmb+(SC_n-1)*SC_xmt)*J7/(SC_n*SC_b)</f>
        <v/>
      </c>
      <c r="L7" s="34">
        <f>SC_s*K7*SC_m*SC_n*SC_b*SQRT(2*g_)*J7^1.5</f>
        <v/>
      </c>
      <c r="M7" s="35">
        <f>H7+L7</f>
        <v/>
      </c>
      <c r="N7" s="35">
        <f>I7+L7</f>
        <v/>
      </c>
      <c r="O7" s="36">
        <f>D7-M7/2</f>
        <v/>
      </c>
      <c r="P7" s="36">
        <f>D7-N7/2</f>
        <v/>
      </c>
      <c r="Q7" s="36">
        <f>D7+M7/2</f>
        <v/>
      </c>
      <c r="R7" s="36">
        <f>D7+N7/2</f>
        <v/>
      </c>
    </row>
    <row r="8">
      <c r="A8" s="26">
        <f>ROUND(A7+0.1,2)</f>
        <v/>
      </c>
      <c r="B8" s="27">
        <f>INDEX(Bang_F,MATCH(A8,Bang_Z,1))+(A8-INDEX(Bang_Z,MATCH(A8,Bang_Z,1)))*(INDEX(Bang_F,MATCH(A8,Bang_Z,1)+1)-INDEX(Bang_F,MATCH(A8,Bang_Z,1)))</f>
        <v/>
      </c>
      <c r="C8" s="27">
        <f>INDEX(Bang_W,MATCH(A8,Bang_Z,1))+(A8-INDEX(Bang_Z,MATCH(A8,Bang_Z,1)))*(INDEX(Bang_F,MATCH(A8,Bang_Z,1))+B8)/2</f>
        <v/>
      </c>
      <c r="D8" s="28">
        <f>C8*1000000/dt_s</f>
        <v/>
      </c>
      <c r="E8" s="29">
        <f>MAX(A8-TC_Z,0)</f>
        <v/>
      </c>
      <c r="F8" s="30">
        <f>1-0.2*(TC_xmb+(TC_n-1)*TC_xmt)*E8/(TC_n*TC_b)</f>
        <v/>
      </c>
      <c r="G8" s="30">
        <f>1-0.2*(TC_xmb+(TC_n_sc-1)*TC_xmt)*E8/(TC_n_sc*TC_b)</f>
        <v/>
      </c>
      <c r="H8" s="31">
        <f>TC_s*F8*TC_m*TC_n*TC_b*SQRT(2*g_)*E8^1.5</f>
        <v/>
      </c>
      <c r="I8" s="31">
        <f>TC_s*G8*TC_m*TC_n_sc*TC_b*SQRT(2*g_)*E8^1.5</f>
        <v/>
      </c>
      <c r="J8" s="32">
        <f>MAX(A8-SC_Z,0)</f>
        <v/>
      </c>
      <c r="K8" s="33">
        <f>1-0.2*(SC_xmb+(SC_n-1)*SC_xmt)*J8/(SC_n*SC_b)</f>
        <v/>
      </c>
      <c r="L8" s="34">
        <f>SC_s*K8*SC_m*SC_n*SC_b*SQRT(2*g_)*J8^1.5</f>
        <v/>
      </c>
      <c r="M8" s="35">
        <f>H8+L8</f>
        <v/>
      </c>
      <c r="N8" s="35">
        <f>I8+L8</f>
        <v/>
      </c>
      <c r="O8" s="36">
        <f>D8-M8/2</f>
        <v/>
      </c>
      <c r="P8" s="36">
        <f>D8-N8/2</f>
        <v/>
      </c>
      <c r="Q8" s="36">
        <f>D8+M8/2</f>
        <v/>
      </c>
      <c r="R8" s="36">
        <f>D8+N8/2</f>
        <v/>
      </c>
    </row>
    <row r="9">
      <c r="A9" s="26">
        <f>ROUND(A8+0.1,2)</f>
        <v/>
      </c>
      <c r="B9" s="27">
        <f>INDEX(Bang_F,MATCH(A9,Bang_Z,1))+(A9-INDEX(Bang_Z,MATCH(A9,Bang_Z,1)))*(INDEX(Bang_F,MATCH(A9,Bang_Z,1)+1)-INDEX(Bang_F,MATCH(A9,Bang_Z,1)))</f>
        <v/>
      </c>
      <c r="C9" s="27">
        <f>INDEX(Bang_W,MATCH(A9,Bang_Z,1))+(A9-INDEX(Bang_Z,MATCH(A9,Bang_Z,1)))*(INDEX(Bang_F,MATCH(A9,Bang_Z,1))+B9)/2</f>
        <v/>
      </c>
      <c r="D9" s="28">
        <f>C9*1000000/dt_s</f>
        <v/>
      </c>
      <c r="E9" s="29">
        <f>MAX(A9-TC_Z,0)</f>
        <v/>
      </c>
      <c r="F9" s="30">
        <f>1-0.2*(TC_xmb+(TC_n-1)*TC_xmt)*E9/(TC_n*TC_b)</f>
        <v/>
      </c>
      <c r="G9" s="30">
        <f>1-0.2*(TC_xmb+(TC_n_sc-1)*TC_xmt)*E9/(TC_n_sc*TC_b)</f>
        <v/>
      </c>
      <c r="H9" s="31">
        <f>TC_s*F9*TC_m*TC_n*TC_b*SQRT(2*g_)*E9^1.5</f>
        <v/>
      </c>
      <c r="I9" s="31">
        <f>TC_s*G9*TC_m*TC_n_sc*TC_b*SQRT(2*g_)*E9^1.5</f>
        <v/>
      </c>
      <c r="J9" s="32">
        <f>MAX(A9-SC_Z,0)</f>
        <v/>
      </c>
      <c r="K9" s="33">
        <f>1-0.2*(SC_xmb+(SC_n-1)*SC_xmt)*J9/(SC_n*SC_b)</f>
        <v/>
      </c>
      <c r="L9" s="34">
        <f>SC_s*K9*SC_m*SC_n*SC_b*SQRT(2*g_)*J9^1.5</f>
        <v/>
      </c>
      <c r="M9" s="35">
        <f>H9+L9</f>
        <v/>
      </c>
      <c r="N9" s="35">
        <f>I9+L9</f>
        <v/>
      </c>
      <c r="O9" s="36">
        <f>D9-M9/2</f>
        <v/>
      </c>
      <c r="P9" s="36">
        <f>D9-N9/2</f>
        <v/>
      </c>
      <c r="Q9" s="36">
        <f>D9+M9/2</f>
        <v/>
      </c>
      <c r="R9" s="36">
        <f>D9+N9/2</f>
        <v/>
      </c>
    </row>
    <row r="10">
      <c r="A10" s="26">
        <f>ROUND(A9+0.1,2)</f>
        <v/>
      </c>
      <c r="B10" s="27">
        <f>INDEX(Bang_F,MATCH(A10,Bang_Z,1))+(A10-INDEX(Bang_Z,MATCH(A10,Bang_Z,1)))*(INDEX(Bang_F,MATCH(A10,Bang_Z,1)+1)-INDEX(Bang_F,MATCH(A10,Bang_Z,1)))</f>
        <v/>
      </c>
      <c r="C10" s="27">
        <f>INDEX(Bang_W,MATCH(A10,Bang_Z,1))+(A10-INDEX(Bang_Z,MATCH(A10,Bang_Z,1)))*(INDEX(Bang_F,MATCH(A10,Bang_Z,1))+B10)/2</f>
        <v/>
      </c>
      <c r="D10" s="28">
        <f>C10*1000000/dt_s</f>
        <v/>
      </c>
      <c r="E10" s="29">
        <f>MAX(A10-TC_Z,0)</f>
        <v/>
      </c>
      <c r="F10" s="30">
        <f>1-0.2*(TC_xmb+(TC_n-1)*TC_xmt)*E10/(TC_n*TC_b)</f>
        <v/>
      </c>
      <c r="G10" s="30">
        <f>1-0.2*(TC_xmb+(TC_n_sc-1)*TC_xmt)*E10/(TC_n_sc*TC_b)</f>
        <v/>
      </c>
      <c r="H10" s="31">
        <f>TC_s*F10*TC_m*TC_n*TC_b*SQRT(2*g_)*E10^1.5</f>
        <v/>
      </c>
      <c r="I10" s="31">
        <f>TC_s*G10*TC_m*TC_n_sc*TC_b*SQRT(2*g_)*E10^1.5</f>
        <v/>
      </c>
      <c r="J10" s="32">
        <f>MAX(A10-SC_Z,0)</f>
        <v/>
      </c>
      <c r="K10" s="33">
        <f>1-0.2*(SC_xmb+(SC_n-1)*SC_xmt)*J10/(SC_n*SC_b)</f>
        <v/>
      </c>
      <c r="L10" s="34">
        <f>SC_s*K10*SC_m*SC_n*SC_b*SQRT(2*g_)*J10^1.5</f>
        <v/>
      </c>
      <c r="M10" s="35">
        <f>H10+L10</f>
        <v/>
      </c>
      <c r="N10" s="35">
        <f>I10+L10</f>
        <v/>
      </c>
      <c r="O10" s="36">
        <f>D10-M10/2</f>
        <v/>
      </c>
      <c r="P10" s="36">
        <f>D10-N10/2</f>
        <v/>
      </c>
      <c r="Q10" s="36">
        <f>D10+M10/2</f>
        <v/>
      </c>
      <c r="R10" s="36">
        <f>D10+N10/2</f>
        <v/>
      </c>
    </row>
    <row r="11">
      <c r="A11" s="26">
        <f>ROUND(A10+0.1,2)</f>
        <v/>
      </c>
      <c r="B11" s="27">
        <f>INDEX(Bang_F,MATCH(A11,Bang_Z,1))+(A11-INDEX(Bang_Z,MATCH(A11,Bang_Z,1)))*(INDEX(Bang_F,MATCH(A11,Bang_Z,1)+1)-INDEX(Bang_F,MATCH(A11,Bang_Z,1)))</f>
        <v/>
      </c>
      <c r="C11" s="27">
        <f>INDEX(Bang_W,MATCH(A11,Bang_Z,1))+(A11-INDEX(Bang_Z,MATCH(A11,Bang_Z,1)))*(INDEX(Bang_F,MATCH(A11,Bang_Z,1))+B11)/2</f>
        <v/>
      </c>
      <c r="D11" s="28">
        <f>C11*1000000/dt_s</f>
        <v/>
      </c>
      <c r="E11" s="29">
        <f>MAX(A11-TC_Z,0)</f>
        <v/>
      </c>
      <c r="F11" s="30">
        <f>1-0.2*(TC_xmb+(TC_n-1)*TC_xmt)*E11/(TC_n*TC_b)</f>
        <v/>
      </c>
      <c r="G11" s="30">
        <f>1-0.2*(TC_xmb+(TC_n_sc-1)*TC_xmt)*E11/(TC_n_sc*TC_b)</f>
        <v/>
      </c>
      <c r="H11" s="31">
        <f>TC_s*F11*TC_m*TC_n*TC_b*SQRT(2*g_)*E11^1.5</f>
        <v/>
      </c>
      <c r="I11" s="31">
        <f>TC_s*G11*TC_m*TC_n_sc*TC_b*SQRT(2*g_)*E11^1.5</f>
        <v/>
      </c>
      <c r="J11" s="32">
        <f>MAX(A11-SC_Z,0)</f>
        <v/>
      </c>
      <c r="K11" s="33">
        <f>1-0.2*(SC_xmb+(SC_n-1)*SC_xmt)*J11/(SC_n*SC_b)</f>
        <v/>
      </c>
      <c r="L11" s="34">
        <f>SC_s*K11*SC_m*SC_n*SC_b*SQRT(2*g_)*J11^1.5</f>
        <v/>
      </c>
      <c r="M11" s="35">
        <f>H11+L11</f>
        <v/>
      </c>
      <c r="N11" s="35">
        <f>I11+L11</f>
        <v/>
      </c>
      <c r="O11" s="36">
        <f>D11-M11/2</f>
        <v/>
      </c>
      <c r="P11" s="36">
        <f>D11-N11/2</f>
        <v/>
      </c>
      <c r="Q11" s="36">
        <f>D11+M11/2</f>
        <v/>
      </c>
      <c r="R11" s="36">
        <f>D11+N11/2</f>
        <v/>
      </c>
    </row>
    <row r="12">
      <c r="A12" s="26">
        <f>ROUND(A11+0.1,2)</f>
        <v/>
      </c>
      <c r="B12" s="27">
        <f>INDEX(Bang_F,MATCH(A12,Bang_Z,1))+(A12-INDEX(Bang_Z,MATCH(A12,Bang_Z,1)))*(INDEX(Bang_F,MATCH(A12,Bang_Z,1)+1)-INDEX(Bang_F,MATCH(A12,Bang_Z,1)))</f>
        <v/>
      </c>
      <c r="C12" s="27">
        <f>INDEX(Bang_W,MATCH(A12,Bang_Z,1))+(A12-INDEX(Bang_Z,MATCH(A12,Bang_Z,1)))*(INDEX(Bang_F,MATCH(A12,Bang_Z,1))+B12)/2</f>
        <v/>
      </c>
      <c r="D12" s="28">
        <f>C12*1000000/dt_s</f>
        <v/>
      </c>
      <c r="E12" s="29">
        <f>MAX(A12-TC_Z,0)</f>
        <v/>
      </c>
      <c r="F12" s="30">
        <f>1-0.2*(TC_xmb+(TC_n-1)*TC_xmt)*E12/(TC_n*TC_b)</f>
        <v/>
      </c>
      <c r="G12" s="30">
        <f>1-0.2*(TC_xmb+(TC_n_sc-1)*TC_xmt)*E12/(TC_n_sc*TC_b)</f>
        <v/>
      </c>
      <c r="H12" s="31">
        <f>TC_s*F12*TC_m*TC_n*TC_b*SQRT(2*g_)*E12^1.5</f>
        <v/>
      </c>
      <c r="I12" s="31">
        <f>TC_s*G12*TC_m*TC_n_sc*TC_b*SQRT(2*g_)*E12^1.5</f>
        <v/>
      </c>
      <c r="J12" s="32">
        <f>MAX(A12-SC_Z,0)</f>
        <v/>
      </c>
      <c r="K12" s="33">
        <f>1-0.2*(SC_xmb+(SC_n-1)*SC_xmt)*J12/(SC_n*SC_b)</f>
        <v/>
      </c>
      <c r="L12" s="34">
        <f>SC_s*K12*SC_m*SC_n*SC_b*SQRT(2*g_)*J12^1.5</f>
        <v/>
      </c>
      <c r="M12" s="35">
        <f>H12+L12</f>
        <v/>
      </c>
      <c r="N12" s="35">
        <f>I12+L12</f>
        <v/>
      </c>
      <c r="O12" s="36">
        <f>D12-M12/2</f>
        <v/>
      </c>
      <c r="P12" s="36">
        <f>D12-N12/2</f>
        <v/>
      </c>
      <c r="Q12" s="36">
        <f>D12+M12/2</f>
        <v/>
      </c>
      <c r="R12" s="36">
        <f>D12+N12/2</f>
        <v/>
      </c>
    </row>
    <row r="13">
      <c r="A13" s="26">
        <f>ROUND(A12+0.1,2)</f>
        <v/>
      </c>
      <c r="B13" s="27">
        <f>INDEX(Bang_F,MATCH(A13,Bang_Z,1))+(A13-INDEX(Bang_Z,MATCH(A13,Bang_Z,1)))*(INDEX(Bang_F,MATCH(A13,Bang_Z,1)+1)-INDEX(Bang_F,MATCH(A13,Bang_Z,1)))</f>
        <v/>
      </c>
      <c r="C13" s="27">
        <f>INDEX(Bang_W,MATCH(A13,Bang_Z,1))+(A13-INDEX(Bang_Z,MATCH(A13,Bang_Z,1)))*(INDEX(Bang_F,MATCH(A13,Bang_Z,1))+B13)/2</f>
        <v/>
      </c>
      <c r="D13" s="28">
        <f>C13*1000000/dt_s</f>
        <v/>
      </c>
      <c r="E13" s="29">
        <f>MAX(A13-TC_Z,0)</f>
        <v/>
      </c>
      <c r="F13" s="30">
        <f>1-0.2*(TC_xmb+(TC_n-1)*TC_xmt)*E13/(TC_n*TC_b)</f>
        <v/>
      </c>
      <c r="G13" s="30">
        <f>1-0.2*(TC_xmb+(TC_n_sc-1)*TC_xmt)*E13/(TC_n_sc*TC_b)</f>
        <v/>
      </c>
      <c r="H13" s="31">
        <f>TC_s*F13*TC_m*TC_n*TC_b*SQRT(2*g_)*E13^1.5</f>
        <v/>
      </c>
      <c r="I13" s="31">
        <f>TC_s*G13*TC_m*TC_n_sc*TC_b*SQRT(2*g_)*E13^1.5</f>
        <v/>
      </c>
      <c r="J13" s="32">
        <f>MAX(A13-SC_Z,0)</f>
        <v/>
      </c>
      <c r="K13" s="33">
        <f>1-0.2*(SC_xmb+(SC_n-1)*SC_xmt)*J13/(SC_n*SC_b)</f>
        <v/>
      </c>
      <c r="L13" s="34">
        <f>SC_s*K13*SC_m*SC_n*SC_b*SQRT(2*g_)*J13^1.5</f>
        <v/>
      </c>
      <c r="M13" s="35">
        <f>H13+L13</f>
        <v/>
      </c>
      <c r="N13" s="35">
        <f>I13+L13</f>
        <v/>
      </c>
      <c r="O13" s="36">
        <f>D13-M13/2</f>
        <v/>
      </c>
      <c r="P13" s="36">
        <f>D13-N13/2</f>
        <v/>
      </c>
      <c r="Q13" s="36">
        <f>D13+M13/2</f>
        <v/>
      </c>
      <c r="R13" s="36">
        <f>D13+N13/2</f>
        <v/>
      </c>
    </row>
    <row r="14">
      <c r="A14" s="26">
        <f>ROUND(A13+0.1,2)</f>
        <v/>
      </c>
      <c r="B14" s="27">
        <f>INDEX(Bang_F,MATCH(A14,Bang_Z,1))+(A14-INDEX(Bang_Z,MATCH(A14,Bang_Z,1)))*(INDEX(Bang_F,MATCH(A14,Bang_Z,1)+1)-INDEX(Bang_F,MATCH(A14,Bang_Z,1)))</f>
        <v/>
      </c>
      <c r="C14" s="27">
        <f>INDEX(Bang_W,MATCH(A14,Bang_Z,1))+(A14-INDEX(Bang_Z,MATCH(A14,Bang_Z,1)))*(INDEX(Bang_F,MATCH(A14,Bang_Z,1))+B14)/2</f>
        <v/>
      </c>
      <c r="D14" s="28">
        <f>C14*1000000/dt_s</f>
        <v/>
      </c>
      <c r="E14" s="29">
        <f>MAX(A14-TC_Z,0)</f>
        <v/>
      </c>
      <c r="F14" s="30">
        <f>1-0.2*(TC_xmb+(TC_n-1)*TC_xmt)*E14/(TC_n*TC_b)</f>
        <v/>
      </c>
      <c r="G14" s="30">
        <f>1-0.2*(TC_xmb+(TC_n_sc-1)*TC_xmt)*E14/(TC_n_sc*TC_b)</f>
        <v/>
      </c>
      <c r="H14" s="31">
        <f>TC_s*F14*TC_m*TC_n*TC_b*SQRT(2*g_)*E14^1.5</f>
        <v/>
      </c>
      <c r="I14" s="31">
        <f>TC_s*G14*TC_m*TC_n_sc*TC_b*SQRT(2*g_)*E14^1.5</f>
        <v/>
      </c>
      <c r="J14" s="32">
        <f>MAX(A14-SC_Z,0)</f>
        <v/>
      </c>
      <c r="K14" s="33">
        <f>1-0.2*(SC_xmb+(SC_n-1)*SC_xmt)*J14/(SC_n*SC_b)</f>
        <v/>
      </c>
      <c r="L14" s="34">
        <f>SC_s*K14*SC_m*SC_n*SC_b*SQRT(2*g_)*J14^1.5</f>
        <v/>
      </c>
      <c r="M14" s="35">
        <f>H14+L14</f>
        <v/>
      </c>
      <c r="N14" s="35">
        <f>I14+L14</f>
        <v/>
      </c>
      <c r="O14" s="36">
        <f>D14-M14/2</f>
        <v/>
      </c>
      <c r="P14" s="36">
        <f>D14-N14/2</f>
        <v/>
      </c>
      <c r="Q14" s="36">
        <f>D14+M14/2</f>
        <v/>
      </c>
      <c r="R14" s="36">
        <f>D14+N14/2</f>
        <v/>
      </c>
    </row>
    <row r="15">
      <c r="A15" s="26">
        <f>ROUND(A14+0.1,2)</f>
        <v/>
      </c>
      <c r="B15" s="27">
        <f>INDEX(Bang_F,MATCH(A15,Bang_Z,1))+(A15-INDEX(Bang_Z,MATCH(A15,Bang_Z,1)))*(INDEX(Bang_F,MATCH(A15,Bang_Z,1)+1)-INDEX(Bang_F,MATCH(A15,Bang_Z,1)))</f>
        <v/>
      </c>
      <c r="C15" s="27">
        <f>INDEX(Bang_W,MATCH(A15,Bang_Z,1))+(A15-INDEX(Bang_Z,MATCH(A15,Bang_Z,1)))*(INDEX(Bang_F,MATCH(A15,Bang_Z,1))+B15)/2</f>
        <v/>
      </c>
      <c r="D15" s="28">
        <f>C15*1000000/dt_s</f>
        <v/>
      </c>
      <c r="E15" s="29">
        <f>MAX(A15-TC_Z,0)</f>
        <v/>
      </c>
      <c r="F15" s="30">
        <f>1-0.2*(TC_xmb+(TC_n-1)*TC_xmt)*E15/(TC_n*TC_b)</f>
        <v/>
      </c>
      <c r="G15" s="30">
        <f>1-0.2*(TC_xmb+(TC_n_sc-1)*TC_xmt)*E15/(TC_n_sc*TC_b)</f>
        <v/>
      </c>
      <c r="H15" s="31">
        <f>TC_s*F15*TC_m*TC_n*TC_b*SQRT(2*g_)*E15^1.5</f>
        <v/>
      </c>
      <c r="I15" s="31">
        <f>TC_s*G15*TC_m*TC_n_sc*TC_b*SQRT(2*g_)*E15^1.5</f>
        <v/>
      </c>
      <c r="J15" s="32">
        <f>MAX(A15-SC_Z,0)</f>
        <v/>
      </c>
      <c r="K15" s="33">
        <f>1-0.2*(SC_xmb+(SC_n-1)*SC_xmt)*J15/(SC_n*SC_b)</f>
        <v/>
      </c>
      <c r="L15" s="34">
        <f>SC_s*K15*SC_m*SC_n*SC_b*SQRT(2*g_)*J15^1.5</f>
        <v/>
      </c>
      <c r="M15" s="35">
        <f>H15+L15</f>
        <v/>
      </c>
      <c r="N15" s="35">
        <f>I15+L15</f>
        <v/>
      </c>
      <c r="O15" s="36">
        <f>D15-M15/2</f>
        <v/>
      </c>
      <c r="P15" s="36">
        <f>D15-N15/2</f>
        <v/>
      </c>
      <c r="Q15" s="36">
        <f>D15+M15/2</f>
        <v/>
      </c>
      <c r="R15" s="36">
        <f>D15+N15/2</f>
        <v/>
      </c>
    </row>
    <row r="16">
      <c r="A16" s="26">
        <f>ROUND(A15+0.1,2)</f>
        <v/>
      </c>
      <c r="B16" s="27">
        <f>INDEX(Bang_F,MATCH(A16,Bang_Z,1))+(A16-INDEX(Bang_Z,MATCH(A16,Bang_Z,1)))*(INDEX(Bang_F,MATCH(A16,Bang_Z,1)+1)-INDEX(Bang_F,MATCH(A16,Bang_Z,1)))</f>
        <v/>
      </c>
      <c r="C16" s="27">
        <f>INDEX(Bang_W,MATCH(A16,Bang_Z,1))+(A16-INDEX(Bang_Z,MATCH(A16,Bang_Z,1)))*(INDEX(Bang_F,MATCH(A16,Bang_Z,1))+B16)/2</f>
        <v/>
      </c>
      <c r="D16" s="28">
        <f>C16*1000000/dt_s</f>
        <v/>
      </c>
      <c r="E16" s="29">
        <f>MAX(A16-TC_Z,0)</f>
        <v/>
      </c>
      <c r="F16" s="30">
        <f>1-0.2*(TC_xmb+(TC_n-1)*TC_xmt)*E16/(TC_n*TC_b)</f>
        <v/>
      </c>
      <c r="G16" s="30">
        <f>1-0.2*(TC_xmb+(TC_n_sc-1)*TC_xmt)*E16/(TC_n_sc*TC_b)</f>
        <v/>
      </c>
      <c r="H16" s="31">
        <f>TC_s*F16*TC_m*TC_n*TC_b*SQRT(2*g_)*E16^1.5</f>
        <v/>
      </c>
      <c r="I16" s="31">
        <f>TC_s*G16*TC_m*TC_n_sc*TC_b*SQRT(2*g_)*E16^1.5</f>
        <v/>
      </c>
      <c r="J16" s="32">
        <f>MAX(A16-SC_Z,0)</f>
        <v/>
      </c>
      <c r="K16" s="33">
        <f>1-0.2*(SC_xmb+(SC_n-1)*SC_xmt)*J16/(SC_n*SC_b)</f>
        <v/>
      </c>
      <c r="L16" s="34">
        <f>SC_s*K16*SC_m*SC_n*SC_b*SQRT(2*g_)*J16^1.5</f>
        <v/>
      </c>
      <c r="M16" s="35">
        <f>H16+L16</f>
        <v/>
      </c>
      <c r="N16" s="35">
        <f>I16+L16</f>
        <v/>
      </c>
      <c r="O16" s="36">
        <f>D16-M16/2</f>
        <v/>
      </c>
      <c r="P16" s="36">
        <f>D16-N16/2</f>
        <v/>
      </c>
      <c r="Q16" s="36">
        <f>D16+M16/2</f>
        <v/>
      </c>
      <c r="R16" s="36">
        <f>D16+N16/2</f>
        <v/>
      </c>
    </row>
    <row r="17">
      <c r="A17" s="26">
        <f>ROUND(A16+0.1,2)</f>
        <v/>
      </c>
      <c r="B17" s="27">
        <f>INDEX(Bang_F,MATCH(A17,Bang_Z,1))+(A17-INDEX(Bang_Z,MATCH(A17,Bang_Z,1)))*(INDEX(Bang_F,MATCH(A17,Bang_Z,1)+1)-INDEX(Bang_F,MATCH(A17,Bang_Z,1)))</f>
        <v/>
      </c>
      <c r="C17" s="27">
        <f>INDEX(Bang_W,MATCH(A17,Bang_Z,1))+(A17-INDEX(Bang_Z,MATCH(A17,Bang_Z,1)))*(INDEX(Bang_F,MATCH(A17,Bang_Z,1))+B17)/2</f>
        <v/>
      </c>
      <c r="D17" s="28">
        <f>C17*1000000/dt_s</f>
        <v/>
      </c>
      <c r="E17" s="29">
        <f>MAX(A17-TC_Z,0)</f>
        <v/>
      </c>
      <c r="F17" s="30">
        <f>1-0.2*(TC_xmb+(TC_n-1)*TC_xmt)*E17/(TC_n*TC_b)</f>
        <v/>
      </c>
      <c r="G17" s="30">
        <f>1-0.2*(TC_xmb+(TC_n_sc-1)*TC_xmt)*E17/(TC_n_sc*TC_b)</f>
        <v/>
      </c>
      <c r="H17" s="31">
        <f>TC_s*F17*TC_m*TC_n*TC_b*SQRT(2*g_)*E17^1.5</f>
        <v/>
      </c>
      <c r="I17" s="31">
        <f>TC_s*G17*TC_m*TC_n_sc*TC_b*SQRT(2*g_)*E17^1.5</f>
        <v/>
      </c>
      <c r="J17" s="32">
        <f>MAX(A17-SC_Z,0)</f>
        <v/>
      </c>
      <c r="K17" s="33">
        <f>1-0.2*(SC_xmb+(SC_n-1)*SC_xmt)*J17/(SC_n*SC_b)</f>
        <v/>
      </c>
      <c r="L17" s="34">
        <f>SC_s*K17*SC_m*SC_n*SC_b*SQRT(2*g_)*J17^1.5</f>
        <v/>
      </c>
      <c r="M17" s="35">
        <f>H17+L17</f>
        <v/>
      </c>
      <c r="N17" s="35">
        <f>I17+L17</f>
        <v/>
      </c>
      <c r="O17" s="36">
        <f>D17-M17/2</f>
        <v/>
      </c>
      <c r="P17" s="36">
        <f>D17-N17/2</f>
        <v/>
      </c>
      <c r="Q17" s="36">
        <f>D17+M17/2</f>
        <v/>
      </c>
      <c r="R17" s="36">
        <f>D17+N17/2</f>
        <v/>
      </c>
    </row>
    <row r="18">
      <c r="A18" s="26">
        <f>ROUND(A17+0.1,2)</f>
        <v/>
      </c>
      <c r="B18" s="27">
        <f>INDEX(Bang_F,MATCH(A18,Bang_Z,1))+(A18-INDEX(Bang_Z,MATCH(A18,Bang_Z,1)))*(INDEX(Bang_F,MATCH(A18,Bang_Z,1)+1)-INDEX(Bang_F,MATCH(A18,Bang_Z,1)))</f>
        <v/>
      </c>
      <c r="C18" s="27">
        <f>INDEX(Bang_W,MATCH(A18,Bang_Z,1))+(A18-INDEX(Bang_Z,MATCH(A18,Bang_Z,1)))*(INDEX(Bang_F,MATCH(A18,Bang_Z,1))+B18)/2</f>
        <v/>
      </c>
      <c r="D18" s="28">
        <f>C18*1000000/dt_s</f>
        <v/>
      </c>
      <c r="E18" s="29">
        <f>MAX(A18-TC_Z,0)</f>
        <v/>
      </c>
      <c r="F18" s="30">
        <f>1-0.2*(TC_xmb+(TC_n-1)*TC_xmt)*E18/(TC_n*TC_b)</f>
        <v/>
      </c>
      <c r="G18" s="30">
        <f>1-0.2*(TC_xmb+(TC_n_sc-1)*TC_xmt)*E18/(TC_n_sc*TC_b)</f>
        <v/>
      </c>
      <c r="H18" s="31">
        <f>TC_s*F18*TC_m*TC_n*TC_b*SQRT(2*g_)*E18^1.5</f>
        <v/>
      </c>
      <c r="I18" s="31">
        <f>TC_s*G18*TC_m*TC_n_sc*TC_b*SQRT(2*g_)*E18^1.5</f>
        <v/>
      </c>
      <c r="J18" s="32">
        <f>MAX(A18-SC_Z,0)</f>
        <v/>
      </c>
      <c r="K18" s="33">
        <f>1-0.2*(SC_xmb+(SC_n-1)*SC_xmt)*J18/(SC_n*SC_b)</f>
        <v/>
      </c>
      <c r="L18" s="34">
        <f>SC_s*K18*SC_m*SC_n*SC_b*SQRT(2*g_)*J18^1.5</f>
        <v/>
      </c>
      <c r="M18" s="35">
        <f>H18+L18</f>
        <v/>
      </c>
      <c r="N18" s="35">
        <f>I18+L18</f>
        <v/>
      </c>
      <c r="O18" s="36">
        <f>D18-M18/2</f>
        <v/>
      </c>
      <c r="P18" s="36">
        <f>D18-N18/2</f>
        <v/>
      </c>
      <c r="Q18" s="36">
        <f>D18+M18/2</f>
        <v/>
      </c>
      <c r="R18" s="36">
        <f>D18+N18/2</f>
        <v/>
      </c>
    </row>
    <row r="19">
      <c r="A19" s="26">
        <f>ROUND(A18+0.1,2)</f>
        <v/>
      </c>
      <c r="B19" s="27">
        <f>INDEX(Bang_F,MATCH(A19,Bang_Z,1))+(A19-INDEX(Bang_Z,MATCH(A19,Bang_Z,1)))*(INDEX(Bang_F,MATCH(A19,Bang_Z,1)+1)-INDEX(Bang_F,MATCH(A19,Bang_Z,1)))</f>
        <v/>
      </c>
      <c r="C19" s="27">
        <f>INDEX(Bang_W,MATCH(A19,Bang_Z,1))+(A19-INDEX(Bang_Z,MATCH(A19,Bang_Z,1)))*(INDEX(Bang_F,MATCH(A19,Bang_Z,1))+B19)/2</f>
        <v/>
      </c>
      <c r="D19" s="28">
        <f>C19*1000000/dt_s</f>
        <v/>
      </c>
      <c r="E19" s="29">
        <f>MAX(A19-TC_Z,0)</f>
        <v/>
      </c>
      <c r="F19" s="30">
        <f>1-0.2*(TC_xmb+(TC_n-1)*TC_xmt)*E19/(TC_n*TC_b)</f>
        <v/>
      </c>
      <c r="G19" s="30">
        <f>1-0.2*(TC_xmb+(TC_n_sc-1)*TC_xmt)*E19/(TC_n_sc*TC_b)</f>
        <v/>
      </c>
      <c r="H19" s="31">
        <f>TC_s*F19*TC_m*TC_n*TC_b*SQRT(2*g_)*E19^1.5</f>
        <v/>
      </c>
      <c r="I19" s="31">
        <f>TC_s*G19*TC_m*TC_n_sc*TC_b*SQRT(2*g_)*E19^1.5</f>
        <v/>
      </c>
      <c r="J19" s="32">
        <f>MAX(A19-SC_Z,0)</f>
        <v/>
      </c>
      <c r="K19" s="33">
        <f>1-0.2*(SC_xmb+(SC_n-1)*SC_xmt)*J19/(SC_n*SC_b)</f>
        <v/>
      </c>
      <c r="L19" s="34">
        <f>SC_s*K19*SC_m*SC_n*SC_b*SQRT(2*g_)*J19^1.5</f>
        <v/>
      </c>
      <c r="M19" s="35">
        <f>H19+L19</f>
        <v/>
      </c>
      <c r="N19" s="35">
        <f>I19+L19</f>
        <v/>
      </c>
      <c r="O19" s="36">
        <f>D19-M19/2</f>
        <v/>
      </c>
      <c r="P19" s="36">
        <f>D19-N19/2</f>
        <v/>
      </c>
      <c r="Q19" s="36">
        <f>D19+M19/2</f>
        <v/>
      </c>
      <c r="R19" s="36">
        <f>D19+N19/2</f>
        <v/>
      </c>
    </row>
    <row r="20">
      <c r="A20" s="26">
        <f>ROUND(A19+0.1,2)</f>
        <v/>
      </c>
      <c r="B20" s="27">
        <f>INDEX(Bang_F,MATCH(A20,Bang_Z,1))+(A20-INDEX(Bang_Z,MATCH(A20,Bang_Z,1)))*(INDEX(Bang_F,MATCH(A20,Bang_Z,1)+1)-INDEX(Bang_F,MATCH(A20,Bang_Z,1)))</f>
        <v/>
      </c>
      <c r="C20" s="27">
        <f>INDEX(Bang_W,MATCH(A20,Bang_Z,1))+(A20-INDEX(Bang_Z,MATCH(A20,Bang_Z,1)))*(INDEX(Bang_F,MATCH(A20,Bang_Z,1))+B20)/2</f>
        <v/>
      </c>
      <c r="D20" s="28">
        <f>C20*1000000/dt_s</f>
        <v/>
      </c>
      <c r="E20" s="29">
        <f>MAX(A20-TC_Z,0)</f>
        <v/>
      </c>
      <c r="F20" s="30">
        <f>1-0.2*(TC_xmb+(TC_n-1)*TC_xmt)*E20/(TC_n*TC_b)</f>
        <v/>
      </c>
      <c r="G20" s="30">
        <f>1-0.2*(TC_xmb+(TC_n_sc-1)*TC_xmt)*E20/(TC_n_sc*TC_b)</f>
        <v/>
      </c>
      <c r="H20" s="31">
        <f>TC_s*F20*TC_m*TC_n*TC_b*SQRT(2*g_)*E20^1.5</f>
        <v/>
      </c>
      <c r="I20" s="31">
        <f>TC_s*G20*TC_m*TC_n_sc*TC_b*SQRT(2*g_)*E20^1.5</f>
        <v/>
      </c>
      <c r="J20" s="32">
        <f>MAX(A20-SC_Z,0)</f>
        <v/>
      </c>
      <c r="K20" s="33">
        <f>1-0.2*(SC_xmb+(SC_n-1)*SC_xmt)*J20/(SC_n*SC_b)</f>
        <v/>
      </c>
      <c r="L20" s="34">
        <f>SC_s*K20*SC_m*SC_n*SC_b*SQRT(2*g_)*J20^1.5</f>
        <v/>
      </c>
      <c r="M20" s="35">
        <f>H20+L20</f>
        <v/>
      </c>
      <c r="N20" s="35">
        <f>I20+L20</f>
        <v/>
      </c>
      <c r="O20" s="36">
        <f>D20-M20/2</f>
        <v/>
      </c>
      <c r="P20" s="36">
        <f>D20-N20/2</f>
        <v/>
      </c>
      <c r="Q20" s="36">
        <f>D20+M20/2</f>
        <v/>
      </c>
      <c r="R20" s="36">
        <f>D20+N20/2</f>
        <v/>
      </c>
    </row>
    <row r="21">
      <c r="A21" s="26">
        <f>ROUND(A20+0.1,2)</f>
        <v/>
      </c>
      <c r="B21" s="27">
        <f>INDEX(Bang_F,MATCH(A21,Bang_Z,1))+(A21-INDEX(Bang_Z,MATCH(A21,Bang_Z,1)))*(INDEX(Bang_F,MATCH(A21,Bang_Z,1)+1)-INDEX(Bang_F,MATCH(A21,Bang_Z,1)))</f>
        <v/>
      </c>
      <c r="C21" s="27">
        <f>INDEX(Bang_W,MATCH(A21,Bang_Z,1))+(A21-INDEX(Bang_Z,MATCH(A21,Bang_Z,1)))*(INDEX(Bang_F,MATCH(A21,Bang_Z,1))+B21)/2</f>
        <v/>
      </c>
      <c r="D21" s="28">
        <f>C21*1000000/dt_s</f>
        <v/>
      </c>
      <c r="E21" s="29">
        <f>MAX(A21-TC_Z,0)</f>
        <v/>
      </c>
      <c r="F21" s="30">
        <f>1-0.2*(TC_xmb+(TC_n-1)*TC_xmt)*E21/(TC_n*TC_b)</f>
        <v/>
      </c>
      <c r="G21" s="30">
        <f>1-0.2*(TC_xmb+(TC_n_sc-1)*TC_xmt)*E21/(TC_n_sc*TC_b)</f>
        <v/>
      </c>
      <c r="H21" s="31">
        <f>TC_s*F21*TC_m*TC_n*TC_b*SQRT(2*g_)*E21^1.5</f>
        <v/>
      </c>
      <c r="I21" s="31">
        <f>TC_s*G21*TC_m*TC_n_sc*TC_b*SQRT(2*g_)*E21^1.5</f>
        <v/>
      </c>
      <c r="J21" s="32">
        <f>MAX(A21-SC_Z,0)</f>
        <v/>
      </c>
      <c r="K21" s="33">
        <f>1-0.2*(SC_xmb+(SC_n-1)*SC_xmt)*J21/(SC_n*SC_b)</f>
        <v/>
      </c>
      <c r="L21" s="34">
        <f>SC_s*K21*SC_m*SC_n*SC_b*SQRT(2*g_)*J21^1.5</f>
        <v/>
      </c>
      <c r="M21" s="35">
        <f>H21+L21</f>
        <v/>
      </c>
      <c r="N21" s="35">
        <f>I21+L21</f>
        <v/>
      </c>
      <c r="O21" s="36">
        <f>D21-M21/2</f>
        <v/>
      </c>
      <c r="P21" s="36">
        <f>D21-N21/2</f>
        <v/>
      </c>
      <c r="Q21" s="36">
        <f>D21+M21/2</f>
        <v/>
      </c>
      <c r="R21" s="36">
        <f>D21+N21/2</f>
        <v/>
      </c>
    </row>
    <row r="22">
      <c r="A22" s="26">
        <f>ROUND(A21+0.1,2)</f>
        <v/>
      </c>
      <c r="B22" s="27">
        <f>INDEX(Bang_F,MATCH(A22,Bang_Z,1))+(A22-INDEX(Bang_Z,MATCH(A22,Bang_Z,1)))*(INDEX(Bang_F,MATCH(A22,Bang_Z,1)+1)-INDEX(Bang_F,MATCH(A22,Bang_Z,1)))</f>
        <v/>
      </c>
      <c r="C22" s="27">
        <f>INDEX(Bang_W,MATCH(A22,Bang_Z,1))+(A22-INDEX(Bang_Z,MATCH(A22,Bang_Z,1)))*(INDEX(Bang_F,MATCH(A22,Bang_Z,1))+B22)/2</f>
        <v/>
      </c>
      <c r="D22" s="28">
        <f>C22*1000000/dt_s</f>
        <v/>
      </c>
      <c r="E22" s="29">
        <f>MAX(A22-TC_Z,0)</f>
        <v/>
      </c>
      <c r="F22" s="30">
        <f>1-0.2*(TC_xmb+(TC_n-1)*TC_xmt)*E22/(TC_n*TC_b)</f>
        <v/>
      </c>
      <c r="G22" s="30">
        <f>1-0.2*(TC_xmb+(TC_n_sc-1)*TC_xmt)*E22/(TC_n_sc*TC_b)</f>
        <v/>
      </c>
      <c r="H22" s="31">
        <f>TC_s*F22*TC_m*TC_n*TC_b*SQRT(2*g_)*E22^1.5</f>
        <v/>
      </c>
      <c r="I22" s="31">
        <f>TC_s*G22*TC_m*TC_n_sc*TC_b*SQRT(2*g_)*E22^1.5</f>
        <v/>
      </c>
      <c r="J22" s="32">
        <f>MAX(A22-SC_Z,0)</f>
        <v/>
      </c>
      <c r="K22" s="33">
        <f>1-0.2*(SC_xmb+(SC_n-1)*SC_xmt)*J22/(SC_n*SC_b)</f>
        <v/>
      </c>
      <c r="L22" s="34">
        <f>SC_s*K22*SC_m*SC_n*SC_b*SQRT(2*g_)*J22^1.5</f>
        <v/>
      </c>
      <c r="M22" s="35">
        <f>H22+L22</f>
        <v/>
      </c>
      <c r="N22" s="35">
        <f>I22+L22</f>
        <v/>
      </c>
      <c r="O22" s="36">
        <f>D22-M22/2</f>
        <v/>
      </c>
      <c r="P22" s="36">
        <f>D22-N22/2</f>
        <v/>
      </c>
      <c r="Q22" s="36">
        <f>D22+M22/2</f>
        <v/>
      </c>
      <c r="R22" s="36">
        <f>D22+N22/2</f>
        <v/>
      </c>
    </row>
    <row r="23">
      <c r="A23" s="26">
        <f>ROUND(A22+0.1,2)</f>
        <v/>
      </c>
      <c r="B23" s="27">
        <f>INDEX(Bang_F,MATCH(A23,Bang_Z,1))+(A23-INDEX(Bang_Z,MATCH(A23,Bang_Z,1)))*(INDEX(Bang_F,MATCH(A23,Bang_Z,1)+1)-INDEX(Bang_F,MATCH(A23,Bang_Z,1)))</f>
        <v/>
      </c>
      <c r="C23" s="27">
        <f>INDEX(Bang_W,MATCH(A23,Bang_Z,1))+(A23-INDEX(Bang_Z,MATCH(A23,Bang_Z,1)))*(INDEX(Bang_F,MATCH(A23,Bang_Z,1))+B23)/2</f>
        <v/>
      </c>
      <c r="D23" s="28">
        <f>C23*1000000/dt_s</f>
        <v/>
      </c>
      <c r="E23" s="29">
        <f>MAX(A23-TC_Z,0)</f>
        <v/>
      </c>
      <c r="F23" s="30">
        <f>1-0.2*(TC_xmb+(TC_n-1)*TC_xmt)*E23/(TC_n*TC_b)</f>
        <v/>
      </c>
      <c r="G23" s="30">
        <f>1-0.2*(TC_xmb+(TC_n_sc-1)*TC_xmt)*E23/(TC_n_sc*TC_b)</f>
        <v/>
      </c>
      <c r="H23" s="31">
        <f>TC_s*F23*TC_m*TC_n*TC_b*SQRT(2*g_)*E23^1.5</f>
        <v/>
      </c>
      <c r="I23" s="31">
        <f>TC_s*G23*TC_m*TC_n_sc*TC_b*SQRT(2*g_)*E23^1.5</f>
        <v/>
      </c>
      <c r="J23" s="32">
        <f>MAX(A23-SC_Z,0)</f>
        <v/>
      </c>
      <c r="K23" s="33">
        <f>1-0.2*(SC_xmb+(SC_n-1)*SC_xmt)*J23/(SC_n*SC_b)</f>
        <v/>
      </c>
      <c r="L23" s="34">
        <f>SC_s*K23*SC_m*SC_n*SC_b*SQRT(2*g_)*J23^1.5</f>
        <v/>
      </c>
      <c r="M23" s="35">
        <f>H23+L23</f>
        <v/>
      </c>
      <c r="N23" s="35">
        <f>I23+L23</f>
        <v/>
      </c>
      <c r="O23" s="36">
        <f>D23-M23/2</f>
        <v/>
      </c>
      <c r="P23" s="36">
        <f>D23-N23/2</f>
        <v/>
      </c>
      <c r="Q23" s="36">
        <f>D23+M23/2</f>
        <v/>
      </c>
      <c r="R23" s="36">
        <f>D23+N23/2</f>
        <v/>
      </c>
    </row>
    <row r="24">
      <c r="A24" s="26">
        <f>ROUND(A23+0.1,2)</f>
        <v/>
      </c>
      <c r="B24" s="27">
        <f>INDEX(Bang_F,MATCH(A24,Bang_Z,1))+(A24-INDEX(Bang_Z,MATCH(A24,Bang_Z,1)))*(INDEX(Bang_F,MATCH(A24,Bang_Z,1)+1)-INDEX(Bang_F,MATCH(A24,Bang_Z,1)))</f>
        <v/>
      </c>
      <c r="C24" s="27">
        <f>INDEX(Bang_W,MATCH(A24,Bang_Z,1))+(A24-INDEX(Bang_Z,MATCH(A24,Bang_Z,1)))*(INDEX(Bang_F,MATCH(A24,Bang_Z,1))+B24)/2</f>
        <v/>
      </c>
      <c r="D24" s="28">
        <f>C24*1000000/dt_s</f>
        <v/>
      </c>
      <c r="E24" s="29">
        <f>MAX(A24-TC_Z,0)</f>
        <v/>
      </c>
      <c r="F24" s="30">
        <f>1-0.2*(TC_xmb+(TC_n-1)*TC_xmt)*E24/(TC_n*TC_b)</f>
        <v/>
      </c>
      <c r="G24" s="30">
        <f>1-0.2*(TC_xmb+(TC_n_sc-1)*TC_xmt)*E24/(TC_n_sc*TC_b)</f>
        <v/>
      </c>
      <c r="H24" s="31">
        <f>TC_s*F24*TC_m*TC_n*TC_b*SQRT(2*g_)*E24^1.5</f>
        <v/>
      </c>
      <c r="I24" s="31">
        <f>TC_s*G24*TC_m*TC_n_sc*TC_b*SQRT(2*g_)*E24^1.5</f>
        <v/>
      </c>
      <c r="J24" s="32">
        <f>MAX(A24-SC_Z,0)</f>
        <v/>
      </c>
      <c r="K24" s="33">
        <f>1-0.2*(SC_xmb+(SC_n-1)*SC_xmt)*J24/(SC_n*SC_b)</f>
        <v/>
      </c>
      <c r="L24" s="34">
        <f>SC_s*K24*SC_m*SC_n*SC_b*SQRT(2*g_)*J24^1.5</f>
        <v/>
      </c>
      <c r="M24" s="35">
        <f>H24+L24</f>
        <v/>
      </c>
      <c r="N24" s="35">
        <f>I24+L24</f>
        <v/>
      </c>
      <c r="O24" s="36">
        <f>D24-M24/2</f>
        <v/>
      </c>
      <c r="P24" s="36">
        <f>D24-N24/2</f>
        <v/>
      </c>
      <c r="Q24" s="36">
        <f>D24+M24/2</f>
        <v/>
      </c>
      <c r="R24" s="36">
        <f>D24+N24/2</f>
        <v/>
      </c>
    </row>
    <row r="25">
      <c r="A25" s="26">
        <f>ROUND(A24+0.1,2)</f>
        <v/>
      </c>
      <c r="B25" s="27">
        <f>INDEX(Bang_F,MATCH(A25,Bang_Z,1))+(A25-INDEX(Bang_Z,MATCH(A25,Bang_Z,1)))*(INDEX(Bang_F,MATCH(A25,Bang_Z,1)+1)-INDEX(Bang_F,MATCH(A25,Bang_Z,1)))</f>
        <v/>
      </c>
      <c r="C25" s="27">
        <f>INDEX(Bang_W,MATCH(A25,Bang_Z,1))+(A25-INDEX(Bang_Z,MATCH(A25,Bang_Z,1)))*(INDEX(Bang_F,MATCH(A25,Bang_Z,1))+B25)/2</f>
        <v/>
      </c>
      <c r="D25" s="28">
        <f>C25*1000000/dt_s</f>
        <v/>
      </c>
      <c r="E25" s="29">
        <f>MAX(A25-TC_Z,0)</f>
        <v/>
      </c>
      <c r="F25" s="30">
        <f>1-0.2*(TC_xmb+(TC_n-1)*TC_xmt)*E25/(TC_n*TC_b)</f>
        <v/>
      </c>
      <c r="G25" s="30">
        <f>1-0.2*(TC_xmb+(TC_n_sc-1)*TC_xmt)*E25/(TC_n_sc*TC_b)</f>
        <v/>
      </c>
      <c r="H25" s="31">
        <f>TC_s*F25*TC_m*TC_n*TC_b*SQRT(2*g_)*E25^1.5</f>
        <v/>
      </c>
      <c r="I25" s="31">
        <f>TC_s*G25*TC_m*TC_n_sc*TC_b*SQRT(2*g_)*E25^1.5</f>
        <v/>
      </c>
      <c r="J25" s="32">
        <f>MAX(A25-SC_Z,0)</f>
        <v/>
      </c>
      <c r="K25" s="33">
        <f>1-0.2*(SC_xmb+(SC_n-1)*SC_xmt)*J25/(SC_n*SC_b)</f>
        <v/>
      </c>
      <c r="L25" s="34">
        <f>SC_s*K25*SC_m*SC_n*SC_b*SQRT(2*g_)*J25^1.5</f>
        <v/>
      </c>
      <c r="M25" s="35">
        <f>H25+L25</f>
        <v/>
      </c>
      <c r="N25" s="35">
        <f>I25+L25</f>
        <v/>
      </c>
      <c r="O25" s="36">
        <f>D25-M25/2</f>
        <v/>
      </c>
      <c r="P25" s="36">
        <f>D25-N25/2</f>
        <v/>
      </c>
      <c r="Q25" s="36">
        <f>D25+M25/2</f>
        <v/>
      </c>
      <c r="R25" s="36">
        <f>D25+N25/2</f>
        <v/>
      </c>
    </row>
    <row r="26">
      <c r="A26" s="26">
        <f>ROUND(A25+0.1,2)</f>
        <v/>
      </c>
      <c r="B26" s="27">
        <f>INDEX(Bang_F,MATCH(A26,Bang_Z,1))+(A26-INDEX(Bang_Z,MATCH(A26,Bang_Z,1)))*(INDEX(Bang_F,MATCH(A26,Bang_Z,1)+1)-INDEX(Bang_F,MATCH(A26,Bang_Z,1)))</f>
        <v/>
      </c>
      <c r="C26" s="27">
        <f>INDEX(Bang_W,MATCH(A26,Bang_Z,1))+(A26-INDEX(Bang_Z,MATCH(A26,Bang_Z,1)))*(INDEX(Bang_F,MATCH(A26,Bang_Z,1))+B26)/2</f>
        <v/>
      </c>
      <c r="D26" s="28">
        <f>C26*1000000/dt_s</f>
        <v/>
      </c>
      <c r="E26" s="29">
        <f>MAX(A26-TC_Z,0)</f>
        <v/>
      </c>
      <c r="F26" s="30">
        <f>1-0.2*(TC_xmb+(TC_n-1)*TC_xmt)*E26/(TC_n*TC_b)</f>
        <v/>
      </c>
      <c r="G26" s="30">
        <f>1-0.2*(TC_xmb+(TC_n_sc-1)*TC_xmt)*E26/(TC_n_sc*TC_b)</f>
        <v/>
      </c>
      <c r="H26" s="31">
        <f>TC_s*F26*TC_m*TC_n*TC_b*SQRT(2*g_)*E26^1.5</f>
        <v/>
      </c>
      <c r="I26" s="31">
        <f>TC_s*G26*TC_m*TC_n_sc*TC_b*SQRT(2*g_)*E26^1.5</f>
        <v/>
      </c>
      <c r="J26" s="32">
        <f>MAX(A26-SC_Z,0)</f>
        <v/>
      </c>
      <c r="K26" s="33">
        <f>1-0.2*(SC_xmb+(SC_n-1)*SC_xmt)*J26/(SC_n*SC_b)</f>
        <v/>
      </c>
      <c r="L26" s="34">
        <f>SC_s*K26*SC_m*SC_n*SC_b*SQRT(2*g_)*J26^1.5</f>
        <v/>
      </c>
      <c r="M26" s="35">
        <f>H26+L26</f>
        <v/>
      </c>
      <c r="N26" s="35">
        <f>I26+L26</f>
        <v/>
      </c>
      <c r="O26" s="36">
        <f>D26-M26/2</f>
        <v/>
      </c>
      <c r="P26" s="36">
        <f>D26-N26/2</f>
        <v/>
      </c>
      <c r="Q26" s="36">
        <f>D26+M26/2</f>
        <v/>
      </c>
      <c r="R26" s="36">
        <f>D26+N26/2</f>
        <v/>
      </c>
    </row>
    <row r="27">
      <c r="A27" s="26">
        <f>ROUND(A26+0.1,2)</f>
        <v/>
      </c>
      <c r="B27" s="27">
        <f>INDEX(Bang_F,MATCH(A27,Bang_Z,1))+(A27-INDEX(Bang_Z,MATCH(A27,Bang_Z,1)))*(INDEX(Bang_F,MATCH(A27,Bang_Z,1)+1)-INDEX(Bang_F,MATCH(A27,Bang_Z,1)))</f>
        <v/>
      </c>
      <c r="C27" s="27">
        <f>INDEX(Bang_W,MATCH(A27,Bang_Z,1))+(A27-INDEX(Bang_Z,MATCH(A27,Bang_Z,1)))*(INDEX(Bang_F,MATCH(A27,Bang_Z,1))+B27)/2</f>
        <v/>
      </c>
      <c r="D27" s="28">
        <f>C27*1000000/dt_s</f>
        <v/>
      </c>
      <c r="E27" s="29">
        <f>MAX(A27-TC_Z,0)</f>
        <v/>
      </c>
      <c r="F27" s="30">
        <f>1-0.2*(TC_xmb+(TC_n-1)*TC_xmt)*E27/(TC_n*TC_b)</f>
        <v/>
      </c>
      <c r="G27" s="30">
        <f>1-0.2*(TC_xmb+(TC_n_sc-1)*TC_xmt)*E27/(TC_n_sc*TC_b)</f>
        <v/>
      </c>
      <c r="H27" s="31">
        <f>TC_s*F27*TC_m*TC_n*TC_b*SQRT(2*g_)*E27^1.5</f>
        <v/>
      </c>
      <c r="I27" s="31">
        <f>TC_s*G27*TC_m*TC_n_sc*TC_b*SQRT(2*g_)*E27^1.5</f>
        <v/>
      </c>
      <c r="J27" s="32">
        <f>MAX(A27-SC_Z,0)</f>
        <v/>
      </c>
      <c r="K27" s="33">
        <f>1-0.2*(SC_xmb+(SC_n-1)*SC_xmt)*J27/(SC_n*SC_b)</f>
        <v/>
      </c>
      <c r="L27" s="34">
        <f>SC_s*K27*SC_m*SC_n*SC_b*SQRT(2*g_)*J27^1.5</f>
        <v/>
      </c>
      <c r="M27" s="35">
        <f>H27+L27</f>
        <v/>
      </c>
      <c r="N27" s="35">
        <f>I27+L27</f>
        <v/>
      </c>
      <c r="O27" s="36">
        <f>D27-M27/2</f>
        <v/>
      </c>
      <c r="P27" s="36">
        <f>D27-N27/2</f>
        <v/>
      </c>
      <c r="Q27" s="36">
        <f>D27+M27/2</f>
        <v/>
      </c>
      <c r="R27" s="36">
        <f>D27+N27/2</f>
        <v/>
      </c>
    </row>
    <row r="28">
      <c r="A28" s="26">
        <f>ROUND(A27+0.1,2)</f>
        <v/>
      </c>
      <c r="B28" s="27">
        <f>INDEX(Bang_F,MATCH(A28,Bang_Z,1))+(A28-INDEX(Bang_Z,MATCH(A28,Bang_Z,1)))*(INDEX(Bang_F,MATCH(A28,Bang_Z,1)+1)-INDEX(Bang_F,MATCH(A28,Bang_Z,1)))</f>
        <v/>
      </c>
      <c r="C28" s="27">
        <f>INDEX(Bang_W,MATCH(A28,Bang_Z,1))+(A28-INDEX(Bang_Z,MATCH(A28,Bang_Z,1)))*(INDEX(Bang_F,MATCH(A28,Bang_Z,1))+B28)/2</f>
        <v/>
      </c>
      <c r="D28" s="28">
        <f>C28*1000000/dt_s</f>
        <v/>
      </c>
      <c r="E28" s="29">
        <f>MAX(A28-TC_Z,0)</f>
        <v/>
      </c>
      <c r="F28" s="30">
        <f>1-0.2*(TC_xmb+(TC_n-1)*TC_xmt)*E28/(TC_n*TC_b)</f>
        <v/>
      </c>
      <c r="G28" s="30">
        <f>1-0.2*(TC_xmb+(TC_n_sc-1)*TC_xmt)*E28/(TC_n_sc*TC_b)</f>
        <v/>
      </c>
      <c r="H28" s="31">
        <f>TC_s*F28*TC_m*TC_n*TC_b*SQRT(2*g_)*E28^1.5</f>
        <v/>
      </c>
      <c r="I28" s="31">
        <f>TC_s*G28*TC_m*TC_n_sc*TC_b*SQRT(2*g_)*E28^1.5</f>
        <v/>
      </c>
      <c r="J28" s="32">
        <f>MAX(A28-SC_Z,0)</f>
        <v/>
      </c>
      <c r="K28" s="33">
        <f>1-0.2*(SC_xmb+(SC_n-1)*SC_xmt)*J28/(SC_n*SC_b)</f>
        <v/>
      </c>
      <c r="L28" s="34">
        <f>SC_s*K28*SC_m*SC_n*SC_b*SQRT(2*g_)*J28^1.5</f>
        <v/>
      </c>
      <c r="M28" s="35">
        <f>H28+L28</f>
        <v/>
      </c>
      <c r="N28" s="35">
        <f>I28+L28</f>
        <v/>
      </c>
      <c r="O28" s="36">
        <f>D28-M28/2</f>
        <v/>
      </c>
      <c r="P28" s="36">
        <f>D28-N28/2</f>
        <v/>
      </c>
      <c r="Q28" s="36">
        <f>D28+M28/2</f>
        <v/>
      </c>
      <c r="R28" s="36">
        <f>D28+N28/2</f>
        <v/>
      </c>
    </row>
    <row r="29">
      <c r="A29" s="26">
        <f>ROUND(A28+0.1,2)</f>
        <v/>
      </c>
      <c r="B29" s="27">
        <f>INDEX(Bang_F,MATCH(A29,Bang_Z,1))+(A29-INDEX(Bang_Z,MATCH(A29,Bang_Z,1)))*(INDEX(Bang_F,MATCH(A29,Bang_Z,1)+1)-INDEX(Bang_F,MATCH(A29,Bang_Z,1)))</f>
        <v/>
      </c>
      <c r="C29" s="27">
        <f>INDEX(Bang_W,MATCH(A29,Bang_Z,1))+(A29-INDEX(Bang_Z,MATCH(A29,Bang_Z,1)))*(INDEX(Bang_F,MATCH(A29,Bang_Z,1))+B29)/2</f>
        <v/>
      </c>
      <c r="D29" s="28">
        <f>C29*1000000/dt_s</f>
        <v/>
      </c>
      <c r="E29" s="29">
        <f>MAX(A29-TC_Z,0)</f>
        <v/>
      </c>
      <c r="F29" s="30">
        <f>1-0.2*(TC_xmb+(TC_n-1)*TC_xmt)*E29/(TC_n*TC_b)</f>
        <v/>
      </c>
      <c r="G29" s="30">
        <f>1-0.2*(TC_xmb+(TC_n_sc-1)*TC_xmt)*E29/(TC_n_sc*TC_b)</f>
        <v/>
      </c>
      <c r="H29" s="31">
        <f>TC_s*F29*TC_m*TC_n*TC_b*SQRT(2*g_)*E29^1.5</f>
        <v/>
      </c>
      <c r="I29" s="31">
        <f>TC_s*G29*TC_m*TC_n_sc*TC_b*SQRT(2*g_)*E29^1.5</f>
        <v/>
      </c>
      <c r="J29" s="32">
        <f>MAX(A29-SC_Z,0)</f>
        <v/>
      </c>
      <c r="K29" s="33">
        <f>1-0.2*(SC_xmb+(SC_n-1)*SC_xmt)*J29/(SC_n*SC_b)</f>
        <v/>
      </c>
      <c r="L29" s="34">
        <f>SC_s*K29*SC_m*SC_n*SC_b*SQRT(2*g_)*J29^1.5</f>
        <v/>
      </c>
      <c r="M29" s="35">
        <f>H29+L29</f>
        <v/>
      </c>
      <c r="N29" s="35">
        <f>I29+L29</f>
        <v/>
      </c>
      <c r="O29" s="36">
        <f>D29-M29/2</f>
        <v/>
      </c>
      <c r="P29" s="36">
        <f>D29-N29/2</f>
        <v/>
      </c>
      <c r="Q29" s="36">
        <f>D29+M29/2</f>
        <v/>
      </c>
      <c r="R29" s="36">
        <f>D29+N29/2</f>
        <v/>
      </c>
    </row>
    <row r="30">
      <c r="A30" s="26">
        <f>ROUND(A29+0.1,2)</f>
        <v/>
      </c>
      <c r="B30" s="27">
        <f>INDEX(Bang_F,MATCH(A30,Bang_Z,1))+(A30-INDEX(Bang_Z,MATCH(A30,Bang_Z,1)))*(INDEX(Bang_F,MATCH(A30,Bang_Z,1)+1)-INDEX(Bang_F,MATCH(A30,Bang_Z,1)))</f>
        <v/>
      </c>
      <c r="C30" s="27">
        <f>INDEX(Bang_W,MATCH(A30,Bang_Z,1))+(A30-INDEX(Bang_Z,MATCH(A30,Bang_Z,1)))*(INDEX(Bang_F,MATCH(A30,Bang_Z,1))+B30)/2</f>
        <v/>
      </c>
      <c r="D30" s="28">
        <f>C30*1000000/dt_s</f>
        <v/>
      </c>
      <c r="E30" s="29">
        <f>MAX(A30-TC_Z,0)</f>
        <v/>
      </c>
      <c r="F30" s="30">
        <f>1-0.2*(TC_xmb+(TC_n-1)*TC_xmt)*E30/(TC_n*TC_b)</f>
        <v/>
      </c>
      <c r="G30" s="30">
        <f>1-0.2*(TC_xmb+(TC_n_sc-1)*TC_xmt)*E30/(TC_n_sc*TC_b)</f>
        <v/>
      </c>
      <c r="H30" s="31">
        <f>TC_s*F30*TC_m*TC_n*TC_b*SQRT(2*g_)*E30^1.5</f>
        <v/>
      </c>
      <c r="I30" s="31">
        <f>TC_s*G30*TC_m*TC_n_sc*TC_b*SQRT(2*g_)*E30^1.5</f>
        <v/>
      </c>
      <c r="J30" s="32">
        <f>MAX(A30-SC_Z,0)</f>
        <v/>
      </c>
      <c r="K30" s="33">
        <f>1-0.2*(SC_xmb+(SC_n-1)*SC_xmt)*J30/(SC_n*SC_b)</f>
        <v/>
      </c>
      <c r="L30" s="34">
        <f>SC_s*K30*SC_m*SC_n*SC_b*SQRT(2*g_)*J30^1.5</f>
        <v/>
      </c>
      <c r="M30" s="35">
        <f>H30+L30</f>
        <v/>
      </c>
      <c r="N30" s="35">
        <f>I30+L30</f>
        <v/>
      </c>
      <c r="O30" s="36">
        <f>D30-M30/2</f>
        <v/>
      </c>
      <c r="P30" s="36">
        <f>D30-N30/2</f>
        <v/>
      </c>
      <c r="Q30" s="36">
        <f>D30+M30/2</f>
        <v/>
      </c>
      <c r="R30" s="36">
        <f>D30+N30/2</f>
        <v/>
      </c>
    </row>
    <row r="31">
      <c r="A31" s="26">
        <f>ROUND(A30+0.1,2)</f>
        <v/>
      </c>
      <c r="B31" s="27">
        <f>INDEX(Bang_F,MATCH(A31,Bang_Z,1))+(A31-INDEX(Bang_Z,MATCH(A31,Bang_Z,1)))*(INDEX(Bang_F,MATCH(A31,Bang_Z,1)+1)-INDEX(Bang_F,MATCH(A31,Bang_Z,1)))</f>
        <v/>
      </c>
      <c r="C31" s="27">
        <f>INDEX(Bang_W,MATCH(A31,Bang_Z,1))+(A31-INDEX(Bang_Z,MATCH(A31,Bang_Z,1)))*(INDEX(Bang_F,MATCH(A31,Bang_Z,1))+B31)/2</f>
        <v/>
      </c>
      <c r="D31" s="28">
        <f>C31*1000000/dt_s</f>
        <v/>
      </c>
      <c r="E31" s="29">
        <f>MAX(A31-TC_Z,0)</f>
        <v/>
      </c>
      <c r="F31" s="30">
        <f>1-0.2*(TC_xmb+(TC_n-1)*TC_xmt)*E31/(TC_n*TC_b)</f>
        <v/>
      </c>
      <c r="G31" s="30">
        <f>1-0.2*(TC_xmb+(TC_n_sc-1)*TC_xmt)*E31/(TC_n_sc*TC_b)</f>
        <v/>
      </c>
      <c r="H31" s="31">
        <f>TC_s*F31*TC_m*TC_n*TC_b*SQRT(2*g_)*E31^1.5</f>
        <v/>
      </c>
      <c r="I31" s="31">
        <f>TC_s*G31*TC_m*TC_n_sc*TC_b*SQRT(2*g_)*E31^1.5</f>
        <v/>
      </c>
      <c r="J31" s="32">
        <f>MAX(A31-SC_Z,0)</f>
        <v/>
      </c>
      <c r="K31" s="33">
        <f>1-0.2*(SC_xmb+(SC_n-1)*SC_xmt)*J31/(SC_n*SC_b)</f>
        <v/>
      </c>
      <c r="L31" s="34">
        <f>SC_s*K31*SC_m*SC_n*SC_b*SQRT(2*g_)*J31^1.5</f>
        <v/>
      </c>
      <c r="M31" s="35">
        <f>H31+L31</f>
        <v/>
      </c>
      <c r="N31" s="35">
        <f>I31+L31</f>
        <v/>
      </c>
      <c r="O31" s="36">
        <f>D31-M31/2</f>
        <v/>
      </c>
      <c r="P31" s="36">
        <f>D31-N31/2</f>
        <v/>
      </c>
      <c r="Q31" s="36">
        <f>D31+M31/2</f>
        <v/>
      </c>
      <c r="R31" s="36">
        <f>D31+N31/2</f>
        <v/>
      </c>
    </row>
    <row r="32">
      <c r="A32" s="26">
        <f>ROUND(A31+0.1,2)</f>
        <v/>
      </c>
      <c r="B32" s="27">
        <f>INDEX(Bang_F,MATCH(A32,Bang_Z,1))+(A32-INDEX(Bang_Z,MATCH(A32,Bang_Z,1)))*(INDEX(Bang_F,MATCH(A32,Bang_Z,1)+1)-INDEX(Bang_F,MATCH(A32,Bang_Z,1)))</f>
        <v/>
      </c>
      <c r="C32" s="27">
        <f>INDEX(Bang_W,MATCH(A32,Bang_Z,1))+(A32-INDEX(Bang_Z,MATCH(A32,Bang_Z,1)))*(INDEX(Bang_F,MATCH(A32,Bang_Z,1))+B32)/2</f>
        <v/>
      </c>
      <c r="D32" s="28">
        <f>C32*1000000/dt_s</f>
        <v/>
      </c>
      <c r="E32" s="29">
        <f>MAX(A32-TC_Z,0)</f>
        <v/>
      </c>
      <c r="F32" s="30">
        <f>1-0.2*(TC_xmb+(TC_n-1)*TC_xmt)*E32/(TC_n*TC_b)</f>
        <v/>
      </c>
      <c r="G32" s="30">
        <f>1-0.2*(TC_xmb+(TC_n_sc-1)*TC_xmt)*E32/(TC_n_sc*TC_b)</f>
        <v/>
      </c>
      <c r="H32" s="31">
        <f>TC_s*F32*TC_m*TC_n*TC_b*SQRT(2*g_)*E32^1.5</f>
        <v/>
      </c>
      <c r="I32" s="31">
        <f>TC_s*G32*TC_m*TC_n_sc*TC_b*SQRT(2*g_)*E32^1.5</f>
        <v/>
      </c>
      <c r="J32" s="32">
        <f>MAX(A32-SC_Z,0)</f>
        <v/>
      </c>
      <c r="K32" s="33">
        <f>1-0.2*(SC_xmb+(SC_n-1)*SC_xmt)*J32/(SC_n*SC_b)</f>
        <v/>
      </c>
      <c r="L32" s="34">
        <f>SC_s*K32*SC_m*SC_n*SC_b*SQRT(2*g_)*J32^1.5</f>
        <v/>
      </c>
      <c r="M32" s="35">
        <f>H32+L32</f>
        <v/>
      </c>
      <c r="N32" s="35">
        <f>I32+L32</f>
        <v/>
      </c>
      <c r="O32" s="36">
        <f>D32-M32/2</f>
        <v/>
      </c>
      <c r="P32" s="36">
        <f>D32-N32/2</f>
        <v/>
      </c>
      <c r="Q32" s="36">
        <f>D32+M32/2</f>
        <v/>
      </c>
      <c r="R32" s="36">
        <f>D32+N32/2</f>
        <v/>
      </c>
    </row>
    <row r="33">
      <c r="A33" s="26">
        <f>ROUND(A32+0.1,2)</f>
        <v/>
      </c>
      <c r="B33" s="27">
        <f>INDEX(Bang_F,MATCH(A33,Bang_Z,1))+(A33-INDEX(Bang_Z,MATCH(A33,Bang_Z,1)))*(INDEX(Bang_F,MATCH(A33,Bang_Z,1)+1)-INDEX(Bang_F,MATCH(A33,Bang_Z,1)))</f>
        <v/>
      </c>
      <c r="C33" s="27">
        <f>INDEX(Bang_W,MATCH(A33,Bang_Z,1))+(A33-INDEX(Bang_Z,MATCH(A33,Bang_Z,1)))*(INDEX(Bang_F,MATCH(A33,Bang_Z,1))+B33)/2</f>
        <v/>
      </c>
      <c r="D33" s="28">
        <f>C33*1000000/dt_s</f>
        <v/>
      </c>
      <c r="E33" s="29">
        <f>MAX(A33-TC_Z,0)</f>
        <v/>
      </c>
      <c r="F33" s="30">
        <f>1-0.2*(TC_xmb+(TC_n-1)*TC_xmt)*E33/(TC_n*TC_b)</f>
        <v/>
      </c>
      <c r="G33" s="30">
        <f>1-0.2*(TC_xmb+(TC_n_sc-1)*TC_xmt)*E33/(TC_n_sc*TC_b)</f>
        <v/>
      </c>
      <c r="H33" s="31">
        <f>TC_s*F33*TC_m*TC_n*TC_b*SQRT(2*g_)*E33^1.5</f>
        <v/>
      </c>
      <c r="I33" s="31">
        <f>TC_s*G33*TC_m*TC_n_sc*TC_b*SQRT(2*g_)*E33^1.5</f>
        <v/>
      </c>
      <c r="J33" s="32">
        <f>MAX(A33-SC_Z,0)</f>
        <v/>
      </c>
      <c r="K33" s="33">
        <f>1-0.2*(SC_xmb+(SC_n-1)*SC_xmt)*J33/(SC_n*SC_b)</f>
        <v/>
      </c>
      <c r="L33" s="34">
        <f>SC_s*K33*SC_m*SC_n*SC_b*SQRT(2*g_)*J33^1.5</f>
        <v/>
      </c>
      <c r="M33" s="35">
        <f>H33+L33</f>
        <v/>
      </c>
      <c r="N33" s="35">
        <f>I33+L33</f>
        <v/>
      </c>
      <c r="O33" s="36">
        <f>D33-M33/2</f>
        <v/>
      </c>
      <c r="P33" s="36">
        <f>D33-N33/2</f>
        <v/>
      </c>
      <c r="Q33" s="36">
        <f>D33+M33/2</f>
        <v/>
      </c>
      <c r="R33" s="36">
        <f>D33+N33/2</f>
        <v/>
      </c>
    </row>
    <row r="34">
      <c r="A34" s="26">
        <f>ROUND(A33+0.1,2)</f>
        <v/>
      </c>
      <c r="B34" s="27">
        <f>INDEX(Bang_F,MATCH(A34,Bang_Z,1))+(A34-INDEX(Bang_Z,MATCH(A34,Bang_Z,1)))*(INDEX(Bang_F,MATCH(A34,Bang_Z,1)+1)-INDEX(Bang_F,MATCH(A34,Bang_Z,1)))</f>
        <v/>
      </c>
      <c r="C34" s="27">
        <f>INDEX(Bang_W,MATCH(A34,Bang_Z,1))+(A34-INDEX(Bang_Z,MATCH(A34,Bang_Z,1)))*(INDEX(Bang_F,MATCH(A34,Bang_Z,1))+B34)/2</f>
        <v/>
      </c>
      <c r="D34" s="28">
        <f>C34*1000000/dt_s</f>
        <v/>
      </c>
      <c r="E34" s="29">
        <f>MAX(A34-TC_Z,0)</f>
        <v/>
      </c>
      <c r="F34" s="30">
        <f>1-0.2*(TC_xmb+(TC_n-1)*TC_xmt)*E34/(TC_n*TC_b)</f>
        <v/>
      </c>
      <c r="G34" s="30">
        <f>1-0.2*(TC_xmb+(TC_n_sc-1)*TC_xmt)*E34/(TC_n_sc*TC_b)</f>
        <v/>
      </c>
      <c r="H34" s="31">
        <f>TC_s*F34*TC_m*TC_n*TC_b*SQRT(2*g_)*E34^1.5</f>
        <v/>
      </c>
      <c r="I34" s="31">
        <f>TC_s*G34*TC_m*TC_n_sc*TC_b*SQRT(2*g_)*E34^1.5</f>
        <v/>
      </c>
      <c r="J34" s="32">
        <f>MAX(A34-SC_Z,0)</f>
        <v/>
      </c>
      <c r="K34" s="33">
        <f>1-0.2*(SC_xmb+(SC_n-1)*SC_xmt)*J34/(SC_n*SC_b)</f>
        <v/>
      </c>
      <c r="L34" s="34">
        <f>SC_s*K34*SC_m*SC_n*SC_b*SQRT(2*g_)*J34^1.5</f>
        <v/>
      </c>
      <c r="M34" s="35">
        <f>H34+L34</f>
        <v/>
      </c>
      <c r="N34" s="35">
        <f>I34+L34</f>
        <v/>
      </c>
      <c r="O34" s="36">
        <f>D34-M34/2</f>
        <v/>
      </c>
      <c r="P34" s="36">
        <f>D34-N34/2</f>
        <v/>
      </c>
      <c r="Q34" s="36">
        <f>D34+M34/2</f>
        <v/>
      </c>
      <c r="R34" s="36">
        <f>D34+N34/2</f>
        <v/>
      </c>
    </row>
    <row r="35">
      <c r="A35" s="26">
        <f>ROUND(A34+0.1,2)</f>
        <v/>
      </c>
      <c r="B35" s="27">
        <f>INDEX(Bang_F,MATCH(A35,Bang_Z,1))+(A35-INDEX(Bang_Z,MATCH(A35,Bang_Z,1)))*(INDEX(Bang_F,MATCH(A35,Bang_Z,1)+1)-INDEX(Bang_F,MATCH(A35,Bang_Z,1)))</f>
        <v/>
      </c>
      <c r="C35" s="27">
        <f>INDEX(Bang_W,MATCH(A35,Bang_Z,1))+(A35-INDEX(Bang_Z,MATCH(A35,Bang_Z,1)))*(INDEX(Bang_F,MATCH(A35,Bang_Z,1))+B35)/2</f>
        <v/>
      </c>
      <c r="D35" s="28">
        <f>C35*1000000/dt_s</f>
        <v/>
      </c>
      <c r="E35" s="29">
        <f>MAX(A35-TC_Z,0)</f>
        <v/>
      </c>
      <c r="F35" s="30">
        <f>1-0.2*(TC_xmb+(TC_n-1)*TC_xmt)*E35/(TC_n*TC_b)</f>
        <v/>
      </c>
      <c r="G35" s="30">
        <f>1-0.2*(TC_xmb+(TC_n_sc-1)*TC_xmt)*E35/(TC_n_sc*TC_b)</f>
        <v/>
      </c>
      <c r="H35" s="31">
        <f>TC_s*F35*TC_m*TC_n*TC_b*SQRT(2*g_)*E35^1.5</f>
        <v/>
      </c>
      <c r="I35" s="31">
        <f>TC_s*G35*TC_m*TC_n_sc*TC_b*SQRT(2*g_)*E35^1.5</f>
        <v/>
      </c>
      <c r="J35" s="32">
        <f>MAX(A35-SC_Z,0)</f>
        <v/>
      </c>
      <c r="K35" s="33">
        <f>1-0.2*(SC_xmb+(SC_n-1)*SC_xmt)*J35/(SC_n*SC_b)</f>
        <v/>
      </c>
      <c r="L35" s="34">
        <f>SC_s*K35*SC_m*SC_n*SC_b*SQRT(2*g_)*J35^1.5</f>
        <v/>
      </c>
      <c r="M35" s="35">
        <f>H35+L35</f>
        <v/>
      </c>
      <c r="N35" s="35">
        <f>I35+L35</f>
        <v/>
      </c>
      <c r="O35" s="36">
        <f>D35-M35/2</f>
        <v/>
      </c>
      <c r="P35" s="36">
        <f>D35-N35/2</f>
        <v/>
      </c>
      <c r="Q35" s="36">
        <f>D35+M35/2</f>
        <v/>
      </c>
      <c r="R35" s="36">
        <f>D35+N35/2</f>
        <v/>
      </c>
    </row>
    <row r="36">
      <c r="A36" s="26">
        <f>ROUND(A35+0.1,2)</f>
        <v/>
      </c>
      <c r="B36" s="27">
        <f>INDEX(Bang_F,MATCH(A36,Bang_Z,1))+(A36-INDEX(Bang_Z,MATCH(A36,Bang_Z,1)))*(INDEX(Bang_F,MATCH(A36,Bang_Z,1)+1)-INDEX(Bang_F,MATCH(A36,Bang_Z,1)))</f>
        <v/>
      </c>
      <c r="C36" s="27">
        <f>INDEX(Bang_W,MATCH(A36,Bang_Z,1))+(A36-INDEX(Bang_Z,MATCH(A36,Bang_Z,1)))*(INDEX(Bang_F,MATCH(A36,Bang_Z,1))+B36)/2</f>
        <v/>
      </c>
      <c r="D36" s="28">
        <f>C36*1000000/dt_s</f>
        <v/>
      </c>
      <c r="E36" s="29">
        <f>MAX(A36-TC_Z,0)</f>
        <v/>
      </c>
      <c r="F36" s="30">
        <f>1-0.2*(TC_xmb+(TC_n-1)*TC_xmt)*E36/(TC_n*TC_b)</f>
        <v/>
      </c>
      <c r="G36" s="30">
        <f>1-0.2*(TC_xmb+(TC_n_sc-1)*TC_xmt)*E36/(TC_n_sc*TC_b)</f>
        <v/>
      </c>
      <c r="H36" s="31">
        <f>TC_s*F36*TC_m*TC_n*TC_b*SQRT(2*g_)*E36^1.5</f>
        <v/>
      </c>
      <c r="I36" s="31">
        <f>TC_s*G36*TC_m*TC_n_sc*TC_b*SQRT(2*g_)*E36^1.5</f>
        <v/>
      </c>
      <c r="J36" s="32">
        <f>MAX(A36-SC_Z,0)</f>
        <v/>
      </c>
      <c r="K36" s="33">
        <f>1-0.2*(SC_xmb+(SC_n-1)*SC_xmt)*J36/(SC_n*SC_b)</f>
        <v/>
      </c>
      <c r="L36" s="34">
        <f>SC_s*K36*SC_m*SC_n*SC_b*SQRT(2*g_)*J36^1.5</f>
        <v/>
      </c>
      <c r="M36" s="35">
        <f>H36+L36</f>
        <v/>
      </c>
      <c r="N36" s="35">
        <f>I36+L36</f>
        <v/>
      </c>
      <c r="O36" s="36">
        <f>D36-M36/2</f>
        <v/>
      </c>
      <c r="P36" s="36">
        <f>D36-N36/2</f>
        <v/>
      </c>
      <c r="Q36" s="36">
        <f>D36+M36/2</f>
        <v/>
      </c>
      <c r="R36" s="36">
        <f>D36+N36/2</f>
        <v/>
      </c>
    </row>
    <row r="37">
      <c r="A37" s="26">
        <f>ROUND(A36+0.1,2)</f>
        <v/>
      </c>
      <c r="B37" s="27">
        <f>INDEX(Bang_F,MATCH(A37,Bang_Z,1))+(A37-INDEX(Bang_Z,MATCH(A37,Bang_Z,1)))*(INDEX(Bang_F,MATCH(A37,Bang_Z,1)+1)-INDEX(Bang_F,MATCH(A37,Bang_Z,1)))</f>
        <v/>
      </c>
      <c r="C37" s="27">
        <f>INDEX(Bang_W,MATCH(A37,Bang_Z,1))+(A37-INDEX(Bang_Z,MATCH(A37,Bang_Z,1)))*(INDEX(Bang_F,MATCH(A37,Bang_Z,1))+B37)/2</f>
        <v/>
      </c>
      <c r="D37" s="28">
        <f>C37*1000000/dt_s</f>
        <v/>
      </c>
      <c r="E37" s="29">
        <f>MAX(A37-TC_Z,0)</f>
        <v/>
      </c>
      <c r="F37" s="30">
        <f>1-0.2*(TC_xmb+(TC_n-1)*TC_xmt)*E37/(TC_n*TC_b)</f>
        <v/>
      </c>
      <c r="G37" s="30">
        <f>1-0.2*(TC_xmb+(TC_n_sc-1)*TC_xmt)*E37/(TC_n_sc*TC_b)</f>
        <v/>
      </c>
      <c r="H37" s="31">
        <f>TC_s*F37*TC_m*TC_n*TC_b*SQRT(2*g_)*E37^1.5</f>
        <v/>
      </c>
      <c r="I37" s="31">
        <f>TC_s*G37*TC_m*TC_n_sc*TC_b*SQRT(2*g_)*E37^1.5</f>
        <v/>
      </c>
      <c r="J37" s="32">
        <f>MAX(A37-SC_Z,0)</f>
        <v/>
      </c>
      <c r="K37" s="33">
        <f>1-0.2*(SC_xmb+(SC_n-1)*SC_xmt)*J37/(SC_n*SC_b)</f>
        <v/>
      </c>
      <c r="L37" s="34">
        <f>SC_s*K37*SC_m*SC_n*SC_b*SQRT(2*g_)*J37^1.5</f>
        <v/>
      </c>
      <c r="M37" s="35">
        <f>H37+L37</f>
        <v/>
      </c>
      <c r="N37" s="35">
        <f>I37+L37</f>
        <v/>
      </c>
      <c r="O37" s="36">
        <f>D37-M37/2</f>
        <v/>
      </c>
      <c r="P37" s="36">
        <f>D37-N37/2</f>
        <v/>
      </c>
      <c r="Q37" s="36">
        <f>D37+M37/2</f>
        <v/>
      </c>
      <c r="R37" s="36">
        <f>D37+N37/2</f>
        <v/>
      </c>
    </row>
    <row r="38">
      <c r="A38" s="26">
        <f>ROUND(A37+0.1,2)</f>
        <v/>
      </c>
      <c r="B38" s="27">
        <f>INDEX(Bang_F,MATCH(A38,Bang_Z,1))+(A38-INDEX(Bang_Z,MATCH(A38,Bang_Z,1)))*(INDEX(Bang_F,MATCH(A38,Bang_Z,1)+1)-INDEX(Bang_F,MATCH(A38,Bang_Z,1)))</f>
        <v/>
      </c>
      <c r="C38" s="27">
        <f>INDEX(Bang_W,MATCH(A38,Bang_Z,1))+(A38-INDEX(Bang_Z,MATCH(A38,Bang_Z,1)))*(INDEX(Bang_F,MATCH(A38,Bang_Z,1))+B38)/2</f>
        <v/>
      </c>
      <c r="D38" s="28">
        <f>C38*1000000/dt_s</f>
        <v/>
      </c>
      <c r="E38" s="29">
        <f>MAX(A38-TC_Z,0)</f>
        <v/>
      </c>
      <c r="F38" s="30">
        <f>1-0.2*(TC_xmb+(TC_n-1)*TC_xmt)*E38/(TC_n*TC_b)</f>
        <v/>
      </c>
      <c r="G38" s="30">
        <f>1-0.2*(TC_xmb+(TC_n_sc-1)*TC_xmt)*E38/(TC_n_sc*TC_b)</f>
        <v/>
      </c>
      <c r="H38" s="31">
        <f>TC_s*F38*TC_m*TC_n*TC_b*SQRT(2*g_)*E38^1.5</f>
        <v/>
      </c>
      <c r="I38" s="31">
        <f>TC_s*G38*TC_m*TC_n_sc*TC_b*SQRT(2*g_)*E38^1.5</f>
        <v/>
      </c>
      <c r="J38" s="32">
        <f>MAX(A38-SC_Z,0)</f>
        <v/>
      </c>
      <c r="K38" s="33">
        <f>1-0.2*(SC_xmb+(SC_n-1)*SC_xmt)*J38/(SC_n*SC_b)</f>
        <v/>
      </c>
      <c r="L38" s="34">
        <f>SC_s*K38*SC_m*SC_n*SC_b*SQRT(2*g_)*J38^1.5</f>
        <v/>
      </c>
      <c r="M38" s="35">
        <f>H38+L38</f>
        <v/>
      </c>
      <c r="N38" s="35">
        <f>I38+L38</f>
        <v/>
      </c>
      <c r="O38" s="36">
        <f>D38-M38/2</f>
        <v/>
      </c>
      <c r="P38" s="36">
        <f>D38-N38/2</f>
        <v/>
      </c>
      <c r="Q38" s="36">
        <f>D38+M38/2</f>
        <v/>
      </c>
      <c r="R38" s="36">
        <f>D38+N38/2</f>
        <v/>
      </c>
    </row>
    <row r="39">
      <c r="A39" s="26">
        <f>ROUND(A38+0.1,2)</f>
        <v/>
      </c>
      <c r="B39" s="27">
        <f>INDEX(Bang_F,MATCH(A39,Bang_Z,1))+(A39-INDEX(Bang_Z,MATCH(A39,Bang_Z,1)))*(INDEX(Bang_F,MATCH(A39,Bang_Z,1)+1)-INDEX(Bang_F,MATCH(A39,Bang_Z,1)))</f>
        <v/>
      </c>
      <c r="C39" s="27">
        <f>INDEX(Bang_W,MATCH(A39,Bang_Z,1))+(A39-INDEX(Bang_Z,MATCH(A39,Bang_Z,1)))*(INDEX(Bang_F,MATCH(A39,Bang_Z,1))+B39)/2</f>
        <v/>
      </c>
      <c r="D39" s="28">
        <f>C39*1000000/dt_s</f>
        <v/>
      </c>
      <c r="E39" s="29">
        <f>MAX(A39-TC_Z,0)</f>
        <v/>
      </c>
      <c r="F39" s="30">
        <f>1-0.2*(TC_xmb+(TC_n-1)*TC_xmt)*E39/(TC_n*TC_b)</f>
        <v/>
      </c>
      <c r="G39" s="30">
        <f>1-0.2*(TC_xmb+(TC_n_sc-1)*TC_xmt)*E39/(TC_n_sc*TC_b)</f>
        <v/>
      </c>
      <c r="H39" s="31">
        <f>TC_s*F39*TC_m*TC_n*TC_b*SQRT(2*g_)*E39^1.5</f>
        <v/>
      </c>
      <c r="I39" s="31">
        <f>TC_s*G39*TC_m*TC_n_sc*TC_b*SQRT(2*g_)*E39^1.5</f>
        <v/>
      </c>
      <c r="J39" s="32">
        <f>MAX(A39-SC_Z,0)</f>
        <v/>
      </c>
      <c r="K39" s="33">
        <f>1-0.2*(SC_xmb+(SC_n-1)*SC_xmt)*J39/(SC_n*SC_b)</f>
        <v/>
      </c>
      <c r="L39" s="34">
        <f>SC_s*K39*SC_m*SC_n*SC_b*SQRT(2*g_)*J39^1.5</f>
        <v/>
      </c>
      <c r="M39" s="35">
        <f>H39+L39</f>
        <v/>
      </c>
      <c r="N39" s="35">
        <f>I39+L39</f>
        <v/>
      </c>
      <c r="O39" s="36">
        <f>D39-M39/2</f>
        <v/>
      </c>
      <c r="P39" s="36">
        <f>D39-N39/2</f>
        <v/>
      </c>
      <c r="Q39" s="36">
        <f>D39+M39/2</f>
        <v/>
      </c>
      <c r="R39" s="36">
        <f>D39+N39/2</f>
        <v/>
      </c>
    </row>
    <row r="40">
      <c r="A40" s="26">
        <f>ROUND(A39+0.1,2)</f>
        <v/>
      </c>
      <c r="B40" s="27">
        <f>INDEX(Bang_F,MATCH(A40,Bang_Z,1))+(A40-INDEX(Bang_Z,MATCH(A40,Bang_Z,1)))*(INDEX(Bang_F,MATCH(A40,Bang_Z,1)+1)-INDEX(Bang_F,MATCH(A40,Bang_Z,1)))</f>
        <v/>
      </c>
      <c r="C40" s="27">
        <f>INDEX(Bang_W,MATCH(A40,Bang_Z,1))+(A40-INDEX(Bang_Z,MATCH(A40,Bang_Z,1)))*(INDEX(Bang_F,MATCH(A40,Bang_Z,1))+B40)/2</f>
        <v/>
      </c>
      <c r="D40" s="28">
        <f>C40*1000000/dt_s</f>
        <v/>
      </c>
      <c r="E40" s="29">
        <f>MAX(A40-TC_Z,0)</f>
        <v/>
      </c>
      <c r="F40" s="30">
        <f>1-0.2*(TC_xmb+(TC_n-1)*TC_xmt)*E40/(TC_n*TC_b)</f>
        <v/>
      </c>
      <c r="G40" s="30">
        <f>1-0.2*(TC_xmb+(TC_n_sc-1)*TC_xmt)*E40/(TC_n_sc*TC_b)</f>
        <v/>
      </c>
      <c r="H40" s="31">
        <f>TC_s*F40*TC_m*TC_n*TC_b*SQRT(2*g_)*E40^1.5</f>
        <v/>
      </c>
      <c r="I40" s="31">
        <f>TC_s*G40*TC_m*TC_n_sc*TC_b*SQRT(2*g_)*E40^1.5</f>
        <v/>
      </c>
      <c r="J40" s="32">
        <f>MAX(A40-SC_Z,0)</f>
        <v/>
      </c>
      <c r="K40" s="33">
        <f>1-0.2*(SC_xmb+(SC_n-1)*SC_xmt)*J40/(SC_n*SC_b)</f>
        <v/>
      </c>
      <c r="L40" s="34">
        <f>SC_s*K40*SC_m*SC_n*SC_b*SQRT(2*g_)*J40^1.5</f>
        <v/>
      </c>
      <c r="M40" s="35">
        <f>H40+L40</f>
        <v/>
      </c>
      <c r="N40" s="35">
        <f>I40+L40</f>
        <v/>
      </c>
      <c r="O40" s="36">
        <f>D40-M40/2</f>
        <v/>
      </c>
      <c r="P40" s="36">
        <f>D40-N40/2</f>
        <v/>
      </c>
      <c r="Q40" s="36">
        <f>D40+M40/2</f>
        <v/>
      </c>
      <c r="R40" s="36">
        <f>D40+N40/2</f>
        <v/>
      </c>
    </row>
    <row r="41">
      <c r="A41" s="26">
        <f>ROUND(A40+0.1,2)</f>
        <v/>
      </c>
      <c r="B41" s="27">
        <f>INDEX(Bang_F,MATCH(A41,Bang_Z,1))+(A41-INDEX(Bang_Z,MATCH(A41,Bang_Z,1)))*(INDEX(Bang_F,MATCH(A41,Bang_Z,1)+1)-INDEX(Bang_F,MATCH(A41,Bang_Z,1)))</f>
        <v/>
      </c>
      <c r="C41" s="27">
        <f>INDEX(Bang_W,MATCH(A41,Bang_Z,1))+(A41-INDEX(Bang_Z,MATCH(A41,Bang_Z,1)))*(INDEX(Bang_F,MATCH(A41,Bang_Z,1))+B41)/2</f>
        <v/>
      </c>
      <c r="D41" s="28">
        <f>C41*1000000/dt_s</f>
        <v/>
      </c>
      <c r="E41" s="29">
        <f>MAX(A41-TC_Z,0)</f>
        <v/>
      </c>
      <c r="F41" s="30">
        <f>1-0.2*(TC_xmb+(TC_n-1)*TC_xmt)*E41/(TC_n*TC_b)</f>
        <v/>
      </c>
      <c r="G41" s="30">
        <f>1-0.2*(TC_xmb+(TC_n_sc-1)*TC_xmt)*E41/(TC_n_sc*TC_b)</f>
        <v/>
      </c>
      <c r="H41" s="31">
        <f>TC_s*F41*TC_m*TC_n*TC_b*SQRT(2*g_)*E41^1.5</f>
        <v/>
      </c>
      <c r="I41" s="31">
        <f>TC_s*G41*TC_m*TC_n_sc*TC_b*SQRT(2*g_)*E41^1.5</f>
        <v/>
      </c>
      <c r="J41" s="32">
        <f>MAX(A41-SC_Z,0)</f>
        <v/>
      </c>
      <c r="K41" s="33">
        <f>1-0.2*(SC_xmb+(SC_n-1)*SC_xmt)*J41/(SC_n*SC_b)</f>
        <v/>
      </c>
      <c r="L41" s="34">
        <f>SC_s*K41*SC_m*SC_n*SC_b*SQRT(2*g_)*J41^1.5</f>
        <v/>
      </c>
      <c r="M41" s="35">
        <f>H41+L41</f>
        <v/>
      </c>
      <c r="N41" s="35">
        <f>I41+L41</f>
        <v/>
      </c>
      <c r="O41" s="36">
        <f>D41-M41/2</f>
        <v/>
      </c>
      <c r="P41" s="36">
        <f>D41-N41/2</f>
        <v/>
      </c>
      <c r="Q41" s="36">
        <f>D41+M41/2</f>
        <v/>
      </c>
      <c r="R41" s="36">
        <f>D41+N41/2</f>
        <v/>
      </c>
    </row>
    <row r="42">
      <c r="A42" s="26">
        <f>ROUND(A41+0.1,2)</f>
        <v/>
      </c>
      <c r="B42" s="27">
        <f>INDEX(Bang_F,MATCH(A42,Bang_Z,1))+(A42-INDEX(Bang_Z,MATCH(A42,Bang_Z,1)))*(INDEX(Bang_F,MATCH(A42,Bang_Z,1)+1)-INDEX(Bang_F,MATCH(A42,Bang_Z,1)))</f>
        <v/>
      </c>
      <c r="C42" s="27">
        <f>INDEX(Bang_W,MATCH(A42,Bang_Z,1))+(A42-INDEX(Bang_Z,MATCH(A42,Bang_Z,1)))*(INDEX(Bang_F,MATCH(A42,Bang_Z,1))+B42)/2</f>
        <v/>
      </c>
      <c r="D42" s="28">
        <f>C42*1000000/dt_s</f>
        <v/>
      </c>
      <c r="E42" s="29">
        <f>MAX(A42-TC_Z,0)</f>
        <v/>
      </c>
      <c r="F42" s="30">
        <f>1-0.2*(TC_xmb+(TC_n-1)*TC_xmt)*E42/(TC_n*TC_b)</f>
        <v/>
      </c>
      <c r="G42" s="30">
        <f>1-0.2*(TC_xmb+(TC_n_sc-1)*TC_xmt)*E42/(TC_n_sc*TC_b)</f>
        <v/>
      </c>
      <c r="H42" s="31">
        <f>TC_s*F42*TC_m*TC_n*TC_b*SQRT(2*g_)*E42^1.5</f>
        <v/>
      </c>
      <c r="I42" s="31">
        <f>TC_s*G42*TC_m*TC_n_sc*TC_b*SQRT(2*g_)*E42^1.5</f>
        <v/>
      </c>
      <c r="J42" s="32">
        <f>MAX(A42-SC_Z,0)</f>
        <v/>
      </c>
      <c r="K42" s="33">
        <f>1-0.2*(SC_xmb+(SC_n-1)*SC_xmt)*J42/(SC_n*SC_b)</f>
        <v/>
      </c>
      <c r="L42" s="34">
        <f>SC_s*K42*SC_m*SC_n*SC_b*SQRT(2*g_)*J42^1.5</f>
        <v/>
      </c>
      <c r="M42" s="35">
        <f>H42+L42</f>
        <v/>
      </c>
      <c r="N42" s="35">
        <f>I42+L42</f>
        <v/>
      </c>
      <c r="O42" s="36">
        <f>D42-M42/2</f>
        <v/>
      </c>
      <c r="P42" s="36">
        <f>D42-N42/2</f>
        <v/>
      </c>
      <c r="Q42" s="36">
        <f>D42+M42/2</f>
        <v/>
      </c>
      <c r="R42" s="36">
        <f>D42+N42/2</f>
        <v/>
      </c>
    </row>
    <row r="43">
      <c r="A43" s="26">
        <f>ROUND(A42+0.1,2)</f>
        <v/>
      </c>
      <c r="B43" s="27">
        <f>INDEX(Bang_F,MATCH(A43,Bang_Z,1))+(A43-INDEX(Bang_Z,MATCH(A43,Bang_Z,1)))*(INDEX(Bang_F,MATCH(A43,Bang_Z,1)+1)-INDEX(Bang_F,MATCH(A43,Bang_Z,1)))</f>
        <v/>
      </c>
      <c r="C43" s="27">
        <f>INDEX(Bang_W,MATCH(A43,Bang_Z,1))+(A43-INDEX(Bang_Z,MATCH(A43,Bang_Z,1)))*(INDEX(Bang_F,MATCH(A43,Bang_Z,1))+B43)/2</f>
        <v/>
      </c>
      <c r="D43" s="28">
        <f>C43*1000000/dt_s</f>
        <v/>
      </c>
      <c r="E43" s="29">
        <f>MAX(A43-TC_Z,0)</f>
        <v/>
      </c>
      <c r="F43" s="30">
        <f>1-0.2*(TC_xmb+(TC_n-1)*TC_xmt)*E43/(TC_n*TC_b)</f>
        <v/>
      </c>
      <c r="G43" s="30">
        <f>1-0.2*(TC_xmb+(TC_n_sc-1)*TC_xmt)*E43/(TC_n_sc*TC_b)</f>
        <v/>
      </c>
      <c r="H43" s="31">
        <f>TC_s*F43*TC_m*TC_n*TC_b*SQRT(2*g_)*E43^1.5</f>
        <v/>
      </c>
      <c r="I43" s="31">
        <f>TC_s*G43*TC_m*TC_n_sc*TC_b*SQRT(2*g_)*E43^1.5</f>
        <v/>
      </c>
      <c r="J43" s="32">
        <f>MAX(A43-SC_Z,0)</f>
        <v/>
      </c>
      <c r="K43" s="33">
        <f>1-0.2*(SC_xmb+(SC_n-1)*SC_xmt)*J43/(SC_n*SC_b)</f>
        <v/>
      </c>
      <c r="L43" s="34">
        <f>SC_s*K43*SC_m*SC_n*SC_b*SQRT(2*g_)*J43^1.5</f>
        <v/>
      </c>
      <c r="M43" s="35">
        <f>H43+L43</f>
        <v/>
      </c>
      <c r="N43" s="35">
        <f>I43+L43</f>
        <v/>
      </c>
      <c r="O43" s="36">
        <f>D43-M43/2</f>
        <v/>
      </c>
      <c r="P43" s="36">
        <f>D43-N43/2</f>
        <v/>
      </c>
      <c r="Q43" s="36">
        <f>D43+M43/2</f>
        <v/>
      </c>
      <c r="R43" s="36">
        <f>D43+N43/2</f>
        <v/>
      </c>
    </row>
    <row r="44">
      <c r="A44" s="26">
        <f>ROUND(A43+0.1,2)</f>
        <v/>
      </c>
      <c r="B44" s="27">
        <f>INDEX(Bang_F,MATCH(A44,Bang_Z,1))+(A44-INDEX(Bang_Z,MATCH(A44,Bang_Z,1)))*(INDEX(Bang_F,MATCH(A44,Bang_Z,1)+1)-INDEX(Bang_F,MATCH(A44,Bang_Z,1)))</f>
        <v/>
      </c>
      <c r="C44" s="27">
        <f>INDEX(Bang_W,MATCH(A44,Bang_Z,1))+(A44-INDEX(Bang_Z,MATCH(A44,Bang_Z,1)))*(INDEX(Bang_F,MATCH(A44,Bang_Z,1))+B44)/2</f>
        <v/>
      </c>
      <c r="D44" s="28">
        <f>C44*1000000/dt_s</f>
        <v/>
      </c>
      <c r="E44" s="29">
        <f>MAX(A44-TC_Z,0)</f>
        <v/>
      </c>
      <c r="F44" s="30">
        <f>1-0.2*(TC_xmb+(TC_n-1)*TC_xmt)*E44/(TC_n*TC_b)</f>
        <v/>
      </c>
      <c r="G44" s="30">
        <f>1-0.2*(TC_xmb+(TC_n_sc-1)*TC_xmt)*E44/(TC_n_sc*TC_b)</f>
        <v/>
      </c>
      <c r="H44" s="31">
        <f>TC_s*F44*TC_m*TC_n*TC_b*SQRT(2*g_)*E44^1.5</f>
        <v/>
      </c>
      <c r="I44" s="31">
        <f>TC_s*G44*TC_m*TC_n_sc*TC_b*SQRT(2*g_)*E44^1.5</f>
        <v/>
      </c>
      <c r="J44" s="32">
        <f>MAX(A44-SC_Z,0)</f>
        <v/>
      </c>
      <c r="K44" s="33">
        <f>1-0.2*(SC_xmb+(SC_n-1)*SC_xmt)*J44/(SC_n*SC_b)</f>
        <v/>
      </c>
      <c r="L44" s="34">
        <f>SC_s*K44*SC_m*SC_n*SC_b*SQRT(2*g_)*J44^1.5</f>
        <v/>
      </c>
      <c r="M44" s="35">
        <f>H44+L44</f>
        <v/>
      </c>
      <c r="N44" s="35">
        <f>I44+L44</f>
        <v/>
      </c>
      <c r="O44" s="36">
        <f>D44-M44/2</f>
        <v/>
      </c>
      <c r="P44" s="36">
        <f>D44-N44/2</f>
        <v/>
      </c>
      <c r="Q44" s="36">
        <f>D44+M44/2</f>
        <v/>
      </c>
      <c r="R44" s="36">
        <f>D44+N44/2</f>
        <v/>
      </c>
    </row>
    <row r="45">
      <c r="A45" s="26">
        <f>ROUND(A44+0.1,2)</f>
        <v/>
      </c>
      <c r="B45" s="27">
        <f>INDEX(Bang_F,MATCH(A45,Bang_Z,1))+(A45-INDEX(Bang_Z,MATCH(A45,Bang_Z,1)))*(INDEX(Bang_F,MATCH(A45,Bang_Z,1)+1)-INDEX(Bang_F,MATCH(A45,Bang_Z,1)))</f>
        <v/>
      </c>
      <c r="C45" s="27">
        <f>INDEX(Bang_W,MATCH(A45,Bang_Z,1))+(A45-INDEX(Bang_Z,MATCH(A45,Bang_Z,1)))*(INDEX(Bang_F,MATCH(A45,Bang_Z,1))+B45)/2</f>
        <v/>
      </c>
      <c r="D45" s="28">
        <f>C45*1000000/dt_s</f>
        <v/>
      </c>
      <c r="E45" s="29">
        <f>MAX(A45-TC_Z,0)</f>
        <v/>
      </c>
      <c r="F45" s="30">
        <f>1-0.2*(TC_xmb+(TC_n-1)*TC_xmt)*E45/(TC_n*TC_b)</f>
        <v/>
      </c>
      <c r="G45" s="30">
        <f>1-0.2*(TC_xmb+(TC_n_sc-1)*TC_xmt)*E45/(TC_n_sc*TC_b)</f>
        <v/>
      </c>
      <c r="H45" s="31">
        <f>TC_s*F45*TC_m*TC_n*TC_b*SQRT(2*g_)*E45^1.5</f>
        <v/>
      </c>
      <c r="I45" s="31">
        <f>TC_s*G45*TC_m*TC_n_sc*TC_b*SQRT(2*g_)*E45^1.5</f>
        <v/>
      </c>
      <c r="J45" s="32">
        <f>MAX(A45-SC_Z,0)</f>
        <v/>
      </c>
      <c r="K45" s="33">
        <f>1-0.2*(SC_xmb+(SC_n-1)*SC_xmt)*J45/(SC_n*SC_b)</f>
        <v/>
      </c>
      <c r="L45" s="34">
        <f>SC_s*K45*SC_m*SC_n*SC_b*SQRT(2*g_)*J45^1.5</f>
        <v/>
      </c>
      <c r="M45" s="35">
        <f>H45+L45</f>
        <v/>
      </c>
      <c r="N45" s="35">
        <f>I45+L45</f>
        <v/>
      </c>
      <c r="O45" s="36">
        <f>D45-M45/2</f>
        <v/>
      </c>
      <c r="P45" s="36">
        <f>D45-N45/2</f>
        <v/>
      </c>
      <c r="Q45" s="36">
        <f>D45+M45/2</f>
        <v/>
      </c>
      <c r="R45" s="36">
        <f>D45+N45/2</f>
        <v/>
      </c>
    </row>
    <row r="46">
      <c r="A46" s="26">
        <f>ROUND(A45+0.1,2)</f>
        <v/>
      </c>
      <c r="B46" s="27">
        <f>INDEX(Bang_F,MATCH(A46,Bang_Z,1))+(A46-INDEX(Bang_Z,MATCH(A46,Bang_Z,1)))*(INDEX(Bang_F,MATCH(A46,Bang_Z,1)+1)-INDEX(Bang_F,MATCH(A46,Bang_Z,1)))</f>
        <v/>
      </c>
      <c r="C46" s="27">
        <f>INDEX(Bang_W,MATCH(A46,Bang_Z,1))+(A46-INDEX(Bang_Z,MATCH(A46,Bang_Z,1)))*(INDEX(Bang_F,MATCH(A46,Bang_Z,1))+B46)/2</f>
        <v/>
      </c>
      <c r="D46" s="28">
        <f>C46*1000000/dt_s</f>
        <v/>
      </c>
      <c r="E46" s="29">
        <f>MAX(A46-TC_Z,0)</f>
        <v/>
      </c>
      <c r="F46" s="30">
        <f>1-0.2*(TC_xmb+(TC_n-1)*TC_xmt)*E46/(TC_n*TC_b)</f>
        <v/>
      </c>
      <c r="G46" s="30">
        <f>1-0.2*(TC_xmb+(TC_n_sc-1)*TC_xmt)*E46/(TC_n_sc*TC_b)</f>
        <v/>
      </c>
      <c r="H46" s="31">
        <f>TC_s*F46*TC_m*TC_n*TC_b*SQRT(2*g_)*E46^1.5</f>
        <v/>
      </c>
      <c r="I46" s="31">
        <f>TC_s*G46*TC_m*TC_n_sc*TC_b*SQRT(2*g_)*E46^1.5</f>
        <v/>
      </c>
      <c r="J46" s="32">
        <f>MAX(A46-SC_Z,0)</f>
        <v/>
      </c>
      <c r="K46" s="33">
        <f>1-0.2*(SC_xmb+(SC_n-1)*SC_xmt)*J46/(SC_n*SC_b)</f>
        <v/>
      </c>
      <c r="L46" s="34">
        <f>SC_s*K46*SC_m*SC_n*SC_b*SQRT(2*g_)*J46^1.5</f>
        <v/>
      </c>
      <c r="M46" s="35">
        <f>H46+L46</f>
        <v/>
      </c>
      <c r="N46" s="35">
        <f>I46+L46</f>
        <v/>
      </c>
      <c r="O46" s="36">
        <f>D46-M46/2</f>
        <v/>
      </c>
      <c r="P46" s="36">
        <f>D46-N46/2</f>
        <v/>
      </c>
      <c r="Q46" s="36">
        <f>D46+M46/2</f>
        <v/>
      </c>
      <c r="R46" s="36">
        <f>D46+N46/2</f>
        <v/>
      </c>
    </row>
    <row r="47">
      <c r="A47" s="26">
        <f>ROUND(A46+0.1,2)</f>
        <v/>
      </c>
      <c r="B47" s="27">
        <f>INDEX(Bang_F,MATCH(A47,Bang_Z,1))+(A47-INDEX(Bang_Z,MATCH(A47,Bang_Z,1)))*(INDEX(Bang_F,MATCH(A47,Bang_Z,1)+1)-INDEX(Bang_F,MATCH(A47,Bang_Z,1)))</f>
        <v/>
      </c>
      <c r="C47" s="27">
        <f>INDEX(Bang_W,MATCH(A47,Bang_Z,1))+(A47-INDEX(Bang_Z,MATCH(A47,Bang_Z,1)))*(INDEX(Bang_F,MATCH(A47,Bang_Z,1))+B47)/2</f>
        <v/>
      </c>
      <c r="D47" s="28">
        <f>C47*1000000/dt_s</f>
        <v/>
      </c>
      <c r="E47" s="29">
        <f>MAX(A47-TC_Z,0)</f>
        <v/>
      </c>
      <c r="F47" s="30">
        <f>1-0.2*(TC_xmb+(TC_n-1)*TC_xmt)*E47/(TC_n*TC_b)</f>
        <v/>
      </c>
      <c r="G47" s="30">
        <f>1-0.2*(TC_xmb+(TC_n_sc-1)*TC_xmt)*E47/(TC_n_sc*TC_b)</f>
        <v/>
      </c>
      <c r="H47" s="31">
        <f>TC_s*F47*TC_m*TC_n*TC_b*SQRT(2*g_)*E47^1.5</f>
        <v/>
      </c>
      <c r="I47" s="31">
        <f>TC_s*G47*TC_m*TC_n_sc*TC_b*SQRT(2*g_)*E47^1.5</f>
        <v/>
      </c>
      <c r="J47" s="32">
        <f>MAX(A47-SC_Z,0)</f>
        <v/>
      </c>
      <c r="K47" s="33">
        <f>1-0.2*(SC_xmb+(SC_n-1)*SC_xmt)*J47/(SC_n*SC_b)</f>
        <v/>
      </c>
      <c r="L47" s="34">
        <f>SC_s*K47*SC_m*SC_n*SC_b*SQRT(2*g_)*J47^1.5</f>
        <v/>
      </c>
      <c r="M47" s="35">
        <f>H47+L47</f>
        <v/>
      </c>
      <c r="N47" s="35">
        <f>I47+L47</f>
        <v/>
      </c>
      <c r="O47" s="36">
        <f>D47-M47/2</f>
        <v/>
      </c>
      <c r="P47" s="36">
        <f>D47-N47/2</f>
        <v/>
      </c>
      <c r="Q47" s="36">
        <f>D47+M47/2</f>
        <v/>
      </c>
      <c r="R47" s="36">
        <f>D47+N47/2</f>
        <v/>
      </c>
    </row>
    <row r="48">
      <c r="A48" s="26">
        <f>ROUND(A47+0.1,2)</f>
        <v/>
      </c>
      <c r="B48" s="27">
        <f>INDEX(Bang_F,MATCH(A48,Bang_Z,1))+(A48-INDEX(Bang_Z,MATCH(A48,Bang_Z,1)))*(INDEX(Bang_F,MATCH(A48,Bang_Z,1)+1)-INDEX(Bang_F,MATCH(A48,Bang_Z,1)))</f>
        <v/>
      </c>
      <c r="C48" s="27">
        <f>INDEX(Bang_W,MATCH(A48,Bang_Z,1))+(A48-INDEX(Bang_Z,MATCH(A48,Bang_Z,1)))*(INDEX(Bang_F,MATCH(A48,Bang_Z,1))+B48)/2</f>
        <v/>
      </c>
      <c r="D48" s="28">
        <f>C48*1000000/dt_s</f>
        <v/>
      </c>
      <c r="E48" s="29">
        <f>MAX(A48-TC_Z,0)</f>
        <v/>
      </c>
      <c r="F48" s="30">
        <f>1-0.2*(TC_xmb+(TC_n-1)*TC_xmt)*E48/(TC_n*TC_b)</f>
        <v/>
      </c>
      <c r="G48" s="30">
        <f>1-0.2*(TC_xmb+(TC_n_sc-1)*TC_xmt)*E48/(TC_n_sc*TC_b)</f>
        <v/>
      </c>
      <c r="H48" s="31">
        <f>TC_s*F48*TC_m*TC_n*TC_b*SQRT(2*g_)*E48^1.5</f>
        <v/>
      </c>
      <c r="I48" s="31">
        <f>TC_s*G48*TC_m*TC_n_sc*TC_b*SQRT(2*g_)*E48^1.5</f>
        <v/>
      </c>
      <c r="J48" s="32">
        <f>MAX(A48-SC_Z,0)</f>
        <v/>
      </c>
      <c r="K48" s="33">
        <f>1-0.2*(SC_xmb+(SC_n-1)*SC_xmt)*J48/(SC_n*SC_b)</f>
        <v/>
      </c>
      <c r="L48" s="34">
        <f>SC_s*K48*SC_m*SC_n*SC_b*SQRT(2*g_)*J48^1.5</f>
        <v/>
      </c>
      <c r="M48" s="35">
        <f>H48+L48</f>
        <v/>
      </c>
      <c r="N48" s="35">
        <f>I48+L48</f>
        <v/>
      </c>
      <c r="O48" s="36">
        <f>D48-M48/2</f>
        <v/>
      </c>
      <c r="P48" s="36">
        <f>D48-N48/2</f>
        <v/>
      </c>
      <c r="Q48" s="36">
        <f>D48+M48/2</f>
        <v/>
      </c>
      <c r="R48" s="36">
        <f>D48+N48/2</f>
        <v/>
      </c>
    </row>
    <row r="49">
      <c r="A49" s="26">
        <f>ROUND(A48+0.1,2)</f>
        <v/>
      </c>
      <c r="B49" s="27">
        <f>INDEX(Bang_F,MATCH(A49,Bang_Z,1))+(A49-INDEX(Bang_Z,MATCH(A49,Bang_Z,1)))*(INDEX(Bang_F,MATCH(A49,Bang_Z,1)+1)-INDEX(Bang_F,MATCH(A49,Bang_Z,1)))</f>
        <v/>
      </c>
      <c r="C49" s="27">
        <f>INDEX(Bang_W,MATCH(A49,Bang_Z,1))+(A49-INDEX(Bang_Z,MATCH(A49,Bang_Z,1)))*(INDEX(Bang_F,MATCH(A49,Bang_Z,1))+B49)/2</f>
        <v/>
      </c>
      <c r="D49" s="28">
        <f>C49*1000000/dt_s</f>
        <v/>
      </c>
      <c r="E49" s="29">
        <f>MAX(A49-TC_Z,0)</f>
        <v/>
      </c>
      <c r="F49" s="30">
        <f>1-0.2*(TC_xmb+(TC_n-1)*TC_xmt)*E49/(TC_n*TC_b)</f>
        <v/>
      </c>
      <c r="G49" s="30">
        <f>1-0.2*(TC_xmb+(TC_n_sc-1)*TC_xmt)*E49/(TC_n_sc*TC_b)</f>
        <v/>
      </c>
      <c r="H49" s="31">
        <f>TC_s*F49*TC_m*TC_n*TC_b*SQRT(2*g_)*E49^1.5</f>
        <v/>
      </c>
      <c r="I49" s="31">
        <f>TC_s*G49*TC_m*TC_n_sc*TC_b*SQRT(2*g_)*E49^1.5</f>
        <v/>
      </c>
      <c r="J49" s="32">
        <f>MAX(A49-SC_Z,0)</f>
        <v/>
      </c>
      <c r="K49" s="33">
        <f>1-0.2*(SC_xmb+(SC_n-1)*SC_xmt)*J49/(SC_n*SC_b)</f>
        <v/>
      </c>
      <c r="L49" s="34">
        <f>SC_s*K49*SC_m*SC_n*SC_b*SQRT(2*g_)*J49^1.5</f>
        <v/>
      </c>
      <c r="M49" s="35">
        <f>H49+L49</f>
        <v/>
      </c>
      <c r="N49" s="35">
        <f>I49+L49</f>
        <v/>
      </c>
      <c r="O49" s="36">
        <f>D49-M49/2</f>
        <v/>
      </c>
      <c r="P49" s="36">
        <f>D49-N49/2</f>
        <v/>
      </c>
      <c r="Q49" s="36">
        <f>D49+M49/2</f>
        <v/>
      </c>
      <c r="R49" s="36">
        <f>D49+N49/2</f>
        <v/>
      </c>
    </row>
    <row r="50">
      <c r="A50" s="26">
        <f>ROUND(A49+0.1,2)</f>
        <v/>
      </c>
      <c r="B50" s="27">
        <f>INDEX(Bang_F,MATCH(A50,Bang_Z,1))+(A50-INDEX(Bang_Z,MATCH(A50,Bang_Z,1)))*(INDEX(Bang_F,MATCH(A50,Bang_Z,1)+1)-INDEX(Bang_F,MATCH(A50,Bang_Z,1)))</f>
        <v/>
      </c>
      <c r="C50" s="27">
        <f>INDEX(Bang_W,MATCH(A50,Bang_Z,1))+(A50-INDEX(Bang_Z,MATCH(A50,Bang_Z,1)))*(INDEX(Bang_F,MATCH(A50,Bang_Z,1))+B50)/2</f>
        <v/>
      </c>
      <c r="D50" s="28">
        <f>C50*1000000/dt_s</f>
        <v/>
      </c>
      <c r="E50" s="29">
        <f>MAX(A50-TC_Z,0)</f>
        <v/>
      </c>
      <c r="F50" s="30">
        <f>1-0.2*(TC_xmb+(TC_n-1)*TC_xmt)*E50/(TC_n*TC_b)</f>
        <v/>
      </c>
      <c r="G50" s="30">
        <f>1-0.2*(TC_xmb+(TC_n_sc-1)*TC_xmt)*E50/(TC_n_sc*TC_b)</f>
        <v/>
      </c>
      <c r="H50" s="31">
        <f>TC_s*F50*TC_m*TC_n*TC_b*SQRT(2*g_)*E50^1.5</f>
        <v/>
      </c>
      <c r="I50" s="31">
        <f>TC_s*G50*TC_m*TC_n_sc*TC_b*SQRT(2*g_)*E50^1.5</f>
        <v/>
      </c>
      <c r="J50" s="32">
        <f>MAX(A50-SC_Z,0)</f>
        <v/>
      </c>
      <c r="K50" s="33">
        <f>1-0.2*(SC_xmb+(SC_n-1)*SC_xmt)*J50/(SC_n*SC_b)</f>
        <v/>
      </c>
      <c r="L50" s="34">
        <f>SC_s*K50*SC_m*SC_n*SC_b*SQRT(2*g_)*J50^1.5</f>
        <v/>
      </c>
      <c r="M50" s="35">
        <f>H50+L50</f>
        <v/>
      </c>
      <c r="N50" s="35">
        <f>I50+L50</f>
        <v/>
      </c>
      <c r="O50" s="36">
        <f>D50-M50/2</f>
        <v/>
      </c>
      <c r="P50" s="36">
        <f>D50-N50/2</f>
        <v/>
      </c>
      <c r="Q50" s="36">
        <f>D50+M50/2</f>
        <v/>
      </c>
      <c r="R50" s="36">
        <f>D50+N50/2</f>
        <v/>
      </c>
    </row>
    <row r="51">
      <c r="A51" s="26">
        <f>ROUND(A50+0.1,2)</f>
        <v/>
      </c>
      <c r="B51" s="27">
        <f>INDEX(Bang_F,MATCH(A51,Bang_Z,1))+(A51-INDEX(Bang_Z,MATCH(A51,Bang_Z,1)))*(INDEX(Bang_F,MATCH(A51,Bang_Z,1)+1)-INDEX(Bang_F,MATCH(A51,Bang_Z,1)))</f>
        <v/>
      </c>
      <c r="C51" s="27">
        <f>INDEX(Bang_W,MATCH(A51,Bang_Z,1))+(A51-INDEX(Bang_Z,MATCH(A51,Bang_Z,1)))*(INDEX(Bang_F,MATCH(A51,Bang_Z,1))+B51)/2</f>
        <v/>
      </c>
      <c r="D51" s="28">
        <f>C51*1000000/dt_s</f>
        <v/>
      </c>
      <c r="E51" s="29">
        <f>MAX(A51-TC_Z,0)</f>
        <v/>
      </c>
      <c r="F51" s="30">
        <f>1-0.2*(TC_xmb+(TC_n-1)*TC_xmt)*E51/(TC_n*TC_b)</f>
        <v/>
      </c>
      <c r="G51" s="30">
        <f>1-0.2*(TC_xmb+(TC_n_sc-1)*TC_xmt)*E51/(TC_n_sc*TC_b)</f>
        <v/>
      </c>
      <c r="H51" s="31">
        <f>TC_s*F51*TC_m*TC_n*TC_b*SQRT(2*g_)*E51^1.5</f>
        <v/>
      </c>
      <c r="I51" s="31">
        <f>TC_s*G51*TC_m*TC_n_sc*TC_b*SQRT(2*g_)*E51^1.5</f>
        <v/>
      </c>
      <c r="J51" s="32">
        <f>MAX(A51-SC_Z,0)</f>
        <v/>
      </c>
      <c r="K51" s="33">
        <f>1-0.2*(SC_xmb+(SC_n-1)*SC_xmt)*J51/(SC_n*SC_b)</f>
        <v/>
      </c>
      <c r="L51" s="34">
        <f>SC_s*K51*SC_m*SC_n*SC_b*SQRT(2*g_)*J51^1.5</f>
        <v/>
      </c>
      <c r="M51" s="35">
        <f>H51+L51</f>
        <v/>
      </c>
      <c r="N51" s="35">
        <f>I51+L51</f>
        <v/>
      </c>
      <c r="O51" s="36">
        <f>D51-M51/2</f>
        <v/>
      </c>
      <c r="P51" s="36">
        <f>D51-N51/2</f>
        <v/>
      </c>
      <c r="Q51" s="36">
        <f>D51+M51/2</f>
        <v/>
      </c>
      <c r="R51" s="36">
        <f>D51+N51/2</f>
        <v/>
      </c>
    </row>
    <row r="52">
      <c r="A52" s="26">
        <f>ROUND(A51+0.1,2)</f>
        <v/>
      </c>
      <c r="B52" s="27">
        <f>INDEX(Bang_F,MATCH(A52,Bang_Z,1))+(A52-INDEX(Bang_Z,MATCH(A52,Bang_Z,1)))*(INDEX(Bang_F,MATCH(A52,Bang_Z,1)+1)-INDEX(Bang_F,MATCH(A52,Bang_Z,1)))</f>
        <v/>
      </c>
      <c r="C52" s="27">
        <f>INDEX(Bang_W,MATCH(A52,Bang_Z,1))+(A52-INDEX(Bang_Z,MATCH(A52,Bang_Z,1)))*(INDEX(Bang_F,MATCH(A52,Bang_Z,1))+B52)/2</f>
        <v/>
      </c>
      <c r="D52" s="28">
        <f>C52*1000000/dt_s</f>
        <v/>
      </c>
      <c r="E52" s="29">
        <f>MAX(A52-TC_Z,0)</f>
        <v/>
      </c>
      <c r="F52" s="30">
        <f>1-0.2*(TC_xmb+(TC_n-1)*TC_xmt)*E52/(TC_n*TC_b)</f>
        <v/>
      </c>
      <c r="G52" s="30">
        <f>1-0.2*(TC_xmb+(TC_n_sc-1)*TC_xmt)*E52/(TC_n_sc*TC_b)</f>
        <v/>
      </c>
      <c r="H52" s="31">
        <f>TC_s*F52*TC_m*TC_n*TC_b*SQRT(2*g_)*E52^1.5</f>
        <v/>
      </c>
      <c r="I52" s="31">
        <f>TC_s*G52*TC_m*TC_n_sc*TC_b*SQRT(2*g_)*E52^1.5</f>
        <v/>
      </c>
      <c r="J52" s="32">
        <f>MAX(A52-SC_Z,0)</f>
        <v/>
      </c>
      <c r="K52" s="33">
        <f>1-0.2*(SC_xmb+(SC_n-1)*SC_xmt)*J52/(SC_n*SC_b)</f>
        <v/>
      </c>
      <c r="L52" s="34">
        <f>SC_s*K52*SC_m*SC_n*SC_b*SQRT(2*g_)*J52^1.5</f>
        <v/>
      </c>
      <c r="M52" s="35">
        <f>H52+L52</f>
        <v/>
      </c>
      <c r="N52" s="35">
        <f>I52+L52</f>
        <v/>
      </c>
      <c r="O52" s="36">
        <f>D52-M52/2</f>
        <v/>
      </c>
      <c r="P52" s="36">
        <f>D52-N52/2</f>
        <v/>
      </c>
      <c r="Q52" s="36">
        <f>D52+M52/2</f>
        <v/>
      </c>
      <c r="R52" s="36">
        <f>D52+N52/2</f>
        <v/>
      </c>
    </row>
    <row r="53">
      <c r="A53" s="26">
        <f>ROUND(A52+0.1,2)</f>
        <v/>
      </c>
      <c r="B53" s="27">
        <f>INDEX(Bang_F,MATCH(A53,Bang_Z,1))+(A53-INDEX(Bang_Z,MATCH(A53,Bang_Z,1)))*(INDEX(Bang_F,MATCH(A53,Bang_Z,1)+1)-INDEX(Bang_F,MATCH(A53,Bang_Z,1)))</f>
        <v/>
      </c>
      <c r="C53" s="27">
        <f>INDEX(Bang_W,MATCH(A53,Bang_Z,1))+(A53-INDEX(Bang_Z,MATCH(A53,Bang_Z,1)))*(INDEX(Bang_F,MATCH(A53,Bang_Z,1))+B53)/2</f>
        <v/>
      </c>
      <c r="D53" s="28">
        <f>C53*1000000/dt_s</f>
        <v/>
      </c>
      <c r="E53" s="29">
        <f>MAX(A53-TC_Z,0)</f>
        <v/>
      </c>
      <c r="F53" s="30">
        <f>1-0.2*(TC_xmb+(TC_n-1)*TC_xmt)*E53/(TC_n*TC_b)</f>
        <v/>
      </c>
      <c r="G53" s="30">
        <f>1-0.2*(TC_xmb+(TC_n_sc-1)*TC_xmt)*E53/(TC_n_sc*TC_b)</f>
        <v/>
      </c>
      <c r="H53" s="31">
        <f>TC_s*F53*TC_m*TC_n*TC_b*SQRT(2*g_)*E53^1.5</f>
        <v/>
      </c>
      <c r="I53" s="31">
        <f>TC_s*G53*TC_m*TC_n_sc*TC_b*SQRT(2*g_)*E53^1.5</f>
        <v/>
      </c>
      <c r="J53" s="32">
        <f>MAX(A53-SC_Z,0)</f>
        <v/>
      </c>
      <c r="K53" s="33">
        <f>1-0.2*(SC_xmb+(SC_n-1)*SC_xmt)*J53/(SC_n*SC_b)</f>
        <v/>
      </c>
      <c r="L53" s="34">
        <f>SC_s*K53*SC_m*SC_n*SC_b*SQRT(2*g_)*J53^1.5</f>
        <v/>
      </c>
      <c r="M53" s="35">
        <f>H53+L53</f>
        <v/>
      </c>
      <c r="N53" s="35">
        <f>I53+L53</f>
        <v/>
      </c>
      <c r="O53" s="36">
        <f>D53-M53/2</f>
        <v/>
      </c>
      <c r="P53" s="36">
        <f>D53-N53/2</f>
        <v/>
      </c>
      <c r="Q53" s="36">
        <f>D53+M53/2</f>
        <v/>
      </c>
      <c r="R53" s="36">
        <f>D53+N53/2</f>
        <v/>
      </c>
    </row>
    <row r="54">
      <c r="A54" s="26">
        <f>ROUND(A53+0.1,2)</f>
        <v/>
      </c>
      <c r="B54" s="27">
        <f>INDEX(Bang_F,MATCH(A54,Bang_Z,1))+(A54-INDEX(Bang_Z,MATCH(A54,Bang_Z,1)))*(INDEX(Bang_F,MATCH(A54,Bang_Z,1)+1)-INDEX(Bang_F,MATCH(A54,Bang_Z,1)))</f>
        <v/>
      </c>
      <c r="C54" s="27">
        <f>INDEX(Bang_W,MATCH(A54,Bang_Z,1))+(A54-INDEX(Bang_Z,MATCH(A54,Bang_Z,1)))*(INDEX(Bang_F,MATCH(A54,Bang_Z,1))+B54)/2</f>
        <v/>
      </c>
      <c r="D54" s="28">
        <f>C54*1000000/dt_s</f>
        <v/>
      </c>
      <c r="E54" s="29">
        <f>MAX(A54-TC_Z,0)</f>
        <v/>
      </c>
      <c r="F54" s="30">
        <f>1-0.2*(TC_xmb+(TC_n-1)*TC_xmt)*E54/(TC_n*TC_b)</f>
        <v/>
      </c>
      <c r="G54" s="30">
        <f>1-0.2*(TC_xmb+(TC_n_sc-1)*TC_xmt)*E54/(TC_n_sc*TC_b)</f>
        <v/>
      </c>
      <c r="H54" s="31">
        <f>TC_s*F54*TC_m*TC_n*TC_b*SQRT(2*g_)*E54^1.5</f>
        <v/>
      </c>
      <c r="I54" s="31">
        <f>TC_s*G54*TC_m*TC_n_sc*TC_b*SQRT(2*g_)*E54^1.5</f>
        <v/>
      </c>
      <c r="J54" s="32">
        <f>MAX(A54-SC_Z,0)</f>
        <v/>
      </c>
      <c r="K54" s="33">
        <f>1-0.2*(SC_xmb+(SC_n-1)*SC_xmt)*J54/(SC_n*SC_b)</f>
        <v/>
      </c>
      <c r="L54" s="34">
        <f>SC_s*K54*SC_m*SC_n*SC_b*SQRT(2*g_)*J54^1.5</f>
        <v/>
      </c>
      <c r="M54" s="35">
        <f>H54+L54</f>
        <v/>
      </c>
      <c r="N54" s="35">
        <f>I54+L54</f>
        <v/>
      </c>
      <c r="O54" s="36">
        <f>D54-M54/2</f>
        <v/>
      </c>
      <c r="P54" s="36">
        <f>D54-N54/2</f>
        <v/>
      </c>
      <c r="Q54" s="36">
        <f>D54+M54/2</f>
        <v/>
      </c>
      <c r="R54" s="36">
        <f>D54+N54/2</f>
        <v/>
      </c>
    </row>
    <row r="55">
      <c r="A55" s="26">
        <f>ROUND(A54+0.1,2)</f>
        <v/>
      </c>
      <c r="B55" s="27">
        <f>INDEX(Bang_F,MATCH(A55,Bang_Z,1))+(A55-INDEX(Bang_Z,MATCH(A55,Bang_Z,1)))*(INDEX(Bang_F,MATCH(A55,Bang_Z,1)+1)-INDEX(Bang_F,MATCH(A55,Bang_Z,1)))</f>
        <v/>
      </c>
      <c r="C55" s="27">
        <f>INDEX(Bang_W,MATCH(A55,Bang_Z,1))+(A55-INDEX(Bang_Z,MATCH(A55,Bang_Z,1)))*(INDEX(Bang_F,MATCH(A55,Bang_Z,1))+B55)/2</f>
        <v/>
      </c>
      <c r="D55" s="28">
        <f>C55*1000000/dt_s</f>
        <v/>
      </c>
      <c r="E55" s="29">
        <f>MAX(A55-TC_Z,0)</f>
        <v/>
      </c>
      <c r="F55" s="30">
        <f>1-0.2*(TC_xmb+(TC_n-1)*TC_xmt)*E55/(TC_n*TC_b)</f>
        <v/>
      </c>
      <c r="G55" s="30">
        <f>1-0.2*(TC_xmb+(TC_n_sc-1)*TC_xmt)*E55/(TC_n_sc*TC_b)</f>
        <v/>
      </c>
      <c r="H55" s="31">
        <f>TC_s*F55*TC_m*TC_n*TC_b*SQRT(2*g_)*E55^1.5</f>
        <v/>
      </c>
      <c r="I55" s="31">
        <f>TC_s*G55*TC_m*TC_n_sc*TC_b*SQRT(2*g_)*E55^1.5</f>
        <v/>
      </c>
      <c r="J55" s="32">
        <f>MAX(A55-SC_Z,0)</f>
        <v/>
      </c>
      <c r="K55" s="33">
        <f>1-0.2*(SC_xmb+(SC_n-1)*SC_xmt)*J55/(SC_n*SC_b)</f>
        <v/>
      </c>
      <c r="L55" s="34">
        <f>SC_s*K55*SC_m*SC_n*SC_b*SQRT(2*g_)*J55^1.5</f>
        <v/>
      </c>
      <c r="M55" s="35">
        <f>H55+L55</f>
        <v/>
      </c>
      <c r="N55" s="35">
        <f>I55+L55</f>
        <v/>
      </c>
      <c r="O55" s="36">
        <f>D55-M55/2</f>
        <v/>
      </c>
      <c r="P55" s="36">
        <f>D55-N55/2</f>
        <v/>
      </c>
      <c r="Q55" s="36">
        <f>D55+M55/2</f>
        <v/>
      </c>
      <c r="R55" s="36">
        <f>D55+N55/2</f>
        <v/>
      </c>
    </row>
    <row r="56">
      <c r="A56" s="26">
        <f>ROUND(A55+0.1,2)</f>
        <v/>
      </c>
      <c r="B56" s="27">
        <f>INDEX(Bang_F,MATCH(A56,Bang_Z,1))+(A56-INDEX(Bang_Z,MATCH(A56,Bang_Z,1)))*(INDEX(Bang_F,MATCH(A56,Bang_Z,1)+1)-INDEX(Bang_F,MATCH(A56,Bang_Z,1)))</f>
        <v/>
      </c>
      <c r="C56" s="27">
        <f>INDEX(Bang_W,MATCH(A56,Bang_Z,1))+(A56-INDEX(Bang_Z,MATCH(A56,Bang_Z,1)))*(INDEX(Bang_F,MATCH(A56,Bang_Z,1))+B56)/2</f>
        <v/>
      </c>
      <c r="D56" s="28">
        <f>C56*1000000/dt_s</f>
        <v/>
      </c>
      <c r="E56" s="29">
        <f>MAX(A56-TC_Z,0)</f>
        <v/>
      </c>
      <c r="F56" s="30">
        <f>1-0.2*(TC_xmb+(TC_n-1)*TC_xmt)*E56/(TC_n*TC_b)</f>
        <v/>
      </c>
      <c r="G56" s="30">
        <f>1-0.2*(TC_xmb+(TC_n_sc-1)*TC_xmt)*E56/(TC_n_sc*TC_b)</f>
        <v/>
      </c>
      <c r="H56" s="31">
        <f>TC_s*F56*TC_m*TC_n*TC_b*SQRT(2*g_)*E56^1.5</f>
        <v/>
      </c>
      <c r="I56" s="31">
        <f>TC_s*G56*TC_m*TC_n_sc*TC_b*SQRT(2*g_)*E56^1.5</f>
        <v/>
      </c>
      <c r="J56" s="32">
        <f>MAX(A56-SC_Z,0)</f>
        <v/>
      </c>
      <c r="K56" s="33">
        <f>1-0.2*(SC_xmb+(SC_n-1)*SC_xmt)*J56/(SC_n*SC_b)</f>
        <v/>
      </c>
      <c r="L56" s="34">
        <f>SC_s*K56*SC_m*SC_n*SC_b*SQRT(2*g_)*J56^1.5</f>
        <v/>
      </c>
      <c r="M56" s="35">
        <f>H56+L56</f>
        <v/>
      </c>
      <c r="N56" s="35">
        <f>I56+L56</f>
        <v/>
      </c>
      <c r="O56" s="36">
        <f>D56-M56/2</f>
        <v/>
      </c>
      <c r="P56" s="36">
        <f>D56-N56/2</f>
        <v/>
      </c>
      <c r="Q56" s="36">
        <f>D56+M56/2</f>
        <v/>
      </c>
      <c r="R56" s="36">
        <f>D56+N56/2</f>
        <v/>
      </c>
    </row>
    <row r="57">
      <c r="A57" s="26">
        <f>ROUND(A56+0.1,2)</f>
        <v/>
      </c>
      <c r="B57" s="27">
        <f>INDEX(Bang_F,MATCH(A57,Bang_Z,1))+(A57-INDEX(Bang_Z,MATCH(A57,Bang_Z,1)))*(INDEX(Bang_F,MATCH(A57,Bang_Z,1)+1)-INDEX(Bang_F,MATCH(A57,Bang_Z,1)))</f>
        <v/>
      </c>
      <c r="C57" s="27">
        <f>INDEX(Bang_W,MATCH(A57,Bang_Z,1))+(A57-INDEX(Bang_Z,MATCH(A57,Bang_Z,1)))*(INDEX(Bang_F,MATCH(A57,Bang_Z,1))+B57)/2</f>
        <v/>
      </c>
      <c r="D57" s="28">
        <f>C57*1000000/dt_s</f>
        <v/>
      </c>
      <c r="E57" s="29">
        <f>MAX(A57-TC_Z,0)</f>
        <v/>
      </c>
      <c r="F57" s="30">
        <f>1-0.2*(TC_xmb+(TC_n-1)*TC_xmt)*E57/(TC_n*TC_b)</f>
        <v/>
      </c>
      <c r="G57" s="30">
        <f>1-0.2*(TC_xmb+(TC_n_sc-1)*TC_xmt)*E57/(TC_n_sc*TC_b)</f>
        <v/>
      </c>
      <c r="H57" s="31">
        <f>TC_s*F57*TC_m*TC_n*TC_b*SQRT(2*g_)*E57^1.5</f>
        <v/>
      </c>
      <c r="I57" s="31">
        <f>TC_s*G57*TC_m*TC_n_sc*TC_b*SQRT(2*g_)*E57^1.5</f>
        <v/>
      </c>
      <c r="J57" s="32">
        <f>MAX(A57-SC_Z,0)</f>
        <v/>
      </c>
      <c r="K57" s="33">
        <f>1-0.2*(SC_xmb+(SC_n-1)*SC_xmt)*J57/(SC_n*SC_b)</f>
        <v/>
      </c>
      <c r="L57" s="34">
        <f>SC_s*K57*SC_m*SC_n*SC_b*SQRT(2*g_)*J57^1.5</f>
        <v/>
      </c>
      <c r="M57" s="35">
        <f>H57+L57</f>
        <v/>
      </c>
      <c r="N57" s="35">
        <f>I57+L57</f>
        <v/>
      </c>
      <c r="O57" s="36">
        <f>D57-M57/2</f>
        <v/>
      </c>
      <c r="P57" s="36">
        <f>D57-N57/2</f>
        <v/>
      </c>
      <c r="Q57" s="36">
        <f>D57+M57/2</f>
        <v/>
      </c>
      <c r="R57" s="36">
        <f>D57+N57/2</f>
        <v/>
      </c>
    </row>
    <row r="58">
      <c r="A58" s="26">
        <f>ROUND(A57+0.1,2)</f>
        <v/>
      </c>
      <c r="B58" s="27">
        <f>INDEX(Bang_F,MATCH(A58,Bang_Z,1))+(A58-INDEX(Bang_Z,MATCH(A58,Bang_Z,1)))*(INDEX(Bang_F,MATCH(A58,Bang_Z,1)+1)-INDEX(Bang_F,MATCH(A58,Bang_Z,1)))</f>
        <v/>
      </c>
      <c r="C58" s="27">
        <f>INDEX(Bang_W,MATCH(A58,Bang_Z,1))+(A58-INDEX(Bang_Z,MATCH(A58,Bang_Z,1)))*(INDEX(Bang_F,MATCH(A58,Bang_Z,1))+B58)/2</f>
        <v/>
      </c>
      <c r="D58" s="28">
        <f>C58*1000000/dt_s</f>
        <v/>
      </c>
      <c r="E58" s="29">
        <f>MAX(A58-TC_Z,0)</f>
        <v/>
      </c>
      <c r="F58" s="30">
        <f>1-0.2*(TC_xmb+(TC_n-1)*TC_xmt)*E58/(TC_n*TC_b)</f>
        <v/>
      </c>
      <c r="G58" s="30">
        <f>1-0.2*(TC_xmb+(TC_n_sc-1)*TC_xmt)*E58/(TC_n_sc*TC_b)</f>
        <v/>
      </c>
      <c r="H58" s="31">
        <f>TC_s*F58*TC_m*TC_n*TC_b*SQRT(2*g_)*E58^1.5</f>
        <v/>
      </c>
      <c r="I58" s="31">
        <f>TC_s*G58*TC_m*TC_n_sc*TC_b*SQRT(2*g_)*E58^1.5</f>
        <v/>
      </c>
      <c r="J58" s="32">
        <f>MAX(A58-SC_Z,0)</f>
        <v/>
      </c>
      <c r="K58" s="33">
        <f>1-0.2*(SC_xmb+(SC_n-1)*SC_xmt)*J58/(SC_n*SC_b)</f>
        <v/>
      </c>
      <c r="L58" s="34">
        <f>SC_s*K58*SC_m*SC_n*SC_b*SQRT(2*g_)*J58^1.5</f>
        <v/>
      </c>
      <c r="M58" s="35">
        <f>H58+L58</f>
        <v/>
      </c>
      <c r="N58" s="35">
        <f>I58+L58</f>
        <v/>
      </c>
      <c r="O58" s="36">
        <f>D58-M58/2</f>
        <v/>
      </c>
      <c r="P58" s="36">
        <f>D58-N58/2</f>
        <v/>
      </c>
      <c r="Q58" s="36">
        <f>D58+M58/2</f>
        <v/>
      </c>
      <c r="R58" s="36">
        <f>D58+N58/2</f>
        <v/>
      </c>
    </row>
    <row r="59">
      <c r="A59" s="26">
        <f>ROUND(A58+0.1,2)</f>
        <v/>
      </c>
      <c r="B59" s="27">
        <f>INDEX(Bang_F,MATCH(A59,Bang_Z,1))+(A59-INDEX(Bang_Z,MATCH(A59,Bang_Z,1)))*(INDEX(Bang_F,MATCH(A59,Bang_Z,1)+1)-INDEX(Bang_F,MATCH(A59,Bang_Z,1)))</f>
        <v/>
      </c>
      <c r="C59" s="27">
        <f>INDEX(Bang_W,MATCH(A59,Bang_Z,1))+(A59-INDEX(Bang_Z,MATCH(A59,Bang_Z,1)))*(INDEX(Bang_F,MATCH(A59,Bang_Z,1))+B59)/2</f>
        <v/>
      </c>
      <c r="D59" s="28">
        <f>C59*1000000/dt_s</f>
        <v/>
      </c>
      <c r="E59" s="29">
        <f>MAX(A59-TC_Z,0)</f>
        <v/>
      </c>
      <c r="F59" s="30">
        <f>1-0.2*(TC_xmb+(TC_n-1)*TC_xmt)*E59/(TC_n*TC_b)</f>
        <v/>
      </c>
      <c r="G59" s="30">
        <f>1-0.2*(TC_xmb+(TC_n_sc-1)*TC_xmt)*E59/(TC_n_sc*TC_b)</f>
        <v/>
      </c>
      <c r="H59" s="31">
        <f>TC_s*F59*TC_m*TC_n*TC_b*SQRT(2*g_)*E59^1.5</f>
        <v/>
      </c>
      <c r="I59" s="31">
        <f>TC_s*G59*TC_m*TC_n_sc*TC_b*SQRT(2*g_)*E59^1.5</f>
        <v/>
      </c>
      <c r="J59" s="32">
        <f>MAX(A59-SC_Z,0)</f>
        <v/>
      </c>
      <c r="K59" s="33">
        <f>1-0.2*(SC_xmb+(SC_n-1)*SC_xmt)*J59/(SC_n*SC_b)</f>
        <v/>
      </c>
      <c r="L59" s="34">
        <f>SC_s*K59*SC_m*SC_n*SC_b*SQRT(2*g_)*J59^1.5</f>
        <v/>
      </c>
      <c r="M59" s="35">
        <f>H59+L59</f>
        <v/>
      </c>
      <c r="N59" s="35">
        <f>I59+L59</f>
        <v/>
      </c>
      <c r="O59" s="36">
        <f>D59-M59/2</f>
        <v/>
      </c>
      <c r="P59" s="36">
        <f>D59-N59/2</f>
        <v/>
      </c>
      <c r="Q59" s="36">
        <f>D59+M59/2</f>
        <v/>
      </c>
      <c r="R59" s="36">
        <f>D59+N59/2</f>
        <v/>
      </c>
    </row>
    <row r="60">
      <c r="A60" s="26">
        <f>ROUND(A59+0.1,2)</f>
        <v/>
      </c>
      <c r="B60" s="27">
        <f>INDEX(Bang_F,MATCH(A60,Bang_Z,1))+(A60-INDEX(Bang_Z,MATCH(A60,Bang_Z,1)))*(INDEX(Bang_F,MATCH(A60,Bang_Z,1)+1)-INDEX(Bang_F,MATCH(A60,Bang_Z,1)))</f>
        <v/>
      </c>
      <c r="C60" s="27">
        <f>INDEX(Bang_W,MATCH(A60,Bang_Z,1))+(A60-INDEX(Bang_Z,MATCH(A60,Bang_Z,1)))*(INDEX(Bang_F,MATCH(A60,Bang_Z,1))+B60)/2</f>
        <v/>
      </c>
      <c r="D60" s="28">
        <f>C60*1000000/dt_s</f>
        <v/>
      </c>
      <c r="E60" s="29">
        <f>MAX(A60-TC_Z,0)</f>
        <v/>
      </c>
      <c r="F60" s="30">
        <f>1-0.2*(TC_xmb+(TC_n-1)*TC_xmt)*E60/(TC_n*TC_b)</f>
        <v/>
      </c>
      <c r="G60" s="30">
        <f>1-0.2*(TC_xmb+(TC_n_sc-1)*TC_xmt)*E60/(TC_n_sc*TC_b)</f>
        <v/>
      </c>
      <c r="H60" s="31">
        <f>TC_s*F60*TC_m*TC_n*TC_b*SQRT(2*g_)*E60^1.5</f>
        <v/>
      </c>
      <c r="I60" s="31">
        <f>TC_s*G60*TC_m*TC_n_sc*TC_b*SQRT(2*g_)*E60^1.5</f>
        <v/>
      </c>
      <c r="J60" s="32">
        <f>MAX(A60-SC_Z,0)</f>
        <v/>
      </c>
      <c r="K60" s="33">
        <f>1-0.2*(SC_xmb+(SC_n-1)*SC_xmt)*J60/(SC_n*SC_b)</f>
        <v/>
      </c>
      <c r="L60" s="34">
        <f>SC_s*K60*SC_m*SC_n*SC_b*SQRT(2*g_)*J60^1.5</f>
        <v/>
      </c>
      <c r="M60" s="35">
        <f>H60+L60</f>
        <v/>
      </c>
      <c r="N60" s="35">
        <f>I60+L60</f>
        <v/>
      </c>
      <c r="O60" s="36">
        <f>D60-M60/2</f>
        <v/>
      </c>
      <c r="P60" s="36">
        <f>D60-N60/2</f>
        <v/>
      </c>
      <c r="Q60" s="36">
        <f>D60+M60/2</f>
        <v/>
      </c>
      <c r="R60" s="36">
        <f>D60+N60/2</f>
        <v/>
      </c>
    </row>
    <row r="61">
      <c r="A61" s="26">
        <f>ROUND(A60+0.1,2)</f>
        <v/>
      </c>
      <c r="B61" s="27">
        <f>INDEX(Bang_F,MATCH(A61,Bang_Z,1))+(A61-INDEX(Bang_Z,MATCH(A61,Bang_Z,1)))*(INDEX(Bang_F,MATCH(A61,Bang_Z,1)+1)-INDEX(Bang_F,MATCH(A61,Bang_Z,1)))</f>
        <v/>
      </c>
      <c r="C61" s="27">
        <f>INDEX(Bang_W,MATCH(A61,Bang_Z,1))+(A61-INDEX(Bang_Z,MATCH(A61,Bang_Z,1)))*(INDEX(Bang_F,MATCH(A61,Bang_Z,1))+B61)/2</f>
        <v/>
      </c>
      <c r="D61" s="28">
        <f>C61*1000000/dt_s</f>
        <v/>
      </c>
      <c r="E61" s="29">
        <f>MAX(A61-TC_Z,0)</f>
        <v/>
      </c>
      <c r="F61" s="30">
        <f>1-0.2*(TC_xmb+(TC_n-1)*TC_xmt)*E61/(TC_n*TC_b)</f>
        <v/>
      </c>
      <c r="G61" s="30">
        <f>1-0.2*(TC_xmb+(TC_n_sc-1)*TC_xmt)*E61/(TC_n_sc*TC_b)</f>
        <v/>
      </c>
      <c r="H61" s="31">
        <f>TC_s*F61*TC_m*TC_n*TC_b*SQRT(2*g_)*E61^1.5</f>
        <v/>
      </c>
      <c r="I61" s="31">
        <f>TC_s*G61*TC_m*TC_n_sc*TC_b*SQRT(2*g_)*E61^1.5</f>
        <v/>
      </c>
      <c r="J61" s="32">
        <f>MAX(A61-SC_Z,0)</f>
        <v/>
      </c>
      <c r="K61" s="33">
        <f>1-0.2*(SC_xmb+(SC_n-1)*SC_xmt)*J61/(SC_n*SC_b)</f>
        <v/>
      </c>
      <c r="L61" s="34">
        <f>SC_s*K61*SC_m*SC_n*SC_b*SQRT(2*g_)*J61^1.5</f>
        <v/>
      </c>
      <c r="M61" s="35">
        <f>H61+L61</f>
        <v/>
      </c>
      <c r="N61" s="35">
        <f>I61+L61</f>
        <v/>
      </c>
      <c r="O61" s="36">
        <f>D61-M61/2</f>
        <v/>
      </c>
      <c r="P61" s="36">
        <f>D61-N61/2</f>
        <v/>
      </c>
      <c r="Q61" s="36">
        <f>D61+M61/2</f>
        <v/>
      </c>
      <c r="R61" s="36">
        <f>D61+N61/2</f>
        <v/>
      </c>
    </row>
    <row r="62">
      <c r="A62" s="26">
        <f>ROUND(A61+0.1,2)</f>
        <v/>
      </c>
      <c r="B62" s="27">
        <f>INDEX(Bang_F,MATCH(A62,Bang_Z,1))+(A62-INDEX(Bang_Z,MATCH(A62,Bang_Z,1)))*(INDEX(Bang_F,MATCH(A62,Bang_Z,1)+1)-INDEX(Bang_F,MATCH(A62,Bang_Z,1)))</f>
        <v/>
      </c>
      <c r="C62" s="27">
        <f>INDEX(Bang_W,MATCH(A62,Bang_Z,1))+(A62-INDEX(Bang_Z,MATCH(A62,Bang_Z,1)))*(INDEX(Bang_F,MATCH(A62,Bang_Z,1))+B62)/2</f>
        <v/>
      </c>
      <c r="D62" s="28">
        <f>C62*1000000/dt_s</f>
        <v/>
      </c>
      <c r="E62" s="29">
        <f>MAX(A62-TC_Z,0)</f>
        <v/>
      </c>
      <c r="F62" s="30">
        <f>1-0.2*(TC_xmb+(TC_n-1)*TC_xmt)*E62/(TC_n*TC_b)</f>
        <v/>
      </c>
      <c r="G62" s="30">
        <f>1-0.2*(TC_xmb+(TC_n_sc-1)*TC_xmt)*E62/(TC_n_sc*TC_b)</f>
        <v/>
      </c>
      <c r="H62" s="31">
        <f>TC_s*F62*TC_m*TC_n*TC_b*SQRT(2*g_)*E62^1.5</f>
        <v/>
      </c>
      <c r="I62" s="31">
        <f>TC_s*G62*TC_m*TC_n_sc*TC_b*SQRT(2*g_)*E62^1.5</f>
        <v/>
      </c>
      <c r="J62" s="32">
        <f>MAX(A62-SC_Z,0)</f>
        <v/>
      </c>
      <c r="K62" s="33">
        <f>1-0.2*(SC_xmb+(SC_n-1)*SC_xmt)*J62/(SC_n*SC_b)</f>
        <v/>
      </c>
      <c r="L62" s="34">
        <f>SC_s*K62*SC_m*SC_n*SC_b*SQRT(2*g_)*J62^1.5</f>
        <v/>
      </c>
      <c r="M62" s="35">
        <f>H62+L62</f>
        <v/>
      </c>
      <c r="N62" s="35">
        <f>I62+L62</f>
        <v/>
      </c>
      <c r="O62" s="36">
        <f>D62-M62/2</f>
        <v/>
      </c>
      <c r="P62" s="36">
        <f>D62-N62/2</f>
        <v/>
      </c>
      <c r="Q62" s="36">
        <f>D62+M62/2</f>
        <v/>
      </c>
      <c r="R62" s="36">
        <f>D62+N62/2</f>
        <v/>
      </c>
    </row>
    <row r="63">
      <c r="A63" s="26">
        <f>ROUND(A62+0.1,2)</f>
        <v/>
      </c>
      <c r="B63" s="27">
        <f>INDEX(Bang_F,MATCH(A63,Bang_Z,1))+(A63-INDEX(Bang_Z,MATCH(A63,Bang_Z,1)))*(INDEX(Bang_F,MATCH(A63,Bang_Z,1)+1)-INDEX(Bang_F,MATCH(A63,Bang_Z,1)))</f>
        <v/>
      </c>
      <c r="C63" s="27">
        <f>INDEX(Bang_W,MATCH(A63,Bang_Z,1))+(A63-INDEX(Bang_Z,MATCH(A63,Bang_Z,1)))*(INDEX(Bang_F,MATCH(A63,Bang_Z,1))+B63)/2</f>
        <v/>
      </c>
      <c r="D63" s="28">
        <f>C63*1000000/dt_s</f>
        <v/>
      </c>
      <c r="E63" s="29">
        <f>MAX(A63-TC_Z,0)</f>
        <v/>
      </c>
      <c r="F63" s="30">
        <f>1-0.2*(TC_xmb+(TC_n-1)*TC_xmt)*E63/(TC_n*TC_b)</f>
        <v/>
      </c>
      <c r="G63" s="30">
        <f>1-0.2*(TC_xmb+(TC_n_sc-1)*TC_xmt)*E63/(TC_n_sc*TC_b)</f>
        <v/>
      </c>
      <c r="H63" s="31">
        <f>TC_s*F63*TC_m*TC_n*TC_b*SQRT(2*g_)*E63^1.5</f>
        <v/>
      </c>
      <c r="I63" s="31">
        <f>TC_s*G63*TC_m*TC_n_sc*TC_b*SQRT(2*g_)*E63^1.5</f>
        <v/>
      </c>
      <c r="J63" s="32">
        <f>MAX(A63-SC_Z,0)</f>
        <v/>
      </c>
      <c r="K63" s="33">
        <f>1-0.2*(SC_xmb+(SC_n-1)*SC_xmt)*J63/(SC_n*SC_b)</f>
        <v/>
      </c>
      <c r="L63" s="34">
        <f>SC_s*K63*SC_m*SC_n*SC_b*SQRT(2*g_)*J63^1.5</f>
        <v/>
      </c>
      <c r="M63" s="35">
        <f>H63+L63</f>
        <v/>
      </c>
      <c r="N63" s="35">
        <f>I63+L63</f>
        <v/>
      </c>
      <c r="O63" s="36">
        <f>D63-M63/2</f>
        <v/>
      </c>
      <c r="P63" s="36">
        <f>D63-N63/2</f>
        <v/>
      </c>
      <c r="Q63" s="36">
        <f>D63+M63/2</f>
        <v/>
      </c>
      <c r="R63" s="36">
        <f>D63+N63/2</f>
        <v/>
      </c>
    </row>
    <row r="64">
      <c r="A64" s="26">
        <f>ROUND(A63+0.1,2)</f>
        <v/>
      </c>
      <c r="B64" s="27">
        <f>INDEX(Bang_F,MATCH(A64,Bang_Z,1))+(A64-INDEX(Bang_Z,MATCH(A64,Bang_Z,1)))*(INDEX(Bang_F,MATCH(A64,Bang_Z,1)+1)-INDEX(Bang_F,MATCH(A64,Bang_Z,1)))</f>
        <v/>
      </c>
      <c r="C64" s="27">
        <f>INDEX(Bang_W,MATCH(A64,Bang_Z,1))+(A64-INDEX(Bang_Z,MATCH(A64,Bang_Z,1)))*(INDEX(Bang_F,MATCH(A64,Bang_Z,1))+B64)/2</f>
        <v/>
      </c>
      <c r="D64" s="28">
        <f>C64*1000000/dt_s</f>
        <v/>
      </c>
      <c r="E64" s="29">
        <f>MAX(A64-TC_Z,0)</f>
        <v/>
      </c>
      <c r="F64" s="30">
        <f>1-0.2*(TC_xmb+(TC_n-1)*TC_xmt)*E64/(TC_n*TC_b)</f>
        <v/>
      </c>
      <c r="G64" s="30">
        <f>1-0.2*(TC_xmb+(TC_n_sc-1)*TC_xmt)*E64/(TC_n_sc*TC_b)</f>
        <v/>
      </c>
      <c r="H64" s="31">
        <f>TC_s*F64*TC_m*TC_n*TC_b*SQRT(2*g_)*E64^1.5</f>
        <v/>
      </c>
      <c r="I64" s="31">
        <f>TC_s*G64*TC_m*TC_n_sc*TC_b*SQRT(2*g_)*E64^1.5</f>
        <v/>
      </c>
      <c r="J64" s="32">
        <f>MAX(A64-SC_Z,0)</f>
        <v/>
      </c>
      <c r="K64" s="33">
        <f>1-0.2*(SC_xmb+(SC_n-1)*SC_xmt)*J64/(SC_n*SC_b)</f>
        <v/>
      </c>
      <c r="L64" s="34">
        <f>SC_s*K64*SC_m*SC_n*SC_b*SQRT(2*g_)*J64^1.5</f>
        <v/>
      </c>
      <c r="M64" s="35">
        <f>H64+L64</f>
        <v/>
      </c>
      <c r="N64" s="35">
        <f>I64+L64</f>
        <v/>
      </c>
      <c r="O64" s="36">
        <f>D64-M64/2</f>
        <v/>
      </c>
      <c r="P64" s="36">
        <f>D64-N64/2</f>
        <v/>
      </c>
      <c r="Q64" s="36">
        <f>D64+M64/2</f>
        <v/>
      </c>
      <c r="R64" s="36">
        <f>D64+N64/2</f>
        <v/>
      </c>
    </row>
    <row r="65">
      <c r="A65" s="26">
        <f>ROUND(A64+0.1,2)</f>
        <v/>
      </c>
      <c r="B65" s="27">
        <f>INDEX(Bang_F,MATCH(A65,Bang_Z,1))+(A65-INDEX(Bang_Z,MATCH(A65,Bang_Z,1)))*(INDEX(Bang_F,MATCH(A65,Bang_Z,1)+1)-INDEX(Bang_F,MATCH(A65,Bang_Z,1)))</f>
        <v/>
      </c>
      <c r="C65" s="27">
        <f>INDEX(Bang_W,MATCH(A65,Bang_Z,1))+(A65-INDEX(Bang_Z,MATCH(A65,Bang_Z,1)))*(INDEX(Bang_F,MATCH(A65,Bang_Z,1))+B65)/2</f>
        <v/>
      </c>
      <c r="D65" s="28">
        <f>C65*1000000/dt_s</f>
        <v/>
      </c>
      <c r="E65" s="29">
        <f>MAX(A65-TC_Z,0)</f>
        <v/>
      </c>
      <c r="F65" s="30">
        <f>1-0.2*(TC_xmb+(TC_n-1)*TC_xmt)*E65/(TC_n*TC_b)</f>
        <v/>
      </c>
      <c r="G65" s="30">
        <f>1-0.2*(TC_xmb+(TC_n_sc-1)*TC_xmt)*E65/(TC_n_sc*TC_b)</f>
        <v/>
      </c>
      <c r="H65" s="31">
        <f>TC_s*F65*TC_m*TC_n*TC_b*SQRT(2*g_)*E65^1.5</f>
        <v/>
      </c>
      <c r="I65" s="31">
        <f>TC_s*G65*TC_m*TC_n_sc*TC_b*SQRT(2*g_)*E65^1.5</f>
        <v/>
      </c>
      <c r="J65" s="32">
        <f>MAX(A65-SC_Z,0)</f>
        <v/>
      </c>
      <c r="K65" s="33">
        <f>1-0.2*(SC_xmb+(SC_n-1)*SC_xmt)*J65/(SC_n*SC_b)</f>
        <v/>
      </c>
      <c r="L65" s="34">
        <f>SC_s*K65*SC_m*SC_n*SC_b*SQRT(2*g_)*J65^1.5</f>
        <v/>
      </c>
      <c r="M65" s="35">
        <f>H65+L65</f>
        <v/>
      </c>
      <c r="N65" s="35">
        <f>I65+L65</f>
        <v/>
      </c>
      <c r="O65" s="36">
        <f>D65-M65/2</f>
        <v/>
      </c>
      <c r="P65" s="36">
        <f>D65-N65/2</f>
        <v/>
      </c>
      <c r="Q65" s="36">
        <f>D65+M65/2</f>
        <v/>
      </c>
      <c r="R65" s="36">
        <f>D65+N65/2</f>
        <v/>
      </c>
    </row>
    <row r="66">
      <c r="A66" s="26">
        <f>ROUND(A65+0.1,2)</f>
        <v/>
      </c>
      <c r="B66" s="27">
        <f>INDEX(Bang_F,MATCH(A66,Bang_Z,1))+(A66-INDEX(Bang_Z,MATCH(A66,Bang_Z,1)))*(INDEX(Bang_F,MATCH(A66,Bang_Z,1)+1)-INDEX(Bang_F,MATCH(A66,Bang_Z,1)))</f>
        <v/>
      </c>
      <c r="C66" s="27">
        <f>INDEX(Bang_W,MATCH(A66,Bang_Z,1))+(A66-INDEX(Bang_Z,MATCH(A66,Bang_Z,1)))*(INDEX(Bang_F,MATCH(A66,Bang_Z,1))+B66)/2</f>
        <v/>
      </c>
      <c r="D66" s="28">
        <f>C66*1000000/dt_s</f>
        <v/>
      </c>
      <c r="E66" s="29">
        <f>MAX(A66-TC_Z,0)</f>
        <v/>
      </c>
      <c r="F66" s="30">
        <f>1-0.2*(TC_xmb+(TC_n-1)*TC_xmt)*E66/(TC_n*TC_b)</f>
        <v/>
      </c>
      <c r="G66" s="30">
        <f>1-0.2*(TC_xmb+(TC_n_sc-1)*TC_xmt)*E66/(TC_n_sc*TC_b)</f>
        <v/>
      </c>
      <c r="H66" s="31">
        <f>TC_s*F66*TC_m*TC_n*TC_b*SQRT(2*g_)*E66^1.5</f>
        <v/>
      </c>
      <c r="I66" s="31">
        <f>TC_s*G66*TC_m*TC_n_sc*TC_b*SQRT(2*g_)*E66^1.5</f>
        <v/>
      </c>
      <c r="J66" s="32">
        <f>MAX(A66-SC_Z,0)</f>
        <v/>
      </c>
      <c r="K66" s="33">
        <f>1-0.2*(SC_xmb+(SC_n-1)*SC_xmt)*J66/(SC_n*SC_b)</f>
        <v/>
      </c>
      <c r="L66" s="34">
        <f>SC_s*K66*SC_m*SC_n*SC_b*SQRT(2*g_)*J66^1.5</f>
        <v/>
      </c>
      <c r="M66" s="35">
        <f>H66+L66</f>
        <v/>
      </c>
      <c r="N66" s="35">
        <f>I66+L66</f>
        <v/>
      </c>
      <c r="O66" s="36">
        <f>D66-M66/2</f>
        <v/>
      </c>
      <c r="P66" s="36">
        <f>D66-N66/2</f>
        <v/>
      </c>
      <c r="Q66" s="36">
        <f>D66+M66/2</f>
        <v/>
      </c>
      <c r="R66" s="36">
        <f>D66+N66/2</f>
        <v/>
      </c>
    </row>
    <row r="67">
      <c r="A67" s="26">
        <f>ROUND(A66+0.1,2)</f>
        <v/>
      </c>
      <c r="B67" s="27">
        <f>INDEX(Bang_F,MATCH(A67,Bang_Z,1))+(A67-INDEX(Bang_Z,MATCH(A67,Bang_Z,1)))*(INDEX(Bang_F,MATCH(A67,Bang_Z,1)+1)-INDEX(Bang_F,MATCH(A67,Bang_Z,1)))</f>
        <v/>
      </c>
      <c r="C67" s="27">
        <f>INDEX(Bang_W,MATCH(A67,Bang_Z,1))+(A67-INDEX(Bang_Z,MATCH(A67,Bang_Z,1)))*(INDEX(Bang_F,MATCH(A67,Bang_Z,1))+B67)/2</f>
        <v/>
      </c>
      <c r="D67" s="28">
        <f>C67*1000000/dt_s</f>
        <v/>
      </c>
      <c r="E67" s="29">
        <f>MAX(A67-TC_Z,0)</f>
        <v/>
      </c>
      <c r="F67" s="30">
        <f>1-0.2*(TC_xmb+(TC_n-1)*TC_xmt)*E67/(TC_n*TC_b)</f>
        <v/>
      </c>
      <c r="G67" s="30">
        <f>1-0.2*(TC_xmb+(TC_n_sc-1)*TC_xmt)*E67/(TC_n_sc*TC_b)</f>
        <v/>
      </c>
      <c r="H67" s="31">
        <f>TC_s*F67*TC_m*TC_n*TC_b*SQRT(2*g_)*E67^1.5</f>
        <v/>
      </c>
      <c r="I67" s="31">
        <f>TC_s*G67*TC_m*TC_n_sc*TC_b*SQRT(2*g_)*E67^1.5</f>
        <v/>
      </c>
      <c r="J67" s="32">
        <f>MAX(A67-SC_Z,0)</f>
        <v/>
      </c>
      <c r="K67" s="33">
        <f>1-0.2*(SC_xmb+(SC_n-1)*SC_xmt)*J67/(SC_n*SC_b)</f>
        <v/>
      </c>
      <c r="L67" s="34">
        <f>SC_s*K67*SC_m*SC_n*SC_b*SQRT(2*g_)*J67^1.5</f>
        <v/>
      </c>
      <c r="M67" s="35">
        <f>H67+L67</f>
        <v/>
      </c>
      <c r="N67" s="35">
        <f>I67+L67</f>
        <v/>
      </c>
      <c r="O67" s="36">
        <f>D67-M67/2</f>
        <v/>
      </c>
      <c r="P67" s="36">
        <f>D67-N67/2</f>
        <v/>
      </c>
      <c r="Q67" s="36">
        <f>D67+M67/2</f>
        <v/>
      </c>
      <c r="R67" s="36">
        <f>D67+N67/2</f>
        <v/>
      </c>
    </row>
    <row r="68">
      <c r="A68" s="26">
        <f>ROUND(A67+0.1,2)</f>
        <v/>
      </c>
      <c r="B68" s="27">
        <f>INDEX(Bang_F,MATCH(A68,Bang_Z,1))+(A68-INDEX(Bang_Z,MATCH(A68,Bang_Z,1)))*(INDEX(Bang_F,MATCH(A68,Bang_Z,1)+1)-INDEX(Bang_F,MATCH(A68,Bang_Z,1)))</f>
        <v/>
      </c>
      <c r="C68" s="27">
        <f>INDEX(Bang_W,MATCH(A68,Bang_Z,1))+(A68-INDEX(Bang_Z,MATCH(A68,Bang_Z,1)))*(INDEX(Bang_F,MATCH(A68,Bang_Z,1))+B68)/2</f>
        <v/>
      </c>
      <c r="D68" s="28">
        <f>C68*1000000/dt_s</f>
        <v/>
      </c>
      <c r="E68" s="29">
        <f>MAX(A68-TC_Z,0)</f>
        <v/>
      </c>
      <c r="F68" s="30">
        <f>1-0.2*(TC_xmb+(TC_n-1)*TC_xmt)*E68/(TC_n*TC_b)</f>
        <v/>
      </c>
      <c r="G68" s="30">
        <f>1-0.2*(TC_xmb+(TC_n_sc-1)*TC_xmt)*E68/(TC_n_sc*TC_b)</f>
        <v/>
      </c>
      <c r="H68" s="31">
        <f>TC_s*F68*TC_m*TC_n*TC_b*SQRT(2*g_)*E68^1.5</f>
        <v/>
      </c>
      <c r="I68" s="31">
        <f>TC_s*G68*TC_m*TC_n_sc*TC_b*SQRT(2*g_)*E68^1.5</f>
        <v/>
      </c>
      <c r="J68" s="32">
        <f>MAX(A68-SC_Z,0)</f>
        <v/>
      </c>
      <c r="K68" s="33">
        <f>1-0.2*(SC_xmb+(SC_n-1)*SC_xmt)*J68/(SC_n*SC_b)</f>
        <v/>
      </c>
      <c r="L68" s="34">
        <f>SC_s*K68*SC_m*SC_n*SC_b*SQRT(2*g_)*J68^1.5</f>
        <v/>
      </c>
      <c r="M68" s="35">
        <f>H68+L68</f>
        <v/>
      </c>
      <c r="N68" s="35">
        <f>I68+L68</f>
        <v/>
      </c>
      <c r="O68" s="36">
        <f>D68-M68/2</f>
        <v/>
      </c>
      <c r="P68" s="36">
        <f>D68-N68/2</f>
        <v/>
      </c>
      <c r="Q68" s="36">
        <f>D68+M68/2</f>
        <v/>
      </c>
      <c r="R68" s="36">
        <f>D68+N68/2</f>
        <v/>
      </c>
    </row>
    <row r="69">
      <c r="A69" s="26">
        <f>ROUND(A68+0.1,2)</f>
        <v/>
      </c>
      <c r="B69" s="27">
        <f>INDEX(Bang_F,MATCH(A69,Bang_Z,1))+(A69-INDEX(Bang_Z,MATCH(A69,Bang_Z,1)))*(INDEX(Bang_F,MATCH(A69,Bang_Z,1)+1)-INDEX(Bang_F,MATCH(A69,Bang_Z,1)))</f>
        <v/>
      </c>
      <c r="C69" s="27">
        <f>INDEX(Bang_W,MATCH(A69,Bang_Z,1))+(A69-INDEX(Bang_Z,MATCH(A69,Bang_Z,1)))*(INDEX(Bang_F,MATCH(A69,Bang_Z,1))+B69)/2</f>
        <v/>
      </c>
      <c r="D69" s="28">
        <f>C69*1000000/dt_s</f>
        <v/>
      </c>
      <c r="E69" s="29">
        <f>MAX(A69-TC_Z,0)</f>
        <v/>
      </c>
      <c r="F69" s="30">
        <f>1-0.2*(TC_xmb+(TC_n-1)*TC_xmt)*E69/(TC_n*TC_b)</f>
        <v/>
      </c>
      <c r="G69" s="30">
        <f>1-0.2*(TC_xmb+(TC_n_sc-1)*TC_xmt)*E69/(TC_n_sc*TC_b)</f>
        <v/>
      </c>
      <c r="H69" s="31">
        <f>TC_s*F69*TC_m*TC_n*TC_b*SQRT(2*g_)*E69^1.5</f>
        <v/>
      </c>
      <c r="I69" s="31">
        <f>TC_s*G69*TC_m*TC_n_sc*TC_b*SQRT(2*g_)*E69^1.5</f>
        <v/>
      </c>
      <c r="J69" s="32">
        <f>MAX(A69-SC_Z,0)</f>
        <v/>
      </c>
      <c r="K69" s="33">
        <f>1-0.2*(SC_xmb+(SC_n-1)*SC_xmt)*J69/(SC_n*SC_b)</f>
        <v/>
      </c>
      <c r="L69" s="34">
        <f>SC_s*K69*SC_m*SC_n*SC_b*SQRT(2*g_)*J69^1.5</f>
        <v/>
      </c>
      <c r="M69" s="35">
        <f>H69+L69</f>
        <v/>
      </c>
      <c r="N69" s="35">
        <f>I69+L69</f>
        <v/>
      </c>
      <c r="O69" s="36">
        <f>D69-M69/2</f>
        <v/>
      </c>
      <c r="P69" s="36">
        <f>D69-N69/2</f>
        <v/>
      </c>
      <c r="Q69" s="36">
        <f>D69+M69/2</f>
        <v/>
      </c>
      <c r="R69" s="36">
        <f>D69+N69/2</f>
        <v/>
      </c>
    </row>
    <row r="70">
      <c r="A70" s="26">
        <f>ROUND(A69+0.1,2)</f>
        <v/>
      </c>
      <c r="B70" s="27">
        <f>INDEX(Bang_F,MATCH(A70,Bang_Z,1))+(A70-INDEX(Bang_Z,MATCH(A70,Bang_Z,1)))*(INDEX(Bang_F,MATCH(A70,Bang_Z,1)+1)-INDEX(Bang_F,MATCH(A70,Bang_Z,1)))</f>
        <v/>
      </c>
      <c r="C70" s="27">
        <f>INDEX(Bang_W,MATCH(A70,Bang_Z,1))+(A70-INDEX(Bang_Z,MATCH(A70,Bang_Z,1)))*(INDEX(Bang_F,MATCH(A70,Bang_Z,1))+B70)/2</f>
        <v/>
      </c>
      <c r="D70" s="28">
        <f>C70*1000000/dt_s</f>
        <v/>
      </c>
      <c r="E70" s="29">
        <f>MAX(A70-TC_Z,0)</f>
        <v/>
      </c>
      <c r="F70" s="30">
        <f>1-0.2*(TC_xmb+(TC_n-1)*TC_xmt)*E70/(TC_n*TC_b)</f>
        <v/>
      </c>
      <c r="G70" s="30">
        <f>1-0.2*(TC_xmb+(TC_n_sc-1)*TC_xmt)*E70/(TC_n_sc*TC_b)</f>
        <v/>
      </c>
      <c r="H70" s="31">
        <f>TC_s*F70*TC_m*TC_n*TC_b*SQRT(2*g_)*E70^1.5</f>
        <v/>
      </c>
      <c r="I70" s="31">
        <f>TC_s*G70*TC_m*TC_n_sc*TC_b*SQRT(2*g_)*E70^1.5</f>
        <v/>
      </c>
      <c r="J70" s="32">
        <f>MAX(A70-SC_Z,0)</f>
        <v/>
      </c>
      <c r="K70" s="33">
        <f>1-0.2*(SC_xmb+(SC_n-1)*SC_xmt)*J70/(SC_n*SC_b)</f>
        <v/>
      </c>
      <c r="L70" s="34">
        <f>SC_s*K70*SC_m*SC_n*SC_b*SQRT(2*g_)*J70^1.5</f>
        <v/>
      </c>
      <c r="M70" s="35">
        <f>H70+L70</f>
        <v/>
      </c>
      <c r="N70" s="35">
        <f>I70+L70</f>
        <v/>
      </c>
      <c r="O70" s="36">
        <f>D70-M70/2</f>
        <v/>
      </c>
      <c r="P70" s="36">
        <f>D70-N70/2</f>
        <v/>
      </c>
      <c r="Q70" s="36">
        <f>D70+M70/2</f>
        <v/>
      </c>
      <c r="R70" s="36">
        <f>D70+N70/2</f>
        <v/>
      </c>
    </row>
    <row r="71">
      <c r="A71" s="26">
        <f>ROUND(A70+0.1,2)</f>
        <v/>
      </c>
      <c r="B71" s="27">
        <f>INDEX(Bang_F,MATCH(A71,Bang_Z,1))+(A71-INDEX(Bang_Z,MATCH(A71,Bang_Z,1)))*(INDEX(Bang_F,MATCH(A71,Bang_Z,1)+1)-INDEX(Bang_F,MATCH(A71,Bang_Z,1)))</f>
        <v/>
      </c>
      <c r="C71" s="27">
        <f>INDEX(Bang_W,MATCH(A71,Bang_Z,1))+(A71-INDEX(Bang_Z,MATCH(A71,Bang_Z,1)))*(INDEX(Bang_F,MATCH(A71,Bang_Z,1))+B71)/2</f>
        <v/>
      </c>
      <c r="D71" s="28">
        <f>C71*1000000/dt_s</f>
        <v/>
      </c>
      <c r="E71" s="29">
        <f>MAX(A71-TC_Z,0)</f>
        <v/>
      </c>
      <c r="F71" s="30">
        <f>1-0.2*(TC_xmb+(TC_n-1)*TC_xmt)*E71/(TC_n*TC_b)</f>
        <v/>
      </c>
      <c r="G71" s="30">
        <f>1-0.2*(TC_xmb+(TC_n_sc-1)*TC_xmt)*E71/(TC_n_sc*TC_b)</f>
        <v/>
      </c>
      <c r="H71" s="31">
        <f>TC_s*F71*TC_m*TC_n*TC_b*SQRT(2*g_)*E71^1.5</f>
        <v/>
      </c>
      <c r="I71" s="31">
        <f>TC_s*G71*TC_m*TC_n_sc*TC_b*SQRT(2*g_)*E71^1.5</f>
        <v/>
      </c>
      <c r="J71" s="32">
        <f>MAX(A71-SC_Z,0)</f>
        <v/>
      </c>
      <c r="K71" s="33">
        <f>1-0.2*(SC_xmb+(SC_n-1)*SC_xmt)*J71/(SC_n*SC_b)</f>
        <v/>
      </c>
      <c r="L71" s="34">
        <f>SC_s*K71*SC_m*SC_n*SC_b*SQRT(2*g_)*J71^1.5</f>
        <v/>
      </c>
      <c r="M71" s="35">
        <f>H71+L71</f>
        <v/>
      </c>
      <c r="N71" s="35">
        <f>I71+L71</f>
        <v/>
      </c>
      <c r="O71" s="36">
        <f>D71-M71/2</f>
        <v/>
      </c>
      <c r="P71" s="36">
        <f>D71-N71/2</f>
        <v/>
      </c>
      <c r="Q71" s="36">
        <f>D71+M71/2</f>
        <v/>
      </c>
      <c r="R71" s="36">
        <f>D71+N71/2</f>
        <v/>
      </c>
    </row>
    <row r="72">
      <c r="A72" s="26">
        <f>ROUND(A71+0.1,2)</f>
        <v/>
      </c>
      <c r="B72" s="27">
        <f>INDEX(Bang_F,MATCH(A72,Bang_Z,1))+(A72-INDEX(Bang_Z,MATCH(A72,Bang_Z,1)))*(INDEX(Bang_F,MATCH(A72,Bang_Z,1)+1)-INDEX(Bang_F,MATCH(A72,Bang_Z,1)))</f>
        <v/>
      </c>
      <c r="C72" s="27">
        <f>INDEX(Bang_W,MATCH(A72,Bang_Z,1))+(A72-INDEX(Bang_Z,MATCH(A72,Bang_Z,1)))*(INDEX(Bang_F,MATCH(A72,Bang_Z,1))+B72)/2</f>
        <v/>
      </c>
      <c r="D72" s="28">
        <f>C72*1000000/dt_s</f>
        <v/>
      </c>
      <c r="E72" s="29">
        <f>MAX(A72-TC_Z,0)</f>
        <v/>
      </c>
      <c r="F72" s="30">
        <f>1-0.2*(TC_xmb+(TC_n-1)*TC_xmt)*E72/(TC_n*TC_b)</f>
        <v/>
      </c>
      <c r="G72" s="30">
        <f>1-0.2*(TC_xmb+(TC_n_sc-1)*TC_xmt)*E72/(TC_n_sc*TC_b)</f>
        <v/>
      </c>
      <c r="H72" s="31">
        <f>TC_s*F72*TC_m*TC_n*TC_b*SQRT(2*g_)*E72^1.5</f>
        <v/>
      </c>
      <c r="I72" s="31">
        <f>TC_s*G72*TC_m*TC_n_sc*TC_b*SQRT(2*g_)*E72^1.5</f>
        <v/>
      </c>
      <c r="J72" s="32">
        <f>MAX(A72-SC_Z,0)</f>
        <v/>
      </c>
      <c r="K72" s="33">
        <f>1-0.2*(SC_xmb+(SC_n-1)*SC_xmt)*J72/(SC_n*SC_b)</f>
        <v/>
      </c>
      <c r="L72" s="34">
        <f>SC_s*K72*SC_m*SC_n*SC_b*SQRT(2*g_)*J72^1.5</f>
        <v/>
      </c>
      <c r="M72" s="35">
        <f>H72+L72</f>
        <v/>
      </c>
      <c r="N72" s="35">
        <f>I72+L72</f>
        <v/>
      </c>
      <c r="O72" s="36">
        <f>D72-M72/2</f>
        <v/>
      </c>
      <c r="P72" s="36">
        <f>D72-N72/2</f>
        <v/>
      </c>
      <c r="Q72" s="36">
        <f>D72+M72/2</f>
        <v/>
      </c>
      <c r="R72" s="36">
        <f>D72+N72/2</f>
        <v/>
      </c>
    </row>
    <row r="73">
      <c r="A73" s="26">
        <f>ROUND(A72+0.1,2)</f>
        <v/>
      </c>
      <c r="B73" s="27">
        <f>INDEX(Bang_F,MATCH(A73,Bang_Z,1))+(A73-INDEX(Bang_Z,MATCH(A73,Bang_Z,1)))*(INDEX(Bang_F,MATCH(A73,Bang_Z,1)+1)-INDEX(Bang_F,MATCH(A73,Bang_Z,1)))</f>
        <v/>
      </c>
      <c r="C73" s="27">
        <f>INDEX(Bang_W,MATCH(A73,Bang_Z,1))+(A73-INDEX(Bang_Z,MATCH(A73,Bang_Z,1)))*(INDEX(Bang_F,MATCH(A73,Bang_Z,1))+B73)/2</f>
        <v/>
      </c>
      <c r="D73" s="28">
        <f>C73*1000000/dt_s</f>
        <v/>
      </c>
      <c r="E73" s="29">
        <f>MAX(A73-TC_Z,0)</f>
        <v/>
      </c>
      <c r="F73" s="30">
        <f>1-0.2*(TC_xmb+(TC_n-1)*TC_xmt)*E73/(TC_n*TC_b)</f>
        <v/>
      </c>
      <c r="G73" s="30">
        <f>1-0.2*(TC_xmb+(TC_n_sc-1)*TC_xmt)*E73/(TC_n_sc*TC_b)</f>
        <v/>
      </c>
      <c r="H73" s="31">
        <f>TC_s*F73*TC_m*TC_n*TC_b*SQRT(2*g_)*E73^1.5</f>
        <v/>
      </c>
      <c r="I73" s="31">
        <f>TC_s*G73*TC_m*TC_n_sc*TC_b*SQRT(2*g_)*E73^1.5</f>
        <v/>
      </c>
      <c r="J73" s="32">
        <f>MAX(A73-SC_Z,0)</f>
        <v/>
      </c>
      <c r="K73" s="33">
        <f>1-0.2*(SC_xmb+(SC_n-1)*SC_xmt)*J73/(SC_n*SC_b)</f>
        <v/>
      </c>
      <c r="L73" s="34">
        <f>SC_s*K73*SC_m*SC_n*SC_b*SQRT(2*g_)*J73^1.5</f>
        <v/>
      </c>
      <c r="M73" s="35">
        <f>H73+L73</f>
        <v/>
      </c>
      <c r="N73" s="35">
        <f>I73+L73</f>
        <v/>
      </c>
      <c r="O73" s="36">
        <f>D73-M73/2</f>
        <v/>
      </c>
      <c r="P73" s="36">
        <f>D73-N73/2</f>
        <v/>
      </c>
      <c r="Q73" s="36">
        <f>D73+M73/2</f>
        <v/>
      </c>
      <c r="R73" s="36">
        <f>D73+N73/2</f>
        <v/>
      </c>
    </row>
    <row r="74">
      <c r="A74" s="26">
        <f>ROUND(A73+0.1,2)</f>
        <v/>
      </c>
      <c r="B74" s="27">
        <f>INDEX(Bang_F,MATCH(A74,Bang_Z,1))+(A74-INDEX(Bang_Z,MATCH(A74,Bang_Z,1)))*(INDEX(Bang_F,MATCH(A74,Bang_Z,1)+1)-INDEX(Bang_F,MATCH(A74,Bang_Z,1)))</f>
        <v/>
      </c>
      <c r="C74" s="27">
        <f>INDEX(Bang_W,MATCH(A74,Bang_Z,1))+(A74-INDEX(Bang_Z,MATCH(A74,Bang_Z,1)))*(INDEX(Bang_F,MATCH(A74,Bang_Z,1))+B74)/2</f>
        <v/>
      </c>
      <c r="D74" s="28">
        <f>C74*1000000/dt_s</f>
        <v/>
      </c>
      <c r="E74" s="29">
        <f>MAX(A74-TC_Z,0)</f>
        <v/>
      </c>
      <c r="F74" s="30">
        <f>1-0.2*(TC_xmb+(TC_n-1)*TC_xmt)*E74/(TC_n*TC_b)</f>
        <v/>
      </c>
      <c r="G74" s="30">
        <f>1-0.2*(TC_xmb+(TC_n_sc-1)*TC_xmt)*E74/(TC_n_sc*TC_b)</f>
        <v/>
      </c>
      <c r="H74" s="31">
        <f>TC_s*F74*TC_m*TC_n*TC_b*SQRT(2*g_)*E74^1.5</f>
        <v/>
      </c>
      <c r="I74" s="31">
        <f>TC_s*G74*TC_m*TC_n_sc*TC_b*SQRT(2*g_)*E74^1.5</f>
        <v/>
      </c>
      <c r="J74" s="32">
        <f>MAX(A74-SC_Z,0)</f>
        <v/>
      </c>
      <c r="K74" s="33">
        <f>1-0.2*(SC_xmb+(SC_n-1)*SC_xmt)*J74/(SC_n*SC_b)</f>
        <v/>
      </c>
      <c r="L74" s="34">
        <f>SC_s*K74*SC_m*SC_n*SC_b*SQRT(2*g_)*J74^1.5</f>
        <v/>
      </c>
      <c r="M74" s="35">
        <f>H74+L74</f>
        <v/>
      </c>
      <c r="N74" s="35">
        <f>I74+L74</f>
        <v/>
      </c>
      <c r="O74" s="36">
        <f>D74-M74/2</f>
        <v/>
      </c>
      <c r="P74" s="36">
        <f>D74-N74/2</f>
        <v/>
      </c>
      <c r="Q74" s="36">
        <f>D74+M74/2</f>
        <v/>
      </c>
      <c r="R74" s="36">
        <f>D74+N74/2</f>
        <v/>
      </c>
    </row>
    <row r="75">
      <c r="A75" s="26">
        <f>ROUND(A74+0.1,2)</f>
        <v/>
      </c>
      <c r="B75" s="27">
        <f>INDEX(Bang_F,MATCH(A75,Bang_Z,1))+(A75-INDEX(Bang_Z,MATCH(A75,Bang_Z,1)))*(INDEX(Bang_F,MATCH(A75,Bang_Z,1)+1)-INDEX(Bang_F,MATCH(A75,Bang_Z,1)))</f>
        <v/>
      </c>
      <c r="C75" s="27">
        <f>INDEX(Bang_W,MATCH(A75,Bang_Z,1))+(A75-INDEX(Bang_Z,MATCH(A75,Bang_Z,1)))*(INDEX(Bang_F,MATCH(A75,Bang_Z,1))+B75)/2</f>
        <v/>
      </c>
      <c r="D75" s="28">
        <f>C75*1000000/dt_s</f>
        <v/>
      </c>
      <c r="E75" s="29">
        <f>MAX(A75-TC_Z,0)</f>
        <v/>
      </c>
      <c r="F75" s="30">
        <f>1-0.2*(TC_xmb+(TC_n-1)*TC_xmt)*E75/(TC_n*TC_b)</f>
        <v/>
      </c>
      <c r="G75" s="30">
        <f>1-0.2*(TC_xmb+(TC_n_sc-1)*TC_xmt)*E75/(TC_n_sc*TC_b)</f>
        <v/>
      </c>
      <c r="H75" s="31">
        <f>TC_s*F75*TC_m*TC_n*TC_b*SQRT(2*g_)*E75^1.5</f>
        <v/>
      </c>
      <c r="I75" s="31">
        <f>TC_s*G75*TC_m*TC_n_sc*TC_b*SQRT(2*g_)*E75^1.5</f>
        <v/>
      </c>
      <c r="J75" s="32">
        <f>MAX(A75-SC_Z,0)</f>
        <v/>
      </c>
      <c r="K75" s="33">
        <f>1-0.2*(SC_xmb+(SC_n-1)*SC_xmt)*J75/(SC_n*SC_b)</f>
        <v/>
      </c>
      <c r="L75" s="34">
        <f>SC_s*K75*SC_m*SC_n*SC_b*SQRT(2*g_)*J75^1.5</f>
        <v/>
      </c>
      <c r="M75" s="35">
        <f>H75+L75</f>
        <v/>
      </c>
      <c r="N75" s="35">
        <f>I75+L75</f>
        <v/>
      </c>
      <c r="O75" s="36">
        <f>D75-M75/2</f>
        <v/>
      </c>
      <c r="P75" s="36">
        <f>D75-N75/2</f>
        <v/>
      </c>
      <c r="Q75" s="36">
        <f>D75+M75/2</f>
        <v/>
      </c>
      <c r="R75" s="36">
        <f>D75+N75/2</f>
        <v/>
      </c>
    </row>
    <row r="76">
      <c r="A76" s="26">
        <f>ROUND(A75+0.1,2)</f>
        <v/>
      </c>
      <c r="B76" s="27">
        <f>INDEX(Bang_F,MATCH(A76,Bang_Z,1))+(A76-INDEX(Bang_Z,MATCH(A76,Bang_Z,1)))*(INDEX(Bang_F,MATCH(A76,Bang_Z,1)+1)-INDEX(Bang_F,MATCH(A76,Bang_Z,1)))</f>
        <v/>
      </c>
      <c r="C76" s="27">
        <f>INDEX(Bang_W,MATCH(A76,Bang_Z,1))+(A76-INDEX(Bang_Z,MATCH(A76,Bang_Z,1)))*(INDEX(Bang_F,MATCH(A76,Bang_Z,1))+B76)/2</f>
        <v/>
      </c>
      <c r="D76" s="28">
        <f>C76*1000000/dt_s</f>
        <v/>
      </c>
      <c r="E76" s="29">
        <f>MAX(A76-TC_Z,0)</f>
        <v/>
      </c>
      <c r="F76" s="30">
        <f>1-0.2*(TC_xmb+(TC_n-1)*TC_xmt)*E76/(TC_n*TC_b)</f>
        <v/>
      </c>
      <c r="G76" s="30">
        <f>1-0.2*(TC_xmb+(TC_n_sc-1)*TC_xmt)*E76/(TC_n_sc*TC_b)</f>
        <v/>
      </c>
      <c r="H76" s="31">
        <f>TC_s*F76*TC_m*TC_n*TC_b*SQRT(2*g_)*E76^1.5</f>
        <v/>
      </c>
      <c r="I76" s="31">
        <f>TC_s*G76*TC_m*TC_n_sc*TC_b*SQRT(2*g_)*E76^1.5</f>
        <v/>
      </c>
      <c r="J76" s="32">
        <f>MAX(A76-SC_Z,0)</f>
        <v/>
      </c>
      <c r="K76" s="33">
        <f>1-0.2*(SC_xmb+(SC_n-1)*SC_xmt)*J76/(SC_n*SC_b)</f>
        <v/>
      </c>
      <c r="L76" s="34">
        <f>SC_s*K76*SC_m*SC_n*SC_b*SQRT(2*g_)*J76^1.5</f>
        <v/>
      </c>
      <c r="M76" s="35">
        <f>H76+L76</f>
        <v/>
      </c>
      <c r="N76" s="35">
        <f>I76+L76</f>
        <v/>
      </c>
      <c r="O76" s="36">
        <f>D76-M76/2</f>
        <v/>
      </c>
      <c r="P76" s="36">
        <f>D76-N76/2</f>
        <v/>
      </c>
      <c r="Q76" s="36">
        <f>D76+M76/2</f>
        <v/>
      </c>
      <c r="R76" s="36">
        <f>D76+N76/2</f>
        <v/>
      </c>
    </row>
    <row r="77">
      <c r="A77" s="26">
        <f>ROUND(A76+0.1,2)</f>
        <v/>
      </c>
      <c r="B77" s="27">
        <f>INDEX(Bang_F,MATCH(A77,Bang_Z,1))+(A77-INDEX(Bang_Z,MATCH(A77,Bang_Z,1)))*(INDEX(Bang_F,MATCH(A77,Bang_Z,1)+1)-INDEX(Bang_F,MATCH(A77,Bang_Z,1)))</f>
        <v/>
      </c>
      <c r="C77" s="27">
        <f>INDEX(Bang_W,MATCH(A77,Bang_Z,1))+(A77-INDEX(Bang_Z,MATCH(A77,Bang_Z,1)))*(INDEX(Bang_F,MATCH(A77,Bang_Z,1))+B77)/2</f>
        <v/>
      </c>
      <c r="D77" s="28">
        <f>C77*1000000/dt_s</f>
        <v/>
      </c>
      <c r="E77" s="29">
        <f>MAX(A77-TC_Z,0)</f>
        <v/>
      </c>
      <c r="F77" s="30">
        <f>1-0.2*(TC_xmb+(TC_n-1)*TC_xmt)*E77/(TC_n*TC_b)</f>
        <v/>
      </c>
      <c r="G77" s="30">
        <f>1-0.2*(TC_xmb+(TC_n_sc-1)*TC_xmt)*E77/(TC_n_sc*TC_b)</f>
        <v/>
      </c>
      <c r="H77" s="31">
        <f>TC_s*F77*TC_m*TC_n*TC_b*SQRT(2*g_)*E77^1.5</f>
        <v/>
      </c>
      <c r="I77" s="31">
        <f>TC_s*G77*TC_m*TC_n_sc*TC_b*SQRT(2*g_)*E77^1.5</f>
        <v/>
      </c>
      <c r="J77" s="32">
        <f>MAX(A77-SC_Z,0)</f>
        <v/>
      </c>
      <c r="K77" s="33">
        <f>1-0.2*(SC_xmb+(SC_n-1)*SC_xmt)*J77/(SC_n*SC_b)</f>
        <v/>
      </c>
      <c r="L77" s="34">
        <f>SC_s*K77*SC_m*SC_n*SC_b*SQRT(2*g_)*J77^1.5</f>
        <v/>
      </c>
      <c r="M77" s="35">
        <f>H77+L77</f>
        <v/>
      </c>
      <c r="N77" s="35">
        <f>I77+L77</f>
        <v/>
      </c>
      <c r="O77" s="36">
        <f>D77-M77/2</f>
        <v/>
      </c>
      <c r="P77" s="36">
        <f>D77-N77/2</f>
        <v/>
      </c>
      <c r="Q77" s="36">
        <f>D77+M77/2</f>
        <v/>
      </c>
      <c r="R77" s="36">
        <f>D77+N77/2</f>
        <v/>
      </c>
    </row>
    <row r="78">
      <c r="A78" s="26">
        <f>ROUND(A77+0.1,2)</f>
        <v/>
      </c>
      <c r="B78" s="27">
        <f>INDEX(Bang_F,MATCH(A78,Bang_Z,1))+(A78-INDEX(Bang_Z,MATCH(A78,Bang_Z,1)))*(INDEX(Bang_F,MATCH(A78,Bang_Z,1)+1)-INDEX(Bang_F,MATCH(A78,Bang_Z,1)))</f>
        <v/>
      </c>
      <c r="C78" s="27">
        <f>INDEX(Bang_W,MATCH(A78,Bang_Z,1))+(A78-INDEX(Bang_Z,MATCH(A78,Bang_Z,1)))*(INDEX(Bang_F,MATCH(A78,Bang_Z,1))+B78)/2</f>
        <v/>
      </c>
      <c r="D78" s="28">
        <f>C78*1000000/dt_s</f>
        <v/>
      </c>
      <c r="E78" s="29">
        <f>MAX(A78-TC_Z,0)</f>
        <v/>
      </c>
      <c r="F78" s="30">
        <f>1-0.2*(TC_xmb+(TC_n-1)*TC_xmt)*E78/(TC_n*TC_b)</f>
        <v/>
      </c>
      <c r="G78" s="30">
        <f>1-0.2*(TC_xmb+(TC_n_sc-1)*TC_xmt)*E78/(TC_n_sc*TC_b)</f>
        <v/>
      </c>
      <c r="H78" s="31">
        <f>TC_s*F78*TC_m*TC_n*TC_b*SQRT(2*g_)*E78^1.5</f>
        <v/>
      </c>
      <c r="I78" s="31">
        <f>TC_s*G78*TC_m*TC_n_sc*TC_b*SQRT(2*g_)*E78^1.5</f>
        <v/>
      </c>
      <c r="J78" s="32">
        <f>MAX(A78-SC_Z,0)</f>
        <v/>
      </c>
      <c r="K78" s="33">
        <f>1-0.2*(SC_xmb+(SC_n-1)*SC_xmt)*J78/(SC_n*SC_b)</f>
        <v/>
      </c>
      <c r="L78" s="34">
        <f>SC_s*K78*SC_m*SC_n*SC_b*SQRT(2*g_)*J78^1.5</f>
        <v/>
      </c>
      <c r="M78" s="35">
        <f>H78+L78</f>
        <v/>
      </c>
      <c r="N78" s="35">
        <f>I78+L78</f>
        <v/>
      </c>
      <c r="O78" s="36">
        <f>D78-M78/2</f>
        <v/>
      </c>
      <c r="P78" s="36">
        <f>D78-N78/2</f>
        <v/>
      </c>
      <c r="Q78" s="36">
        <f>D78+M78/2</f>
        <v/>
      </c>
      <c r="R78" s="36">
        <f>D78+N78/2</f>
        <v/>
      </c>
    </row>
    <row r="79">
      <c r="A79" s="26">
        <f>ROUND(A78+0.1,2)</f>
        <v/>
      </c>
      <c r="B79" s="27">
        <f>INDEX(Bang_F,MATCH(A79,Bang_Z,1))+(A79-INDEX(Bang_Z,MATCH(A79,Bang_Z,1)))*(INDEX(Bang_F,MATCH(A79,Bang_Z,1)+1)-INDEX(Bang_F,MATCH(A79,Bang_Z,1)))</f>
        <v/>
      </c>
      <c r="C79" s="27">
        <f>INDEX(Bang_W,MATCH(A79,Bang_Z,1))+(A79-INDEX(Bang_Z,MATCH(A79,Bang_Z,1)))*(INDEX(Bang_F,MATCH(A79,Bang_Z,1))+B79)/2</f>
        <v/>
      </c>
      <c r="D79" s="28">
        <f>C79*1000000/dt_s</f>
        <v/>
      </c>
      <c r="E79" s="29">
        <f>MAX(A79-TC_Z,0)</f>
        <v/>
      </c>
      <c r="F79" s="30">
        <f>1-0.2*(TC_xmb+(TC_n-1)*TC_xmt)*E79/(TC_n*TC_b)</f>
        <v/>
      </c>
      <c r="G79" s="30">
        <f>1-0.2*(TC_xmb+(TC_n_sc-1)*TC_xmt)*E79/(TC_n_sc*TC_b)</f>
        <v/>
      </c>
      <c r="H79" s="31">
        <f>TC_s*F79*TC_m*TC_n*TC_b*SQRT(2*g_)*E79^1.5</f>
        <v/>
      </c>
      <c r="I79" s="31">
        <f>TC_s*G79*TC_m*TC_n_sc*TC_b*SQRT(2*g_)*E79^1.5</f>
        <v/>
      </c>
      <c r="J79" s="32">
        <f>MAX(A79-SC_Z,0)</f>
        <v/>
      </c>
      <c r="K79" s="33">
        <f>1-0.2*(SC_xmb+(SC_n-1)*SC_xmt)*J79/(SC_n*SC_b)</f>
        <v/>
      </c>
      <c r="L79" s="34">
        <f>SC_s*K79*SC_m*SC_n*SC_b*SQRT(2*g_)*J79^1.5</f>
        <v/>
      </c>
      <c r="M79" s="35">
        <f>H79+L79</f>
        <v/>
      </c>
      <c r="N79" s="35">
        <f>I79+L79</f>
        <v/>
      </c>
      <c r="O79" s="36">
        <f>D79-M79/2</f>
        <v/>
      </c>
      <c r="P79" s="36">
        <f>D79-N79/2</f>
        <v/>
      </c>
      <c r="Q79" s="36">
        <f>D79+M79/2</f>
        <v/>
      </c>
      <c r="R79" s="36">
        <f>D79+N79/2</f>
        <v/>
      </c>
    </row>
    <row r="80">
      <c r="A80" s="26">
        <f>ROUND(A79+0.1,2)</f>
        <v/>
      </c>
      <c r="B80" s="27">
        <f>INDEX(Bang_F,MATCH(A80,Bang_Z,1))+(A80-INDEX(Bang_Z,MATCH(A80,Bang_Z,1)))*(INDEX(Bang_F,MATCH(A80,Bang_Z,1)+1)-INDEX(Bang_F,MATCH(A80,Bang_Z,1)))</f>
        <v/>
      </c>
      <c r="C80" s="27">
        <f>INDEX(Bang_W,MATCH(A80,Bang_Z,1))+(A80-INDEX(Bang_Z,MATCH(A80,Bang_Z,1)))*(INDEX(Bang_F,MATCH(A80,Bang_Z,1))+B80)/2</f>
        <v/>
      </c>
      <c r="D80" s="28">
        <f>C80*1000000/dt_s</f>
        <v/>
      </c>
      <c r="E80" s="29">
        <f>MAX(A80-TC_Z,0)</f>
        <v/>
      </c>
      <c r="F80" s="30">
        <f>1-0.2*(TC_xmb+(TC_n-1)*TC_xmt)*E80/(TC_n*TC_b)</f>
        <v/>
      </c>
      <c r="G80" s="30">
        <f>1-0.2*(TC_xmb+(TC_n_sc-1)*TC_xmt)*E80/(TC_n_sc*TC_b)</f>
        <v/>
      </c>
      <c r="H80" s="31">
        <f>TC_s*F80*TC_m*TC_n*TC_b*SQRT(2*g_)*E80^1.5</f>
        <v/>
      </c>
      <c r="I80" s="31">
        <f>TC_s*G80*TC_m*TC_n_sc*TC_b*SQRT(2*g_)*E80^1.5</f>
        <v/>
      </c>
      <c r="J80" s="32">
        <f>MAX(A80-SC_Z,0)</f>
        <v/>
      </c>
      <c r="K80" s="33">
        <f>1-0.2*(SC_xmb+(SC_n-1)*SC_xmt)*J80/(SC_n*SC_b)</f>
        <v/>
      </c>
      <c r="L80" s="34">
        <f>SC_s*K80*SC_m*SC_n*SC_b*SQRT(2*g_)*J80^1.5</f>
        <v/>
      </c>
      <c r="M80" s="35">
        <f>H80+L80</f>
        <v/>
      </c>
      <c r="N80" s="35">
        <f>I80+L80</f>
        <v/>
      </c>
      <c r="O80" s="36">
        <f>D80-M80/2</f>
        <v/>
      </c>
      <c r="P80" s="36">
        <f>D80-N80/2</f>
        <v/>
      </c>
      <c r="Q80" s="36">
        <f>D80+M80/2</f>
        <v/>
      </c>
      <c r="R80" s="36">
        <f>D80+N80/2</f>
        <v/>
      </c>
    </row>
    <row r="81">
      <c r="A81" s="26">
        <f>ROUND(A80+0.1,2)</f>
        <v/>
      </c>
      <c r="B81" s="27">
        <f>INDEX(Bang_F,MATCH(A81,Bang_Z,1))+(A81-INDEX(Bang_Z,MATCH(A81,Bang_Z,1)))*(INDEX(Bang_F,MATCH(A81,Bang_Z,1)+1)-INDEX(Bang_F,MATCH(A81,Bang_Z,1)))</f>
        <v/>
      </c>
      <c r="C81" s="27">
        <f>INDEX(Bang_W,MATCH(A81,Bang_Z,1))+(A81-INDEX(Bang_Z,MATCH(A81,Bang_Z,1)))*(INDEX(Bang_F,MATCH(A81,Bang_Z,1))+B81)/2</f>
        <v/>
      </c>
      <c r="D81" s="28">
        <f>C81*1000000/dt_s</f>
        <v/>
      </c>
      <c r="E81" s="29">
        <f>MAX(A81-TC_Z,0)</f>
        <v/>
      </c>
      <c r="F81" s="30">
        <f>1-0.2*(TC_xmb+(TC_n-1)*TC_xmt)*E81/(TC_n*TC_b)</f>
        <v/>
      </c>
      <c r="G81" s="30">
        <f>1-0.2*(TC_xmb+(TC_n_sc-1)*TC_xmt)*E81/(TC_n_sc*TC_b)</f>
        <v/>
      </c>
      <c r="H81" s="31">
        <f>TC_s*F81*TC_m*TC_n*TC_b*SQRT(2*g_)*E81^1.5</f>
        <v/>
      </c>
      <c r="I81" s="31">
        <f>TC_s*G81*TC_m*TC_n_sc*TC_b*SQRT(2*g_)*E81^1.5</f>
        <v/>
      </c>
      <c r="J81" s="32">
        <f>MAX(A81-SC_Z,0)</f>
        <v/>
      </c>
      <c r="K81" s="33">
        <f>1-0.2*(SC_xmb+(SC_n-1)*SC_xmt)*J81/(SC_n*SC_b)</f>
        <v/>
      </c>
      <c r="L81" s="34">
        <f>SC_s*K81*SC_m*SC_n*SC_b*SQRT(2*g_)*J81^1.5</f>
        <v/>
      </c>
      <c r="M81" s="35">
        <f>H81+L81</f>
        <v/>
      </c>
      <c r="N81" s="35">
        <f>I81+L81</f>
        <v/>
      </c>
      <c r="O81" s="36">
        <f>D81-M81/2</f>
        <v/>
      </c>
      <c r="P81" s="36">
        <f>D81-N81/2</f>
        <v/>
      </c>
      <c r="Q81" s="36">
        <f>D81+M81/2</f>
        <v/>
      </c>
      <c r="R81" s="36">
        <f>D81+N81/2</f>
        <v/>
      </c>
    </row>
    <row r="82">
      <c r="A82" s="26">
        <f>ROUND(A81+0.1,2)</f>
        <v/>
      </c>
      <c r="B82" s="27">
        <f>INDEX(Bang_F,MATCH(A82,Bang_Z,1))+(A82-INDEX(Bang_Z,MATCH(A82,Bang_Z,1)))*(INDEX(Bang_F,MATCH(A82,Bang_Z,1)+1)-INDEX(Bang_F,MATCH(A82,Bang_Z,1)))</f>
        <v/>
      </c>
      <c r="C82" s="27">
        <f>INDEX(Bang_W,MATCH(A82,Bang_Z,1))+(A82-INDEX(Bang_Z,MATCH(A82,Bang_Z,1)))*(INDEX(Bang_F,MATCH(A82,Bang_Z,1))+B82)/2</f>
        <v/>
      </c>
      <c r="D82" s="28">
        <f>C82*1000000/dt_s</f>
        <v/>
      </c>
      <c r="E82" s="29">
        <f>MAX(A82-TC_Z,0)</f>
        <v/>
      </c>
      <c r="F82" s="30">
        <f>1-0.2*(TC_xmb+(TC_n-1)*TC_xmt)*E82/(TC_n*TC_b)</f>
        <v/>
      </c>
      <c r="G82" s="30">
        <f>1-0.2*(TC_xmb+(TC_n_sc-1)*TC_xmt)*E82/(TC_n_sc*TC_b)</f>
        <v/>
      </c>
      <c r="H82" s="31">
        <f>TC_s*F82*TC_m*TC_n*TC_b*SQRT(2*g_)*E82^1.5</f>
        <v/>
      </c>
      <c r="I82" s="31">
        <f>TC_s*G82*TC_m*TC_n_sc*TC_b*SQRT(2*g_)*E82^1.5</f>
        <v/>
      </c>
      <c r="J82" s="32">
        <f>MAX(A82-SC_Z,0)</f>
        <v/>
      </c>
      <c r="K82" s="33">
        <f>1-0.2*(SC_xmb+(SC_n-1)*SC_xmt)*J82/(SC_n*SC_b)</f>
        <v/>
      </c>
      <c r="L82" s="34">
        <f>SC_s*K82*SC_m*SC_n*SC_b*SQRT(2*g_)*J82^1.5</f>
        <v/>
      </c>
      <c r="M82" s="35">
        <f>H82+L82</f>
        <v/>
      </c>
      <c r="N82" s="35">
        <f>I82+L82</f>
        <v/>
      </c>
      <c r="O82" s="36">
        <f>D82-M82/2</f>
        <v/>
      </c>
      <c r="P82" s="36">
        <f>D82-N82/2</f>
        <v/>
      </c>
      <c r="Q82" s="36">
        <f>D82+M82/2</f>
        <v/>
      </c>
      <c r="R82" s="36">
        <f>D82+N82/2</f>
        <v/>
      </c>
    </row>
    <row r="83">
      <c r="A83" s="26">
        <f>ROUND(A82+0.1,2)</f>
        <v/>
      </c>
      <c r="B83" s="27">
        <f>INDEX(Bang_F,MATCH(A83,Bang_Z,1))+(A83-INDEX(Bang_Z,MATCH(A83,Bang_Z,1)))*(INDEX(Bang_F,MATCH(A83,Bang_Z,1)+1)-INDEX(Bang_F,MATCH(A83,Bang_Z,1)))</f>
        <v/>
      </c>
      <c r="C83" s="27">
        <f>INDEX(Bang_W,MATCH(A83,Bang_Z,1))+(A83-INDEX(Bang_Z,MATCH(A83,Bang_Z,1)))*(INDEX(Bang_F,MATCH(A83,Bang_Z,1))+B83)/2</f>
        <v/>
      </c>
      <c r="D83" s="28">
        <f>C83*1000000/dt_s</f>
        <v/>
      </c>
      <c r="E83" s="29">
        <f>MAX(A83-TC_Z,0)</f>
        <v/>
      </c>
      <c r="F83" s="30">
        <f>1-0.2*(TC_xmb+(TC_n-1)*TC_xmt)*E83/(TC_n*TC_b)</f>
        <v/>
      </c>
      <c r="G83" s="30">
        <f>1-0.2*(TC_xmb+(TC_n_sc-1)*TC_xmt)*E83/(TC_n_sc*TC_b)</f>
        <v/>
      </c>
      <c r="H83" s="31">
        <f>TC_s*F83*TC_m*TC_n*TC_b*SQRT(2*g_)*E83^1.5</f>
        <v/>
      </c>
      <c r="I83" s="31">
        <f>TC_s*G83*TC_m*TC_n_sc*TC_b*SQRT(2*g_)*E83^1.5</f>
        <v/>
      </c>
      <c r="J83" s="32">
        <f>MAX(A83-SC_Z,0)</f>
        <v/>
      </c>
      <c r="K83" s="33">
        <f>1-0.2*(SC_xmb+(SC_n-1)*SC_xmt)*J83/(SC_n*SC_b)</f>
        <v/>
      </c>
      <c r="L83" s="34">
        <f>SC_s*K83*SC_m*SC_n*SC_b*SQRT(2*g_)*J83^1.5</f>
        <v/>
      </c>
      <c r="M83" s="35">
        <f>H83+L83</f>
        <v/>
      </c>
      <c r="N83" s="35">
        <f>I83+L83</f>
        <v/>
      </c>
      <c r="O83" s="36">
        <f>D83-M83/2</f>
        <v/>
      </c>
      <c r="P83" s="36">
        <f>D83-N83/2</f>
        <v/>
      </c>
      <c r="Q83" s="36">
        <f>D83+M83/2</f>
        <v/>
      </c>
      <c r="R83" s="36">
        <f>D83+N83/2</f>
        <v/>
      </c>
    </row>
    <row r="84">
      <c r="A84" s="26">
        <f>ROUND(A83+0.1,2)</f>
        <v/>
      </c>
      <c r="B84" s="27">
        <f>INDEX(Bang_F,MATCH(A84,Bang_Z,1))+(A84-INDEX(Bang_Z,MATCH(A84,Bang_Z,1)))*(INDEX(Bang_F,MATCH(A84,Bang_Z,1)+1)-INDEX(Bang_F,MATCH(A84,Bang_Z,1)))</f>
        <v/>
      </c>
      <c r="C84" s="27">
        <f>INDEX(Bang_W,MATCH(A84,Bang_Z,1))+(A84-INDEX(Bang_Z,MATCH(A84,Bang_Z,1)))*(INDEX(Bang_F,MATCH(A84,Bang_Z,1))+B84)/2</f>
        <v/>
      </c>
      <c r="D84" s="28">
        <f>C84*1000000/dt_s</f>
        <v/>
      </c>
      <c r="E84" s="29">
        <f>MAX(A84-TC_Z,0)</f>
        <v/>
      </c>
      <c r="F84" s="30">
        <f>1-0.2*(TC_xmb+(TC_n-1)*TC_xmt)*E84/(TC_n*TC_b)</f>
        <v/>
      </c>
      <c r="G84" s="30">
        <f>1-0.2*(TC_xmb+(TC_n_sc-1)*TC_xmt)*E84/(TC_n_sc*TC_b)</f>
        <v/>
      </c>
      <c r="H84" s="31">
        <f>TC_s*F84*TC_m*TC_n*TC_b*SQRT(2*g_)*E84^1.5</f>
        <v/>
      </c>
      <c r="I84" s="31">
        <f>TC_s*G84*TC_m*TC_n_sc*TC_b*SQRT(2*g_)*E84^1.5</f>
        <v/>
      </c>
      <c r="J84" s="32">
        <f>MAX(A84-SC_Z,0)</f>
        <v/>
      </c>
      <c r="K84" s="33">
        <f>1-0.2*(SC_xmb+(SC_n-1)*SC_xmt)*J84/(SC_n*SC_b)</f>
        <v/>
      </c>
      <c r="L84" s="34">
        <f>SC_s*K84*SC_m*SC_n*SC_b*SQRT(2*g_)*J84^1.5</f>
        <v/>
      </c>
      <c r="M84" s="35">
        <f>H84+L84</f>
        <v/>
      </c>
      <c r="N84" s="35">
        <f>I84+L84</f>
        <v/>
      </c>
      <c r="O84" s="36">
        <f>D84-M84/2</f>
        <v/>
      </c>
      <c r="P84" s="36">
        <f>D84-N84/2</f>
        <v/>
      </c>
      <c r="Q84" s="36">
        <f>D84+M84/2</f>
        <v/>
      </c>
      <c r="R84" s="36">
        <f>D84+N84/2</f>
        <v/>
      </c>
    </row>
    <row r="85">
      <c r="A85" s="26">
        <f>ROUND(A84+0.1,2)</f>
        <v/>
      </c>
      <c r="B85" s="27">
        <f>INDEX(Bang_F,MATCH(A85,Bang_Z,1))+(A85-INDEX(Bang_Z,MATCH(A85,Bang_Z,1)))*(INDEX(Bang_F,MATCH(A85,Bang_Z,1)+1)-INDEX(Bang_F,MATCH(A85,Bang_Z,1)))</f>
        <v/>
      </c>
      <c r="C85" s="27">
        <f>INDEX(Bang_W,MATCH(A85,Bang_Z,1))+(A85-INDEX(Bang_Z,MATCH(A85,Bang_Z,1)))*(INDEX(Bang_F,MATCH(A85,Bang_Z,1))+B85)/2</f>
        <v/>
      </c>
      <c r="D85" s="28">
        <f>C85*1000000/dt_s</f>
        <v/>
      </c>
      <c r="E85" s="29">
        <f>MAX(A85-TC_Z,0)</f>
        <v/>
      </c>
      <c r="F85" s="30">
        <f>1-0.2*(TC_xmb+(TC_n-1)*TC_xmt)*E85/(TC_n*TC_b)</f>
        <v/>
      </c>
      <c r="G85" s="30">
        <f>1-0.2*(TC_xmb+(TC_n_sc-1)*TC_xmt)*E85/(TC_n_sc*TC_b)</f>
        <v/>
      </c>
      <c r="H85" s="31">
        <f>TC_s*F85*TC_m*TC_n*TC_b*SQRT(2*g_)*E85^1.5</f>
        <v/>
      </c>
      <c r="I85" s="31">
        <f>TC_s*G85*TC_m*TC_n_sc*TC_b*SQRT(2*g_)*E85^1.5</f>
        <v/>
      </c>
      <c r="J85" s="32">
        <f>MAX(A85-SC_Z,0)</f>
        <v/>
      </c>
      <c r="K85" s="33">
        <f>1-0.2*(SC_xmb+(SC_n-1)*SC_xmt)*J85/(SC_n*SC_b)</f>
        <v/>
      </c>
      <c r="L85" s="34">
        <f>SC_s*K85*SC_m*SC_n*SC_b*SQRT(2*g_)*J85^1.5</f>
        <v/>
      </c>
      <c r="M85" s="35">
        <f>H85+L85</f>
        <v/>
      </c>
      <c r="N85" s="35">
        <f>I85+L85</f>
        <v/>
      </c>
      <c r="O85" s="36">
        <f>D85-M85/2</f>
        <v/>
      </c>
      <c r="P85" s="36">
        <f>D85-N85/2</f>
        <v/>
      </c>
      <c r="Q85" s="36">
        <f>D85+M85/2</f>
        <v/>
      </c>
      <c r="R85" s="36">
        <f>D85+N85/2</f>
        <v/>
      </c>
    </row>
    <row r="86">
      <c r="A86" s="26">
        <f>ROUND(A85+0.1,2)</f>
        <v/>
      </c>
      <c r="B86" s="27">
        <f>INDEX(Bang_F,MATCH(A86,Bang_Z,1))+(A86-INDEX(Bang_Z,MATCH(A86,Bang_Z,1)))*(INDEX(Bang_F,MATCH(A86,Bang_Z,1)+1)-INDEX(Bang_F,MATCH(A86,Bang_Z,1)))</f>
        <v/>
      </c>
      <c r="C86" s="27">
        <f>INDEX(Bang_W,MATCH(A86,Bang_Z,1))+(A86-INDEX(Bang_Z,MATCH(A86,Bang_Z,1)))*(INDEX(Bang_F,MATCH(A86,Bang_Z,1))+B86)/2</f>
        <v/>
      </c>
      <c r="D86" s="28">
        <f>C86*1000000/dt_s</f>
        <v/>
      </c>
      <c r="E86" s="29">
        <f>MAX(A86-TC_Z,0)</f>
        <v/>
      </c>
      <c r="F86" s="30">
        <f>1-0.2*(TC_xmb+(TC_n-1)*TC_xmt)*E86/(TC_n*TC_b)</f>
        <v/>
      </c>
      <c r="G86" s="30">
        <f>1-0.2*(TC_xmb+(TC_n_sc-1)*TC_xmt)*E86/(TC_n_sc*TC_b)</f>
        <v/>
      </c>
      <c r="H86" s="31">
        <f>TC_s*F86*TC_m*TC_n*TC_b*SQRT(2*g_)*E86^1.5</f>
        <v/>
      </c>
      <c r="I86" s="31">
        <f>TC_s*G86*TC_m*TC_n_sc*TC_b*SQRT(2*g_)*E86^1.5</f>
        <v/>
      </c>
      <c r="J86" s="32">
        <f>MAX(A86-SC_Z,0)</f>
        <v/>
      </c>
      <c r="K86" s="33">
        <f>1-0.2*(SC_xmb+(SC_n-1)*SC_xmt)*J86/(SC_n*SC_b)</f>
        <v/>
      </c>
      <c r="L86" s="34">
        <f>SC_s*K86*SC_m*SC_n*SC_b*SQRT(2*g_)*J86^1.5</f>
        <v/>
      </c>
      <c r="M86" s="35">
        <f>H86+L86</f>
        <v/>
      </c>
      <c r="N86" s="35">
        <f>I86+L86</f>
        <v/>
      </c>
      <c r="O86" s="36">
        <f>D86-M86/2</f>
        <v/>
      </c>
      <c r="P86" s="36">
        <f>D86-N86/2</f>
        <v/>
      </c>
      <c r="Q86" s="36">
        <f>D86+M86/2</f>
        <v/>
      </c>
      <c r="R86" s="36">
        <f>D86+N86/2</f>
        <v/>
      </c>
    </row>
    <row r="87">
      <c r="A87" s="26">
        <f>ROUND(A86+0.1,2)</f>
        <v/>
      </c>
      <c r="B87" s="27">
        <f>INDEX(Bang_F,MATCH(A87,Bang_Z,1))+(A87-INDEX(Bang_Z,MATCH(A87,Bang_Z,1)))*(INDEX(Bang_F,MATCH(A87,Bang_Z,1)+1)-INDEX(Bang_F,MATCH(A87,Bang_Z,1)))</f>
        <v/>
      </c>
      <c r="C87" s="27">
        <f>INDEX(Bang_W,MATCH(A87,Bang_Z,1))+(A87-INDEX(Bang_Z,MATCH(A87,Bang_Z,1)))*(INDEX(Bang_F,MATCH(A87,Bang_Z,1))+B87)/2</f>
        <v/>
      </c>
      <c r="D87" s="28">
        <f>C87*1000000/dt_s</f>
        <v/>
      </c>
      <c r="E87" s="29">
        <f>MAX(A87-TC_Z,0)</f>
        <v/>
      </c>
      <c r="F87" s="30">
        <f>1-0.2*(TC_xmb+(TC_n-1)*TC_xmt)*E87/(TC_n*TC_b)</f>
        <v/>
      </c>
      <c r="G87" s="30">
        <f>1-0.2*(TC_xmb+(TC_n_sc-1)*TC_xmt)*E87/(TC_n_sc*TC_b)</f>
        <v/>
      </c>
      <c r="H87" s="31">
        <f>TC_s*F87*TC_m*TC_n*TC_b*SQRT(2*g_)*E87^1.5</f>
        <v/>
      </c>
      <c r="I87" s="31">
        <f>TC_s*G87*TC_m*TC_n_sc*TC_b*SQRT(2*g_)*E87^1.5</f>
        <v/>
      </c>
      <c r="J87" s="32">
        <f>MAX(A87-SC_Z,0)</f>
        <v/>
      </c>
      <c r="K87" s="33">
        <f>1-0.2*(SC_xmb+(SC_n-1)*SC_xmt)*J87/(SC_n*SC_b)</f>
        <v/>
      </c>
      <c r="L87" s="34">
        <f>SC_s*K87*SC_m*SC_n*SC_b*SQRT(2*g_)*J87^1.5</f>
        <v/>
      </c>
      <c r="M87" s="35">
        <f>H87+L87</f>
        <v/>
      </c>
      <c r="N87" s="35">
        <f>I87+L87</f>
        <v/>
      </c>
      <c r="O87" s="36">
        <f>D87-M87/2</f>
        <v/>
      </c>
      <c r="P87" s="36">
        <f>D87-N87/2</f>
        <v/>
      </c>
      <c r="Q87" s="36">
        <f>D87+M87/2</f>
        <v/>
      </c>
      <c r="R87" s="36">
        <f>D87+N87/2</f>
        <v/>
      </c>
    </row>
    <row r="88">
      <c r="A88" s="26">
        <f>ROUND(A87+0.1,2)</f>
        <v/>
      </c>
      <c r="B88" s="27">
        <f>INDEX(Bang_F,MATCH(A88,Bang_Z,1))+(A88-INDEX(Bang_Z,MATCH(A88,Bang_Z,1)))*(INDEX(Bang_F,MATCH(A88,Bang_Z,1)+1)-INDEX(Bang_F,MATCH(A88,Bang_Z,1)))</f>
        <v/>
      </c>
      <c r="C88" s="27">
        <f>INDEX(Bang_W,MATCH(A88,Bang_Z,1))+(A88-INDEX(Bang_Z,MATCH(A88,Bang_Z,1)))*(INDEX(Bang_F,MATCH(A88,Bang_Z,1))+B88)/2</f>
        <v/>
      </c>
      <c r="D88" s="28">
        <f>C88*1000000/dt_s</f>
        <v/>
      </c>
      <c r="E88" s="29">
        <f>MAX(A88-TC_Z,0)</f>
        <v/>
      </c>
      <c r="F88" s="30">
        <f>1-0.2*(TC_xmb+(TC_n-1)*TC_xmt)*E88/(TC_n*TC_b)</f>
        <v/>
      </c>
      <c r="G88" s="30">
        <f>1-0.2*(TC_xmb+(TC_n_sc-1)*TC_xmt)*E88/(TC_n_sc*TC_b)</f>
        <v/>
      </c>
      <c r="H88" s="31">
        <f>TC_s*F88*TC_m*TC_n*TC_b*SQRT(2*g_)*E88^1.5</f>
        <v/>
      </c>
      <c r="I88" s="31">
        <f>TC_s*G88*TC_m*TC_n_sc*TC_b*SQRT(2*g_)*E88^1.5</f>
        <v/>
      </c>
      <c r="J88" s="32">
        <f>MAX(A88-SC_Z,0)</f>
        <v/>
      </c>
      <c r="K88" s="33">
        <f>1-0.2*(SC_xmb+(SC_n-1)*SC_xmt)*J88/(SC_n*SC_b)</f>
        <v/>
      </c>
      <c r="L88" s="34">
        <f>SC_s*K88*SC_m*SC_n*SC_b*SQRT(2*g_)*J88^1.5</f>
        <v/>
      </c>
      <c r="M88" s="35">
        <f>H88+L88</f>
        <v/>
      </c>
      <c r="N88" s="35">
        <f>I88+L88</f>
        <v/>
      </c>
      <c r="O88" s="36">
        <f>D88-M88/2</f>
        <v/>
      </c>
      <c r="P88" s="36">
        <f>D88-N88/2</f>
        <v/>
      </c>
      <c r="Q88" s="36">
        <f>D88+M88/2</f>
        <v/>
      </c>
      <c r="R88" s="36">
        <f>D88+N88/2</f>
        <v/>
      </c>
    </row>
    <row r="89">
      <c r="A89" s="26">
        <f>ROUND(A88+0.1,2)</f>
        <v/>
      </c>
      <c r="B89" s="27">
        <f>INDEX(Bang_F,MATCH(A89,Bang_Z,1))+(A89-INDEX(Bang_Z,MATCH(A89,Bang_Z,1)))*(INDEX(Bang_F,MATCH(A89,Bang_Z,1)+1)-INDEX(Bang_F,MATCH(A89,Bang_Z,1)))</f>
        <v/>
      </c>
      <c r="C89" s="27">
        <f>INDEX(Bang_W,MATCH(A89,Bang_Z,1))+(A89-INDEX(Bang_Z,MATCH(A89,Bang_Z,1)))*(INDEX(Bang_F,MATCH(A89,Bang_Z,1))+B89)/2</f>
        <v/>
      </c>
      <c r="D89" s="28">
        <f>C89*1000000/dt_s</f>
        <v/>
      </c>
      <c r="E89" s="29">
        <f>MAX(A89-TC_Z,0)</f>
        <v/>
      </c>
      <c r="F89" s="30">
        <f>1-0.2*(TC_xmb+(TC_n-1)*TC_xmt)*E89/(TC_n*TC_b)</f>
        <v/>
      </c>
      <c r="G89" s="30">
        <f>1-0.2*(TC_xmb+(TC_n_sc-1)*TC_xmt)*E89/(TC_n_sc*TC_b)</f>
        <v/>
      </c>
      <c r="H89" s="31">
        <f>TC_s*F89*TC_m*TC_n*TC_b*SQRT(2*g_)*E89^1.5</f>
        <v/>
      </c>
      <c r="I89" s="31">
        <f>TC_s*G89*TC_m*TC_n_sc*TC_b*SQRT(2*g_)*E89^1.5</f>
        <v/>
      </c>
      <c r="J89" s="32">
        <f>MAX(A89-SC_Z,0)</f>
        <v/>
      </c>
      <c r="K89" s="33">
        <f>1-0.2*(SC_xmb+(SC_n-1)*SC_xmt)*J89/(SC_n*SC_b)</f>
        <v/>
      </c>
      <c r="L89" s="34">
        <f>SC_s*K89*SC_m*SC_n*SC_b*SQRT(2*g_)*J89^1.5</f>
        <v/>
      </c>
      <c r="M89" s="35">
        <f>H89+L89</f>
        <v/>
      </c>
      <c r="N89" s="35">
        <f>I89+L89</f>
        <v/>
      </c>
      <c r="O89" s="36">
        <f>D89-M89/2</f>
        <v/>
      </c>
      <c r="P89" s="36">
        <f>D89-N89/2</f>
        <v/>
      </c>
      <c r="Q89" s="36">
        <f>D89+M89/2</f>
        <v/>
      </c>
      <c r="R89" s="36">
        <f>D89+N89/2</f>
        <v/>
      </c>
    </row>
    <row r="90">
      <c r="A90" s="26">
        <f>ROUND(A89+0.1,2)</f>
        <v/>
      </c>
      <c r="B90" s="27">
        <f>INDEX(Bang_F,MATCH(A90,Bang_Z,1))+(A90-INDEX(Bang_Z,MATCH(A90,Bang_Z,1)))*(INDEX(Bang_F,MATCH(A90,Bang_Z,1)+1)-INDEX(Bang_F,MATCH(A90,Bang_Z,1)))</f>
        <v/>
      </c>
      <c r="C90" s="27">
        <f>INDEX(Bang_W,MATCH(A90,Bang_Z,1))+(A90-INDEX(Bang_Z,MATCH(A90,Bang_Z,1)))*(INDEX(Bang_F,MATCH(A90,Bang_Z,1))+B90)/2</f>
        <v/>
      </c>
      <c r="D90" s="28">
        <f>C90*1000000/dt_s</f>
        <v/>
      </c>
      <c r="E90" s="29">
        <f>MAX(A90-TC_Z,0)</f>
        <v/>
      </c>
      <c r="F90" s="30">
        <f>1-0.2*(TC_xmb+(TC_n-1)*TC_xmt)*E90/(TC_n*TC_b)</f>
        <v/>
      </c>
      <c r="G90" s="30">
        <f>1-0.2*(TC_xmb+(TC_n_sc-1)*TC_xmt)*E90/(TC_n_sc*TC_b)</f>
        <v/>
      </c>
      <c r="H90" s="31">
        <f>TC_s*F90*TC_m*TC_n*TC_b*SQRT(2*g_)*E90^1.5</f>
        <v/>
      </c>
      <c r="I90" s="31">
        <f>TC_s*G90*TC_m*TC_n_sc*TC_b*SQRT(2*g_)*E90^1.5</f>
        <v/>
      </c>
      <c r="J90" s="32">
        <f>MAX(A90-SC_Z,0)</f>
        <v/>
      </c>
      <c r="K90" s="33">
        <f>1-0.2*(SC_xmb+(SC_n-1)*SC_xmt)*J90/(SC_n*SC_b)</f>
        <v/>
      </c>
      <c r="L90" s="34">
        <f>SC_s*K90*SC_m*SC_n*SC_b*SQRT(2*g_)*J90^1.5</f>
        <v/>
      </c>
      <c r="M90" s="35">
        <f>H90+L90</f>
        <v/>
      </c>
      <c r="N90" s="35">
        <f>I90+L90</f>
        <v/>
      </c>
      <c r="O90" s="36">
        <f>D90-M90/2</f>
        <v/>
      </c>
      <c r="P90" s="36">
        <f>D90-N90/2</f>
        <v/>
      </c>
      <c r="Q90" s="36">
        <f>D90+M90/2</f>
        <v/>
      </c>
      <c r="R90" s="36">
        <f>D90+N90/2</f>
        <v/>
      </c>
    </row>
    <row r="91">
      <c r="A91" s="26">
        <f>ROUND(A90+0.1,2)</f>
        <v/>
      </c>
      <c r="B91" s="27">
        <f>INDEX(Bang_F,MATCH(A91,Bang_Z,1))+(A91-INDEX(Bang_Z,MATCH(A91,Bang_Z,1)))*(INDEX(Bang_F,MATCH(A91,Bang_Z,1)+1)-INDEX(Bang_F,MATCH(A91,Bang_Z,1)))</f>
        <v/>
      </c>
      <c r="C91" s="27">
        <f>INDEX(Bang_W,MATCH(A91,Bang_Z,1))+(A91-INDEX(Bang_Z,MATCH(A91,Bang_Z,1)))*(INDEX(Bang_F,MATCH(A91,Bang_Z,1))+B91)/2</f>
        <v/>
      </c>
      <c r="D91" s="28">
        <f>C91*1000000/dt_s</f>
        <v/>
      </c>
      <c r="E91" s="29">
        <f>MAX(A91-TC_Z,0)</f>
        <v/>
      </c>
      <c r="F91" s="30">
        <f>1-0.2*(TC_xmb+(TC_n-1)*TC_xmt)*E91/(TC_n*TC_b)</f>
        <v/>
      </c>
      <c r="G91" s="30">
        <f>1-0.2*(TC_xmb+(TC_n_sc-1)*TC_xmt)*E91/(TC_n_sc*TC_b)</f>
        <v/>
      </c>
      <c r="H91" s="31">
        <f>TC_s*F91*TC_m*TC_n*TC_b*SQRT(2*g_)*E91^1.5</f>
        <v/>
      </c>
      <c r="I91" s="31">
        <f>TC_s*G91*TC_m*TC_n_sc*TC_b*SQRT(2*g_)*E91^1.5</f>
        <v/>
      </c>
      <c r="J91" s="32">
        <f>MAX(A91-SC_Z,0)</f>
        <v/>
      </c>
      <c r="K91" s="33">
        <f>1-0.2*(SC_xmb+(SC_n-1)*SC_xmt)*J91/(SC_n*SC_b)</f>
        <v/>
      </c>
      <c r="L91" s="34">
        <f>SC_s*K91*SC_m*SC_n*SC_b*SQRT(2*g_)*J91^1.5</f>
        <v/>
      </c>
      <c r="M91" s="35">
        <f>H91+L91</f>
        <v/>
      </c>
      <c r="N91" s="35">
        <f>I91+L91</f>
        <v/>
      </c>
      <c r="O91" s="36">
        <f>D91-M91/2</f>
        <v/>
      </c>
      <c r="P91" s="36">
        <f>D91-N91/2</f>
        <v/>
      </c>
      <c r="Q91" s="36">
        <f>D91+M91/2</f>
        <v/>
      </c>
      <c r="R91" s="36">
        <f>D91+N91/2</f>
        <v/>
      </c>
    </row>
    <row r="92">
      <c r="A92" s="26">
        <f>ROUND(A91+0.1,2)</f>
        <v/>
      </c>
      <c r="B92" s="27">
        <f>INDEX(Bang_F,MATCH(A92,Bang_Z,1))+(A92-INDEX(Bang_Z,MATCH(A92,Bang_Z,1)))*(INDEX(Bang_F,MATCH(A92,Bang_Z,1)+1)-INDEX(Bang_F,MATCH(A92,Bang_Z,1)))</f>
        <v/>
      </c>
      <c r="C92" s="27">
        <f>INDEX(Bang_W,MATCH(A92,Bang_Z,1))+(A92-INDEX(Bang_Z,MATCH(A92,Bang_Z,1)))*(INDEX(Bang_F,MATCH(A92,Bang_Z,1))+B92)/2</f>
        <v/>
      </c>
      <c r="D92" s="28">
        <f>C92*1000000/dt_s</f>
        <v/>
      </c>
      <c r="E92" s="29">
        <f>MAX(A92-TC_Z,0)</f>
        <v/>
      </c>
      <c r="F92" s="30">
        <f>1-0.2*(TC_xmb+(TC_n-1)*TC_xmt)*E92/(TC_n*TC_b)</f>
        <v/>
      </c>
      <c r="G92" s="30">
        <f>1-0.2*(TC_xmb+(TC_n_sc-1)*TC_xmt)*E92/(TC_n_sc*TC_b)</f>
        <v/>
      </c>
      <c r="H92" s="31">
        <f>TC_s*F92*TC_m*TC_n*TC_b*SQRT(2*g_)*E92^1.5</f>
        <v/>
      </c>
      <c r="I92" s="31">
        <f>TC_s*G92*TC_m*TC_n_sc*TC_b*SQRT(2*g_)*E92^1.5</f>
        <v/>
      </c>
      <c r="J92" s="32">
        <f>MAX(A92-SC_Z,0)</f>
        <v/>
      </c>
      <c r="K92" s="33">
        <f>1-0.2*(SC_xmb+(SC_n-1)*SC_xmt)*J92/(SC_n*SC_b)</f>
        <v/>
      </c>
      <c r="L92" s="34">
        <f>SC_s*K92*SC_m*SC_n*SC_b*SQRT(2*g_)*J92^1.5</f>
        <v/>
      </c>
      <c r="M92" s="35">
        <f>H92+L92</f>
        <v/>
      </c>
      <c r="N92" s="35">
        <f>I92+L92</f>
        <v/>
      </c>
      <c r="O92" s="36">
        <f>D92-M92/2</f>
        <v/>
      </c>
      <c r="P92" s="36">
        <f>D92-N92/2</f>
        <v/>
      </c>
      <c r="Q92" s="36">
        <f>D92+M92/2</f>
        <v/>
      </c>
      <c r="R92" s="36">
        <f>D92+N92/2</f>
        <v/>
      </c>
    </row>
    <row r="93">
      <c r="A93" s="26">
        <f>ROUND(A92+0.1,2)</f>
        <v/>
      </c>
      <c r="B93" s="27">
        <f>INDEX(Bang_F,MATCH(A93,Bang_Z,1))+(A93-INDEX(Bang_Z,MATCH(A93,Bang_Z,1)))*(INDEX(Bang_F,MATCH(A93,Bang_Z,1)+1)-INDEX(Bang_F,MATCH(A93,Bang_Z,1)))</f>
        <v/>
      </c>
      <c r="C93" s="27">
        <f>INDEX(Bang_W,MATCH(A93,Bang_Z,1))+(A93-INDEX(Bang_Z,MATCH(A93,Bang_Z,1)))*(INDEX(Bang_F,MATCH(A93,Bang_Z,1))+B93)/2</f>
        <v/>
      </c>
      <c r="D93" s="28">
        <f>C93*1000000/dt_s</f>
        <v/>
      </c>
      <c r="E93" s="29">
        <f>MAX(A93-TC_Z,0)</f>
        <v/>
      </c>
      <c r="F93" s="30">
        <f>1-0.2*(TC_xmb+(TC_n-1)*TC_xmt)*E93/(TC_n*TC_b)</f>
        <v/>
      </c>
      <c r="G93" s="30">
        <f>1-0.2*(TC_xmb+(TC_n_sc-1)*TC_xmt)*E93/(TC_n_sc*TC_b)</f>
        <v/>
      </c>
      <c r="H93" s="31">
        <f>TC_s*F93*TC_m*TC_n*TC_b*SQRT(2*g_)*E93^1.5</f>
        <v/>
      </c>
      <c r="I93" s="31">
        <f>TC_s*G93*TC_m*TC_n_sc*TC_b*SQRT(2*g_)*E93^1.5</f>
        <v/>
      </c>
      <c r="J93" s="32">
        <f>MAX(A93-SC_Z,0)</f>
        <v/>
      </c>
      <c r="K93" s="33">
        <f>1-0.2*(SC_xmb+(SC_n-1)*SC_xmt)*J93/(SC_n*SC_b)</f>
        <v/>
      </c>
      <c r="L93" s="34">
        <f>SC_s*K93*SC_m*SC_n*SC_b*SQRT(2*g_)*J93^1.5</f>
        <v/>
      </c>
      <c r="M93" s="35">
        <f>H93+L93</f>
        <v/>
      </c>
      <c r="N93" s="35">
        <f>I93+L93</f>
        <v/>
      </c>
      <c r="O93" s="36">
        <f>D93-M93/2</f>
        <v/>
      </c>
      <c r="P93" s="36">
        <f>D93-N93/2</f>
        <v/>
      </c>
      <c r="Q93" s="36">
        <f>D93+M93/2</f>
        <v/>
      </c>
      <c r="R93" s="36">
        <f>D93+N93/2</f>
        <v/>
      </c>
    </row>
    <row r="94">
      <c r="A94" s="26">
        <f>ROUND(A93+0.1,2)</f>
        <v/>
      </c>
      <c r="B94" s="27">
        <f>INDEX(Bang_F,MATCH(A94,Bang_Z,1))+(A94-INDEX(Bang_Z,MATCH(A94,Bang_Z,1)))*(INDEX(Bang_F,MATCH(A94,Bang_Z,1)+1)-INDEX(Bang_F,MATCH(A94,Bang_Z,1)))</f>
        <v/>
      </c>
      <c r="C94" s="27">
        <f>INDEX(Bang_W,MATCH(A94,Bang_Z,1))+(A94-INDEX(Bang_Z,MATCH(A94,Bang_Z,1)))*(INDEX(Bang_F,MATCH(A94,Bang_Z,1))+B94)/2</f>
        <v/>
      </c>
      <c r="D94" s="28">
        <f>C94*1000000/dt_s</f>
        <v/>
      </c>
      <c r="E94" s="29">
        <f>MAX(A94-TC_Z,0)</f>
        <v/>
      </c>
      <c r="F94" s="30">
        <f>1-0.2*(TC_xmb+(TC_n-1)*TC_xmt)*E94/(TC_n*TC_b)</f>
        <v/>
      </c>
      <c r="G94" s="30">
        <f>1-0.2*(TC_xmb+(TC_n_sc-1)*TC_xmt)*E94/(TC_n_sc*TC_b)</f>
        <v/>
      </c>
      <c r="H94" s="31">
        <f>TC_s*F94*TC_m*TC_n*TC_b*SQRT(2*g_)*E94^1.5</f>
        <v/>
      </c>
      <c r="I94" s="31">
        <f>TC_s*G94*TC_m*TC_n_sc*TC_b*SQRT(2*g_)*E94^1.5</f>
        <v/>
      </c>
      <c r="J94" s="32">
        <f>MAX(A94-SC_Z,0)</f>
        <v/>
      </c>
      <c r="K94" s="33">
        <f>1-0.2*(SC_xmb+(SC_n-1)*SC_xmt)*J94/(SC_n*SC_b)</f>
        <v/>
      </c>
      <c r="L94" s="34">
        <f>SC_s*K94*SC_m*SC_n*SC_b*SQRT(2*g_)*J94^1.5</f>
        <v/>
      </c>
      <c r="M94" s="35">
        <f>H94+L94</f>
        <v/>
      </c>
      <c r="N94" s="35">
        <f>I94+L94</f>
        <v/>
      </c>
      <c r="O94" s="36">
        <f>D94-M94/2</f>
        <v/>
      </c>
      <c r="P94" s="36">
        <f>D94-N94/2</f>
        <v/>
      </c>
      <c r="Q94" s="36">
        <f>D94+M94/2</f>
        <v/>
      </c>
      <c r="R94" s="36">
        <f>D94+N94/2</f>
        <v/>
      </c>
    </row>
    <row r="95">
      <c r="A95" s="26">
        <f>ROUND(A94+0.1,2)</f>
        <v/>
      </c>
      <c r="B95" s="27">
        <f>INDEX(Bang_F,MATCH(A95,Bang_Z,1))+(A95-INDEX(Bang_Z,MATCH(A95,Bang_Z,1)))*(INDEX(Bang_F,MATCH(A95,Bang_Z,1)+1)-INDEX(Bang_F,MATCH(A95,Bang_Z,1)))</f>
        <v/>
      </c>
      <c r="C95" s="27">
        <f>INDEX(Bang_W,MATCH(A95,Bang_Z,1))+(A95-INDEX(Bang_Z,MATCH(A95,Bang_Z,1)))*(INDEX(Bang_F,MATCH(A95,Bang_Z,1))+B95)/2</f>
        <v/>
      </c>
      <c r="D95" s="28">
        <f>C95*1000000/dt_s</f>
        <v/>
      </c>
      <c r="E95" s="29">
        <f>MAX(A95-TC_Z,0)</f>
        <v/>
      </c>
      <c r="F95" s="30">
        <f>1-0.2*(TC_xmb+(TC_n-1)*TC_xmt)*E95/(TC_n*TC_b)</f>
        <v/>
      </c>
      <c r="G95" s="30">
        <f>1-0.2*(TC_xmb+(TC_n_sc-1)*TC_xmt)*E95/(TC_n_sc*TC_b)</f>
        <v/>
      </c>
      <c r="H95" s="31">
        <f>TC_s*F95*TC_m*TC_n*TC_b*SQRT(2*g_)*E95^1.5</f>
        <v/>
      </c>
      <c r="I95" s="31">
        <f>TC_s*G95*TC_m*TC_n_sc*TC_b*SQRT(2*g_)*E95^1.5</f>
        <v/>
      </c>
      <c r="J95" s="32">
        <f>MAX(A95-SC_Z,0)</f>
        <v/>
      </c>
      <c r="K95" s="33">
        <f>1-0.2*(SC_xmb+(SC_n-1)*SC_xmt)*J95/(SC_n*SC_b)</f>
        <v/>
      </c>
      <c r="L95" s="34">
        <f>SC_s*K95*SC_m*SC_n*SC_b*SQRT(2*g_)*J95^1.5</f>
        <v/>
      </c>
      <c r="M95" s="35">
        <f>H95+L95</f>
        <v/>
      </c>
      <c r="N95" s="35">
        <f>I95+L95</f>
        <v/>
      </c>
      <c r="O95" s="36">
        <f>D95-M95/2</f>
        <v/>
      </c>
      <c r="P95" s="36">
        <f>D95-N95/2</f>
        <v/>
      </c>
      <c r="Q95" s="36">
        <f>D95+M95/2</f>
        <v/>
      </c>
      <c r="R95" s="36">
        <f>D95+N95/2</f>
        <v/>
      </c>
    </row>
    <row r="96">
      <c r="A96" s="26">
        <f>ROUND(A95+0.1,2)</f>
        <v/>
      </c>
      <c r="B96" s="27">
        <f>INDEX(Bang_F,MATCH(A96,Bang_Z,1))+(A96-INDEX(Bang_Z,MATCH(A96,Bang_Z,1)))*(INDEX(Bang_F,MATCH(A96,Bang_Z,1)+1)-INDEX(Bang_F,MATCH(A96,Bang_Z,1)))</f>
        <v/>
      </c>
      <c r="C96" s="27">
        <f>INDEX(Bang_W,MATCH(A96,Bang_Z,1))+(A96-INDEX(Bang_Z,MATCH(A96,Bang_Z,1)))*(INDEX(Bang_F,MATCH(A96,Bang_Z,1))+B96)/2</f>
        <v/>
      </c>
      <c r="D96" s="28">
        <f>C96*1000000/dt_s</f>
        <v/>
      </c>
      <c r="E96" s="29">
        <f>MAX(A96-TC_Z,0)</f>
        <v/>
      </c>
      <c r="F96" s="30">
        <f>1-0.2*(TC_xmb+(TC_n-1)*TC_xmt)*E96/(TC_n*TC_b)</f>
        <v/>
      </c>
      <c r="G96" s="30">
        <f>1-0.2*(TC_xmb+(TC_n_sc-1)*TC_xmt)*E96/(TC_n_sc*TC_b)</f>
        <v/>
      </c>
      <c r="H96" s="31">
        <f>TC_s*F96*TC_m*TC_n*TC_b*SQRT(2*g_)*E96^1.5</f>
        <v/>
      </c>
      <c r="I96" s="31">
        <f>TC_s*G96*TC_m*TC_n_sc*TC_b*SQRT(2*g_)*E96^1.5</f>
        <v/>
      </c>
      <c r="J96" s="32">
        <f>MAX(A96-SC_Z,0)</f>
        <v/>
      </c>
      <c r="K96" s="33">
        <f>1-0.2*(SC_xmb+(SC_n-1)*SC_xmt)*J96/(SC_n*SC_b)</f>
        <v/>
      </c>
      <c r="L96" s="34">
        <f>SC_s*K96*SC_m*SC_n*SC_b*SQRT(2*g_)*J96^1.5</f>
        <v/>
      </c>
      <c r="M96" s="35">
        <f>H96+L96</f>
        <v/>
      </c>
      <c r="N96" s="35">
        <f>I96+L96</f>
        <v/>
      </c>
      <c r="O96" s="36">
        <f>D96-M96/2</f>
        <v/>
      </c>
      <c r="P96" s="36">
        <f>D96-N96/2</f>
        <v/>
      </c>
      <c r="Q96" s="36">
        <f>D96+M96/2</f>
        <v/>
      </c>
      <c r="R96" s="36">
        <f>D96+N96/2</f>
        <v/>
      </c>
    </row>
    <row r="97">
      <c r="A97" s="26">
        <f>ROUND(A96+0.1,2)</f>
        <v/>
      </c>
      <c r="B97" s="27">
        <f>INDEX(Bang_F,MATCH(A97,Bang_Z,1))+(A97-INDEX(Bang_Z,MATCH(A97,Bang_Z,1)))*(INDEX(Bang_F,MATCH(A97,Bang_Z,1)+1)-INDEX(Bang_F,MATCH(A97,Bang_Z,1)))</f>
        <v/>
      </c>
      <c r="C97" s="27">
        <f>INDEX(Bang_W,MATCH(A97,Bang_Z,1))+(A97-INDEX(Bang_Z,MATCH(A97,Bang_Z,1)))*(INDEX(Bang_F,MATCH(A97,Bang_Z,1))+B97)/2</f>
        <v/>
      </c>
      <c r="D97" s="28">
        <f>C97*1000000/dt_s</f>
        <v/>
      </c>
      <c r="E97" s="29">
        <f>MAX(A97-TC_Z,0)</f>
        <v/>
      </c>
      <c r="F97" s="30">
        <f>1-0.2*(TC_xmb+(TC_n-1)*TC_xmt)*E97/(TC_n*TC_b)</f>
        <v/>
      </c>
      <c r="G97" s="30">
        <f>1-0.2*(TC_xmb+(TC_n_sc-1)*TC_xmt)*E97/(TC_n_sc*TC_b)</f>
        <v/>
      </c>
      <c r="H97" s="31">
        <f>TC_s*F97*TC_m*TC_n*TC_b*SQRT(2*g_)*E97^1.5</f>
        <v/>
      </c>
      <c r="I97" s="31">
        <f>TC_s*G97*TC_m*TC_n_sc*TC_b*SQRT(2*g_)*E97^1.5</f>
        <v/>
      </c>
      <c r="J97" s="32">
        <f>MAX(A97-SC_Z,0)</f>
        <v/>
      </c>
      <c r="K97" s="33">
        <f>1-0.2*(SC_xmb+(SC_n-1)*SC_xmt)*J97/(SC_n*SC_b)</f>
        <v/>
      </c>
      <c r="L97" s="34">
        <f>SC_s*K97*SC_m*SC_n*SC_b*SQRT(2*g_)*J97^1.5</f>
        <v/>
      </c>
      <c r="M97" s="35">
        <f>H97+L97</f>
        <v/>
      </c>
      <c r="N97" s="35">
        <f>I97+L97</f>
        <v/>
      </c>
      <c r="O97" s="36">
        <f>D97-M97/2</f>
        <v/>
      </c>
      <c r="P97" s="36">
        <f>D97-N97/2</f>
        <v/>
      </c>
      <c r="Q97" s="36">
        <f>D97+M97/2</f>
        <v/>
      </c>
      <c r="R97" s="36">
        <f>D97+N97/2</f>
        <v/>
      </c>
    </row>
    <row r="98">
      <c r="A98" s="26">
        <f>ROUND(A97+0.1,2)</f>
        <v/>
      </c>
      <c r="B98" s="27">
        <f>INDEX(Bang_F,MATCH(A98,Bang_Z,1))+(A98-INDEX(Bang_Z,MATCH(A98,Bang_Z,1)))*(INDEX(Bang_F,MATCH(A98,Bang_Z,1)+1)-INDEX(Bang_F,MATCH(A98,Bang_Z,1)))</f>
        <v/>
      </c>
      <c r="C98" s="27">
        <f>INDEX(Bang_W,MATCH(A98,Bang_Z,1))+(A98-INDEX(Bang_Z,MATCH(A98,Bang_Z,1)))*(INDEX(Bang_F,MATCH(A98,Bang_Z,1))+B98)/2</f>
        <v/>
      </c>
      <c r="D98" s="28">
        <f>C98*1000000/dt_s</f>
        <v/>
      </c>
      <c r="E98" s="29">
        <f>MAX(A98-TC_Z,0)</f>
        <v/>
      </c>
      <c r="F98" s="30">
        <f>1-0.2*(TC_xmb+(TC_n-1)*TC_xmt)*E98/(TC_n*TC_b)</f>
        <v/>
      </c>
      <c r="G98" s="30">
        <f>1-0.2*(TC_xmb+(TC_n_sc-1)*TC_xmt)*E98/(TC_n_sc*TC_b)</f>
        <v/>
      </c>
      <c r="H98" s="31">
        <f>TC_s*F98*TC_m*TC_n*TC_b*SQRT(2*g_)*E98^1.5</f>
        <v/>
      </c>
      <c r="I98" s="31">
        <f>TC_s*G98*TC_m*TC_n_sc*TC_b*SQRT(2*g_)*E98^1.5</f>
        <v/>
      </c>
      <c r="J98" s="32">
        <f>MAX(A98-SC_Z,0)</f>
        <v/>
      </c>
      <c r="K98" s="33">
        <f>1-0.2*(SC_xmb+(SC_n-1)*SC_xmt)*J98/(SC_n*SC_b)</f>
        <v/>
      </c>
      <c r="L98" s="34">
        <f>SC_s*K98*SC_m*SC_n*SC_b*SQRT(2*g_)*J98^1.5</f>
        <v/>
      </c>
      <c r="M98" s="35">
        <f>H98+L98</f>
        <v/>
      </c>
      <c r="N98" s="35">
        <f>I98+L98</f>
        <v/>
      </c>
      <c r="O98" s="36">
        <f>D98-M98/2</f>
        <v/>
      </c>
      <c r="P98" s="36">
        <f>D98-N98/2</f>
        <v/>
      </c>
      <c r="Q98" s="36">
        <f>D98+M98/2</f>
        <v/>
      </c>
      <c r="R98" s="36">
        <f>D98+N98/2</f>
        <v/>
      </c>
    </row>
    <row r="99">
      <c r="A99" s="26">
        <f>ROUND(A98+0.1,2)</f>
        <v/>
      </c>
      <c r="B99" s="27">
        <f>INDEX(Bang_F,MATCH(A99,Bang_Z,1))+(A99-INDEX(Bang_Z,MATCH(A99,Bang_Z,1)))*(INDEX(Bang_F,MATCH(A99,Bang_Z,1)+1)-INDEX(Bang_F,MATCH(A99,Bang_Z,1)))</f>
        <v/>
      </c>
      <c r="C99" s="27">
        <f>INDEX(Bang_W,MATCH(A99,Bang_Z,1))+(A99-INDEX(Bang_Z,MATCH(A99,Bang_Z,1)))*(INDEX(Bang_F,MATCH(A99,Bang_Z,1))+B99)/2</f>
        <v/>
      </c>
      <c r="D99" s="28">
        <f>C99*1000000/dt_s</f>
        <v/>
      </c>
      <c r="E99" s="29">
        <f>MAX(A99-TC_Z,0)</f>
        <v/>
      </c>
      <c r="F99" s="30">
        <f>1-0.2*(TC_xmb+(TC_n-1)*TC_xmt)*E99/(TC_n*TC_b)</f>
        <v/>
      </c>
      <c r="G99" s="30">
        <f>1-0.2*(TC_xmb+(TC_n_sc-1)*TC_xmt)*E99/(TC_n_sc*TC_b)</f>
        <v/>
      </c>
      <c r="H99" s="31">
        <f>TC_s*F99*TC_m*TC_n*TC_b*SQRT(2*g_)*E99^1.5</f>
        <v/>
      </c>
      <c r="I99" s="31">
        <f>TC_s*G99*TC_m*TC_n_sc*TC_b*SQRT(2*g_)*E99^1.5</f>
        <v/>
      </c>
      <c r="J99" s="32">
        <f>MAX(A99-SC_Z,0)</f>
        <v/>
      </c>
      <c r="K99" s="33">
        <f>1-0.2*(SC_xmb+(SC_n-1)*SC_xmt)*J99/(SC_n*SC_b)</f>
        <v/>
      </c>
      <c r="L99" s="34">
        <f>SC_s*K99*SC_m*SC_n*SC_b*SQRT(2*g_)*J99^1.5</f>
        <v/>
      </c>
      <c r="M99" s="35">
        <f>H99+L99</f>
        <v/>
      </c>
      <c r="N99" s="35">
        <f>I99+L99</f>
        <v/>
      </c>
      <c r="O99" s="36">
        <f>D99-M99/2</f>
        <v/>
      </c>
      <c r="P99" s="36">
        <f>D99-N99/2</f>
        <v/>
      </c>
      <c r="Q99" s="36">
        <f>D99+M99/2</f>
        <v/>
      </c>
      <c r="R99" s="36">
        <f>D99+N99/2</f>
        <v/>
      </c>
    </row>
    <row r="100">
      <c r="A100" s="26">
        <f>ROUND(A99+0.1,2)</f>
        <v/>
      </c>
      <c r="B100" s="27">
        <f>INDEX(Bang_F,MATCH(A100,Bang_Z,1))+(A100-INDEX(Bang_Z,MATCH(A100,Bang_Z,1)))*(INDEX(Bang_F,MATCH(A100,Bang_Z,1)+1)-INDEX(Bang_F,MATCH(A100,Bang_Z,1)))</f>
        <v/>
      </c>
      <c r="C100" s="27">
        <f>INDEX(Bang_W,MATCH(A100,Bang_Z,1))+(A100-INDEX(Bang_Z,MATCH(A100,Bang_Z,1)))*(INDEX(Bang_F,MATCH(A100,Bang_Z,1))+B100)/2</f>
        <v/>
      </c>
      <c r="D100" s="28">
        <f>C100*1000000/dt_s</f>
        <v/>
      </c>
      <c r="E100" s="29">
        <f>MAX(A100-TC_Z,0)</f>
        <v/>
      </c>
      <c r="F100" s="30">
        <f>1-0.2*(TC_xmb+(TC_n-1)*TC_xmt)*E100/(TC_n*TC_b)</f>
        <v/>
      </c>
      <c r="G100" s="30">
        <f>1-0.2*(TC_xmb+(TC_n_sc-1)*TC_xmt)*E100/(TC_n_sc*TC_b)</f>
        <v/>
      </c>
      <c r="H100" s="31">
        <f>TC_s*F100*TC_m*TC_n*TC_b*SQRT(2*g_)*E100^1.5</f>
        <v/>
      </c>
      <c r="I100" s="31">
        <f>TC_s*G100*TC_m*TC_n_sc*TC_b*SQRT(2*g_)*E100^1.5</f>
        <v/>
      </c>
      <c r="J100" s="32">
        <f>MAX(A100-SC_Z,0)</f>
        <v/>
      </c>
      <c r="K100" s="33">
        <f>1-0.2*(SC_xmb+(SC_n-1)*SC_xmt)*J100/(SC_n*SC_b)</f>
        <v/>
      </c>
      <c r="L100" s="34">
        <f>SC_s*K100*SC_m*SC_n*SC_b*SQRT(2*g_)*J100^1.5</f>
        <v/>
      </c>
      <c r="M100" s="35">
        <f>H100+L100</f>
        <v/>
      </c>
      <c r="N100" s="35">
        <f>I100+L100</f>
        <v/>
      </c>
      <c r="O100" s="36">
        <f>D100-M100/2</f>
        <v/>
      </c>
      <c r="P100" s="36">
        <f>D100-N100/2</f>
        <v/>
      </c>
      <c r="Q100" s="36">
        <f>D100+M100/2</f>
        <v/>
      </c>
      <c r="R100" s="36">
        <f>D100+N100/2</f>
        <v/>
      </c>
    </row>
    <row r="101">
      <c r="A101" s="26">
        <f>ROUND(A100+0.1,2)</f>
        <v/>
      </c>
      <c r="B101" s="27">
        <f>INDEX(Bang_F,MATCH(A101,Bang_Z,1))+(A101-INDEX(Bang_Z,MATCH(A101,Bang_Z,1)))*(INDEX(Bang_F,MATCH(A101,Bang_Z,1)+1)-INDEX(Bang_F,MATCH(A101,Bang_Z,1)))</f>
        <v/>
      </c>
      <c r="C101" s="27">
        <f>INDEX(Bang_W,MATCH(A101,Bang_Z,1))+(A101-INDEX(Bang_Z,MATCH(A101,Bang_Z,1)))*(INDEX(Bang_F,MATCH(A101,Bang_Z,1))+B101)/2</f>
        <v/>
      </c>
      <c r="D101" s="28">
        <f>C101*1000000/dt_s</f>
        <v/>
      </c>
      <c r="E101" s="29">
        <f>MAX(A101-TC_Z,0)</f>
        <v/>
      </c>
      <c r="F101" s="30">
        <f>1-0.2*(TC_xmb+(TC_n-1)*TC_xmt)*E101/(TC_n*TC_b)</f>
        <v/>
      </c>
      <c r="G101" s="30">
        <f>1-0.2*(TC_xmb+(TC_n_sc-1)*TC_xmt)*E101/(TC_n_sc*TC_b)</f>
        <v/>
      </c>
      <c r="H101" s="31">
        <f>TC_s*F101*TC_m*TC_n*TC_b*SQRT(2*g_)*E101^1.5</f>
        <v/>
      </c>
      <c r="I101" s="31">
        <f>TC_s*G101*TC_m*TC_n_sc*TC_b*SQRT(2*g_)*E101^1.5</f>
        <v/>
      </c>
      <c r="J101" s="32">
        <f>MAX(A101-SC_Z,0)</f>
        <v/>
      </c>
      <c r="K101" s="33">
        <f>1-0.2*(SC_xmb+(SC_n-1)*SC_xmt)*J101/(SC_n*SC_b)</f>
        <v/>
      </c>
      <c r="L101" s="34">
        <f>SC_s*K101*SC_m*SC_n*SC_b*SQRT(2*g_)*J101^1.5</f>
        <v/>
      </c>
      <c r="M101" s="35">
        <f>H101+L101</f>
        <v/>
      </c>
      <c r="N101" s="35">
        <f>I101+L101</f>
        <v/>
      </c>
      <c r="O101" s="36">
        <f>D101-M101/2</f>
        <v/>
      </c>
      <c r="P101" s="36">
        <f>D101-N101/2</f>
        <v/>
      </c>
      <c r="Q101" s="36">
        <f>D101+M101/2</f>
        <v/>
      </c>
      <c r="R101" s="36">
        <f>D101+N101/2</f>
        <v/>
      </c>
    </row>
    <row r="102">
      <c r="A102" s="26">
        <f>ROUND(A101+0.1,2)</f>
        <v/>
      </c>
      <c r="B102" s="27">
        <f>INDEX(Bang_F,MATCH(A102,Bang_Z,1))+(A102-INDEX(Bang_Z,MATCH(A102,Bang_Z,1)))*(INDEX(Bang_F,MATCH(A102,Bang_Z,1)+1)-INDEX(Bang_F,MATCH(A102,Bang_Z,1)))</f>
        <v/>
      </c>
      <c r="C102" s="27">
        <f>INDEX(Bang_W,MATCH(A102,Bang_Z,1))+(A102-INDEX(Bang_Z,MATCH(A102,Bang_Z,1)))*(INDEX(Bang_F,MATCH(A102,Bang_Z,1))+B102)/2</f>
        <v/>
      </c>
      <c r="D102" s="28">
        <f>C102*1000000/dt_s</f>
        <v/>
      </c>
      <c r="E102" s="29">
        <f>MAX(A102-TC_Z,0)</f>
        <v/>
      </c>
      <c r="F102" s="30">
        <f>1-0.2*(TC_xmb+(TC_n-1)*TC_xmt)*E102/(TC_n*TC_b)</f>
        <v/>
      </c>
      <c r="G102" s="30">
        <f>1-0.2*(TC_xmb+(TC_n_sc-1)*TC_xmt)*E102/(TC_n_sc*TC_b)</f>
        <v/>
      </c>
      <c r="H102" s="31">
        <f>TC_s*F102*TC_m*TC_n*TC_b*SQRT(2*g_)*E102^1.5</f>
        <v/>
      </c>
      <c r="I102" s="31">
        <f>TC_s*G102*TC_m*TC_n_sc*TC_b*SQRT(2*g_)*E102^1.5</f>
        <v/>
      </c>
      <c r="J102" s="32">
        <f>MAX(A102-SC_Z,0)</f>
        <v/>
      </c>
      <c r="K102" s="33">
        <f>1-0.2*(SC_xmb+(SC_n-1)*SC_xmt)*J102/(SC_n*SC_b)</f>
        <v/>
      </c>
      <c r="L102" s="34">
        <f>SC_s*K102*SC_m*SC_n*SC_b*SQRT(2*g_)*J102^1.5</f>
        <v/>
      </c>
      <c r="M102" s="35">
        <f>H102+L102</f>
        <v/>
      </c>
      <c r="N102" s="35">
        <f>I102+L102</f>
        <v/>
      </c>
      <c r="O102" s="36">
        <f>D102-M102/2</f>
        <v/>
      </c>
      <c r="P102" s="36">
        <f>D102-N102/2</f>
        <v/>
      </c>
      <c r="Q102" s="36">
        <f>D102+M102/2</f>
        <v/>
      </c>
      <c r="R102" s="36">
        <f>D102+N102/2</f>
        <v/>
      </c>
    </row>
    <row r="103">
      <c r="A103" s="26">
        <f>ROUND(A102+0.1,2)</f>
        <v/>
      </c>
      <c r="B103" s="27">
        <f>INDEX(Bang_F,MATCH(A103,Bang_Z,1))+(A103-INDEX(Bang_Z,MATCH(A103,Bang_Z,1)))*(INDEX(Bang_F,MATCH(A103,Bang_Z,1)+1)-INDEX(Bang_F,MATCH(A103,Bang_Z,1)))</f>
        <v/>
      </c>
      <c r="C103" s="27">
        <f>INDEX(Bang_W,MATCH(A103,Bang_Z,1))+(A103-INDEX(Bang_Z,MATCH(A103,Bang_Z,1)))*(INDEX(Bang_F,MATCH(A103,Bang_Z,1))+B103)/2</f>
        <v/>
      </c>
      <c r="D103" s="28">
        <f>C103*1000000/dt_s</f>
        <v/>
      </c>
      <c r="E103" s="29">
        <f>MAX(A103-TC_Z,0)</f>
        <v/>
      </c>
      <c r="F103" s="30">
        <f>1-0.2*(TC_xmb+(TC_n-1)*TC_xmt)*E103/(TC_n*TC_b)</f>
        <v/>
      </c>
      <c r="G103" s="30">
        <f>1-0.2*(TC_xmb+(TC_n_sc-1)*TC_xmt)*E103/(TC_n_sc*TC_b)</f>
        <v/>
      </c>
      <c r="H103" s="31">
        <f>TC_s*F103*TC_m*TC_n*TC_b*SQRT(2*g_)*E103^1.5</f>
        <v/>
      </c>
      <c r="I103" s="31">
        <f>TC_s*G103*TC_m*TC_n_sc*TC_b*SQRT(2*g_)*E103^1.5</f>
        <v/>
      </c>
      <c r="J103" s="32">
        <f>MAX(A103-SC_Z,0)</f>
        <v/>
      </c>
      <c r="K103" s="33">
        <f>1-0.2*(SC_xmb+(SC_n-1)*SC_xmt)*J103/(SC_n*SC_b)</f>
        <v/>
      </c>
      <c r="L103" s="34">
        <f>SC_s*K103*SC_m*SC_n*SC_b*SQRT(2*g_)*J103^1.5</f>
        <v/>
      </c>
      <c r="M103" s="35">
        <f>H103+L103</f>
        <v/>
      </c>
      <c r="N103" s="35">
        <f>I103+L103</f>
        <v/>
      </c>
      <c r="O103" s="36">
        <f>D103-M103/2</f>
        <v/>
      </c>
      <c r="P103" s="36">
        <f>D103-N103/2</f>
        <v/>
      </c>
      <c r="Q103" s="36">
        <f>D103+M103/2</f>
        <v/>
      </c>
      <c r="R103" s="36">
        <f>D103+N103/2</f>
        <v/>
      </c>
    </row>
    <row r="104">
      <c r="A104" s="26">
        <f>ROUND(A103+0.1,2)</f>
        <v/>
      </c>
      <c r="B104" s="27">
        <f>INDEX(Bang_F,MATCH(A104,Bang_Z,1))+(A104-INDEX(Bang_Z,MATCH(A104,Bang_Z,1)))*(INDEX(Bang_F,MATCH(A104,Bang_Z,1)+1)-INDEX(Bang_F,MATCH(A104,Bang_Z,1)))</f>
        <v/>
      </c>
      <c r="C104" s="27">
        <f>INDEX(Bang_W,MATCH(A104,Bang_Z,1))+(A104-INDEX(Bang_Z,MATCH(A104,Bang_Z,1)))*(INDEX(Bang_F,MATCH(A104,Bang_Z,1))+B104)/2</f>
        <v/>
      </c>
      <c r="D104" s="28">
        <f>C104*1000000/dt_s</f>
        <v/>
      </c>
      <c r="E104" s="29">
        <f>MAX(A104-TC_Z,0)</f>
        <v/>
      </c>
      <c r="F104" s="30">
        <f>1-0.2*(TC_xmb+(TC_n-1)*TC_xmt)*E104/(TC_n*TC_b)</f>
        <v/>
      </c>
      <c r="G104" s="30">
        <f>1-0.2*(TC_xmb+(TC_n_sc-1)*TC_xmt)*E104/(TC_n_sc*TC_b)</f>
        <v/>
      </c>
      <c r="H104" s="31">
        <f>TC_s*F104*TC_m*TC_n*TC_b*SQRT(2*g_)*E104^1.5</f>
        <v/>
      </c>
      <c r="I104" s="31">
        <f>TC_s*G104*TC_m*TC_n_sc*TC_b*SQRT(2*g_)*E104^1.5</f>
        <v/>
      </c>
      <c r="J104" s="32">
        <f>MAX(A104-SC_Z,0)</f>
        <v/>
      </c>
      <c r="K104" s="33">
        <f>1-0.2*(SC_xmb+(SC_n-1)*SC_xmt)*J104/(SC_n*SC_b)</f>
        <v/>
      </c>
      <c r="L104" s="34">
        <f>SC_s*K104*SC_m*SC_n*SC_b*SQRT(2*g_)*J104^1.5</f>
        <v/>
      </c>
      <c r="M104" s="35">
        <f>H104+L104</f>
        <v/>
      </c>
      <c r="N104" s="35">
        <f>I104+L104</f>
        <v/>
      </c>
      <c r="O104" s="36">
        <f>D104-M104/2</f>
        <v/>
      </c>
      <c r="P104" s="36">
        <f>D104-N104/2</f>
        <v/>
      </c>
      <c r="Q104" s="36">
        <f>D104+M104/2</f>
        <v/>
      </c>
      <c r="R104" s="36">
        <f>D104+N104/2</f>
        <v/>
      </c>
    </row>
    <row r="105">
      <c r="A105" s="26">
        <f>ROUND(A104+0.1,2)</f>
        <v/>
      </c>
      <c r="B105" s="27">
        <f>INDEX(Bang_F,MATCH(A105,Bang_Z,1))+(A105-INDEX(Bang_Z,MATCH(A105,Bang_Z,1)))*(INDEX(Bang_F,MATCH(A105,Bang_Z,1)+1)-INDEX(Bang_F,MATCH(A105,Bang_Z,1)))</f>
        <v/>
      </c>
      <c r="C105" s="27">
        <f>INDEX(Bang_W,MATCH(A105,Bang_Z,1))+(A105-INDEX(Bang_Z,MATCH(A105,Bang_Z,1)))*(INDEX(Bang_F,MATCH(A105,Bang_Z,1))+B105)/2</f>
        <v/>
      </c>
      <c r="D105" s="28">
        <f>C105*1000000/dt_s</f>
        <v/>
      </c>
      <c r="E105" s="29">
        <f>MAX(A105-TC_Z,0)</f>
        <v/>
      </c>
      <c r="F105" s="30">
        <f>1-0.2*(TC_xmb+(TC_n-1)*TC_xmt)*E105/(TC_n*TC_b)</f>
        <v/>
      </c>
      <c r="G105" s="30">
        <f>1-0.2*(TC_xmb+(TC_n_sc-1)*TC_xmt)*E105/(TC_n_sc*TC_b)</f>
        <v/>
      </c>
      <c r="H105" s="31">
        <f>TC_s*F105*TC_m*TC_n*TC_b*SQRT(2*g_)*E105^1.5</f>
        <v/>
      </c>
      <c r="I105" s="31">
        <f>TC_s*G105*TC_m*TC_n_sc*TC_b*SQRT(2*g_)*E105^1.5</f>
        <v/>
      </c>
      <c r="J105" s="32">
        <f>MAX(A105-SC_Z,0)</f>
        <v/>
      </c>
      <c r="K105" s="33">
        <f>1-0.2*(SC_xmb+(SC_n-1)*SC_xmt)*J105/(SC_n*SC_b)</f>
        <v/>
      </c>
      <c r="L105" s="34">
        <f>SC_s*K105*SC_m*SC_n*SC_b*SQRT(2*g_)*J105^1.5</f>
        <v/>
      </c>
      <c r="M105" s="35">
        <f>H105+L105</f>
        <v/>
      </c>
      <c r="N105" s="35">
        <f>I105+L105</f>
        <v/>
      </c>
      <c r="O105" s="36">
        <f>D105-M105/2</f>
        <v/>
      </c>
      <c r="P105" s="36">
        <f>D105-N105/2</f>
        <v/>
      </c>
      <c r="Q105" s="36">
        <f>D105+M105/2</f>
        <v/>
      </c>
      <c r="R105" s="36">
        <f>D105+N105/2</f>
        <v/>
      </c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BAF7A"/>
    <outlinePr summaryBelow="1" summaryRight="1"/>
    <pageSetUpPr fitToPage="1"/>
  </sheetPr>
  <dimension ref="A1:F5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BIỂU ĐỒ PHỤ TRỢ PÔ-TA-PỐP: HAI ĐƯỜNG q ~ f₁ VÀ q ~ f₂</t>
        </is>
      </c>
    </row>
    <row r="2">
      <c r="A2" s="7" t="inlineStr">
        <is>
          <t>Cách dùng mỗi giờ: (1) từ q₁ trên trục đứng gióng ngang sang đường q ~ f₁, đọc f₁ trên trục ngang; (2) f₂ = f₁ + Qtb;</t>
        </is>
      </c>
    </row>
    <row r="3">
      <c r="A3" s="7" t="inlineStr">
        <is>
          <t>(3) từ f₂ trên trục ngang gióng thẳng lên đường q ~ f₂, đọc q₂ trên trục đứng. Hai đường cách nhau đúng bằng q theo phương ngang (f₂ − f₁ = q).</t>
        </is>
      </c>
    </row>
    <row r="4">
      <c r="A4" s="7" t="inlineStr">
        <is>
          <t>Số liệu vẽ lấy từ sheet QuanHe, mực nước +74,00 ÷ +80,00 m; muốn đổi khoảng vẽ: bấm chuột phải vào biểu đồ → Select Data.</t>
        </is>
      </c>
    </row>
    <row r="49">
      <c r="A49" s="8" t="inlineStr">
        <is>
          <t>Ví dụ tra giờ thứ 10 – sheet P1_BinhThuong (số liệu tự cập nhật)</t>
        </is>
      </c>
    </row>
    <row r="50">
      <c r="A50" s="9" t="inlineStr">
        <is>
          <t>Bước tra</t>
        </is>
      </c>
      <c r="B50" s="9" t="inlineStr">
        <is>
          <t>Giá trị</t>
        </is>
      </c>
      <c r="D50" s="9" t="inlineStr">
        <is>
          <t>Điểm gióng</t>
        </is>
      </c>
      <c r="E50" s="9" t="inlineStr">
        <is>
          <t>f (m³/s)</t>
        </is>
      </c>
      <c r="F50" s="9" t="inlineStr">
        <is>
          <t>q (m³/s)</t>
        </is>
      </c>
    </row>
    <row r="51">
      <c r="A51" s="12" t="inlineStr">
        <is>
          <t>Qtb = (Q₁ + Q₂)/2 (m³/s)</t>
        </is>
      </c>
      <c r="B51" s="37">
        <f>P1_BinhThuong!C26</f>
        <v/>
      </c>
      <c r="D51" s="14" t="inlineStr">
        <is>
          <t>q₁ trên trục q</t>
        </is>
      </c>
      <c r="E51" s="38" t="n">
        <v>8500</v>
      </c>
      <c r="F51" s="39">
        <f>B52</f>
        <v/>
      </c>
    </row>
    <row r="52">
      <c r="A52" s="12" t="inlineStr">
        <is>
          <t>q₁ – cuối giờ trước (m³/s)</t>
        </is>
      </c>
      <c r="B52" s="37">
        <f>P1_BinhThuong!D26</f>
        <v/>
      </c>
      <c r="D52" s="14" t="inlineStr">
        <is>
          <t>gặp đường f₁</t>
        </is>
      </c>
      <c r="E52" s="38">
        <f>B53</f>
        <v/>
      </c>
      <c r="F52" s="39">
        <f>B52</f>
        <v/>
      </c>
    </row>
    <row r="53">
      <c r="A53" s="12" t="inlineStr">
        <is>
          <t>f₁ – tra đường q ~ f₁ với q₁ (m³/s)</t>
        </is>
      </c>
      <c r="B53" s="37">
        <f>P1_BinhThuong!E26</f>
        <v/>
      </c>
      <c r="D53" s="14" t="inlineStr">
        <is>
          <t>+ Qtb → f₂</t>
        </is>
      </c>
      <c r="E53" s="38">
        <f>B54</f>
        <v/>
      </c>
      <c r="F53" s="39">
        <f>B52</f>
        <v/>
      </c>
    </row>
    <row r="54">
      <c r="A54" s="12" t="inlineStr">
        <is>
          <t>f₂ = f₁ + Qtb (m³/s)</t>
        </is>
      </c>
      <c r="B54" s="37">
        <f>P1_BinhThuong!F26</f>
        <v/>
      </c>
      <c r="D54" s="14" t="inlineStr">
        <is>
          <t>gặp đường f₂</t>
        </is>
      </c>
      <c r="E54" s="38">
        <f>B54</f>
        <v/>
      </c>
      <c r="F54" s="39">
        <f>B55</f>
        <v/>
      </c>
    </row>
    <row r="55">
      <c r="A55" s="12" t="inlineStr">
        <is>
          <t>q₂ – tra đường q ~ f₂ với f₂ (m³/s)</t>
        </is>
      </c>
      <c r="B55" s="37">
        <f>P1_BinhThuong!G26</f>
        <v/>
      </c>
      <c r="D55" s="14" t="inlineStr">
        <is>
          <t>q₂ trên trục q</t>
        </is>
      </c>
      <c r="E55" s="38" t="n">
        <v>8500</v>
      </c>
      <c r="F55" s="39">
        <f>B55</f>
        <v/>
      </c>
    </row>
    <row r="56">
      <c r="A56" s="12" t="inlineStr">
        <is>
          <t>Z₂ (m)</t>
        </is>
      </c>
      <c r="B56" s="40">
        <f>P1_BinhThuong!H26</f>
        <v/>
      </c>
      <c r="D56" s="7" t="inlineStr">
        <is>
          <t>Đường nét đứt trên biểu đồ vận hành bình thường.</t>
        </is>
      </c>
    </row>
  </sheetData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P64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6" t="inlineStr">
        <is>
          <t>ĐIỀU TIẾT LŨ – PHƯƠNG PHÁP PÔ-TA-PỐP, HAI ĐƯỜNG q ~ f₁, q ~ f₂ (Δt = 1 giờ)</t>
        </is>
      </c>
    </row>
    <row r="3">
      <c r="A3" s="12" t="inlineStr">
        <is>
          <t>Tần suất P (%)</t>
        </is>
      </c>
      <c r="B3" s="11" t="n"/>
      <c r="C3" s="41" t="n">
        <v>1</v>
      </c>
      <c r="D3" s="12" t="inlineStr">
        <is>
          <t>Trường hợp</t>
        </is>
      </c>
      <c r="E3" s="11" t="n"/>
      <c r="F3" s="42" t="inlineStr">
        <is>
          <t>Bình thường</t>
        </is>
      </c>
      <c r="G3" s="11" t="n"/>
      <c r="H3" s="7" t="inlineStr">
        <is>
          <t>← sửa ô vàng: P = 1 hoặc 0,2; trường hợp “Bình thường” hoặc “Sự cố” (1 cửa tràn chính không mở)</t>
        </is>
      </c>
    </row>
    <row r="4">
      <c r="A4" s="15" t="inlineStr">
        <is>
          <t>Cột lũ</t>
        </is>
      </c>
      <c r="B4" s="11" t="n"/>
      <c r="C4" s="38">
        <f>MATCH(C3,Lu_P,0)</f>
        <v/>
      </c>
      <c r="D4" s="15" t="inlineStr">
        <is>
          <t>Cột bảng tra</t>
        </is>
      </c>
      <c r="E4" s="11" t="n"/>
      <c r="F4" s="38">
        <f>IF(F3="Sự cố",2,1)</f>
        <v/>
      </c>
    </row>
    <row r="5">
      <c r="H5" s="7" t="inlineStr">
        <is>
          <t>Giờ 0: Z = MNDBT, q = q(MNDBT). Từ giờ 1: q₁ → tra đường q ~ f₁ được f₁ → f₂ = f₁ + Qtb → tra đường q ~ f₂ được q₂, Z₂, V₂.</t>
        </is>
      </c>
    </row>
    <row r="6">
      <c r="A6" s="12" t="inlineStr">
        <is>
          <t>Mực nước lớn nhất Zmax (m)</t>
        </is>
      </c>
      <c r="B6" s="10" t="n"/>
      <c r="C6" s="10" t="n"/>
      <c r="D6" s="10" t="n"/>
      <c r="E6" s="11" t="n"/>
      <c r="F6" s="18">
        <f>MAX(H16:H64)</f>
        <v/>
      </c>
      <c r="H6" s="7" t="inlineStr">
        <is>
          <t>Cột M, N: vị trí tra q₁; cột O, P: vị trí tra f₂ trong bảng QuanHe. Cột L kiểm tra V₂/Δt + q₂/2 = f₂.</t>
        </is>
      </c>
    </row>
    <row r="7">
      <c r="A7" s="12" t="inlineStr">
        <is>
          <t>Thời điểm xuất hiện (giờ)</t>
        </is>
      </c>
      <c r="B7" s="10" t="n"/>
      <c r="C7" s="10" t="n"/>
      <c r="D7" s="10" t="n"/>
      <c r="E7" s="11" t="n"/>
      <c r="F7" s="17">
        <f>INDEX(A16:A64,MATCH(MAX(H16:H64),H16:H64,0))</f>
        <v/>
      </c>
    </row>
    <row r="8">
      <c r="A8" s="12" t="inlineStr">
        <is>
          <t>Lưu lượng xả lớn nhất qmax (m³/s)</t>
        </is>
      </c>
      <c r="B8" s="10" t="n"/>
      <c r="C8" s="10" t="n"/>
      <c r="D8" s="10" t="n"/>
      <c r="E8" s="11" t="n"/>
      <c r="F8" s="37">
        <f>MAX(G16:G64)</f>
        <v/>
      </c>
    </row>
    <row r="9">
      <c r="A9" s="12" t="inlineStr">
        <is>
          <t>Lúc Zmax: q tràn chính / q tràn sự cố (m³/s)</t>
        </is>
      </c>
      <c r="B9" s="10" t="n"/>
      <c r="C9" s="10" t="n"/>
      <c r="D9" s="10" t="n"/>
      <c r="E9" s="11" t="n"/>
      <c r="F9" s="37">
        <f>INDEX(I16:I64,MATCH(MAX(H16:H64),H16:H64,0))</f>
        <v/>
      </c>
      <c r="G9" s="37">
        <f>INDEX(J16:J64,MATCH(MAX(H16:H64),H16:H64,0))</f>
        <v/>
      </c>
    </row>
    <row r="10">
      <c r="A10" s="12" t="inlineStr">
        <is>
          <t>Cột nước trên ngưỡng lúc Zmax: tràn chính / tràn sự cố (m)</t>
        </is>
      </c>
      <c r="B10" s="10" t="n"/>
      <c r="C10" s="10" t="n"/>
      <c r="D10" s="10" t="n"/>
      <c r="E10" s="11" t="n"/>
      <c r="F10" s="18">
        <f>F6-TC_Z</f>
        <v/>
      </c>
      <c r="G10" s="18">
        <f>F6-SC_Z</f>
        <v/>
      </c>
    </row>
    <row r="11">
      <c r="A11" s="12" t="inlineStr">
        <is>
          <t>Dung tích phòng lũ V(Zmax) − V(MNDBT) (10⁶ m³)</t>
        </is>
      </c>
      <c r="B11" s="10" t="n"/>
      <c r="C11" s="10" t="n"/>
      <c r="D11" s="10" t="n"/>
      <c r="E11" s="11" t="n"/>
      <c r="F11" s="40">
        <f>INDEX(K16:K64,MATCH(MAX(H16:H64),H16:H64,0))-K16</f>
        <v/>
      </c>
    </row>
    <row r="12">
      <c r="A12" s="12" t="inlineStr">
        <is>
          <t>Cân bằng nước: W đến − W xả − ΔV (10⁶ m³, phải ≈ 0)</t>
        </is>
      </c>
      <c r="B12" s="10" t="n"/>
      <c r="C12" s="10" t="n"/>
      <c r="D12" s="10" t="n"/>
      <c r="E12" s="11" t="n"/>
      <c r="F12" s="43">
        <f>SUMPRODUCT((B16:B63+B17:B64)/2)*dt_s/1000000-SUMPRODUCT((G16:G63+G17:G64)/2)*dt_s/1000000-(K64-K16)</f>
        <v/>
      </c>
    </row>
    <row r="15" ht="58" customHeight="1">
      <c r="A15" s="9" t="inlineStr">
        <is>
          <t>t (giờ)</t>
        </is>
      </c>
      <c r="B15" s="9" t="inlineStr">
        <is>
          <t>Q đến (m³/s)</t>
        </is>
      </c>
      <c r="C15" s="9" t="inlineStr">
        <is>
          <t>Qtb = (Q₁+Q₂)/2</t>
        </is>
      </c>
      <c r="D15" s="9" t="inlineStr">
        <is>
          <t>q₁ (cuối giờ trước)</t>
        </is>
      </c>
      <c r="E15" s="9" t="inlineStr">
        <is>
          <t>f₁ – tra đường q ~ f₁ với q₁</t>
        </is>
      </c>
      <c r="F15" s="9" t="inlineStr">
        <is>
          <t>f₂ = f₁ + Qtb</t>
        </is>
      </c>
      <c r="G15" s="9" t="inlineStr">
        <is>
          <t>q₂ – tra đường q ~ f₂ với f₂</t>
        </is>
      </c>
      <c r="H15" s="9" t="inlineStr">
        <is>
          <t>Z₂ (m)</t>
        </is>
      </c>
      <c r="I15" s="9" t="inlineStr">
        <is>
          <t>q tràn chính (m³/s)</t>
        </is>
      </c>
      <c r="J15" s="9" t="inlineStr">
        <is>
          <t>q tràn sự cố (m³/s)</t>
        </is>
      </c>
      <c r="K15" s="9" t="inlineStr">
        <is>
          <t>V₂ (10⁶ m³)</t>
        </is>
      </c>
      <c r="L15" s="9" t="inlineStr">
        <is>
          <t>Kiểm tra V₂/Δt + q₂/2 (= f₂)</t>
        </is>
      </c>
      <c r="M15" s="9" t="inlineStr">
        <is>
          <t>k₁ – dòng tra q₁</t>
        </is>
      </c>
      <c r="N15" s="9" t="inlineStr">
        <is>
          <t>w₁</t>
        </is>
      </c>
      <c r="O15" s="9" t="inlineStr">
        <is>
          <t>k – dòng tra f₂</t>
        </is>
      </c>
      <c r="P15" s="9" t="inlineStr">
        <is>
          <t>w</t>
        </is>
      </c>
    </row>
    <row r="16">
      <c r="A16" s="44" t="n">
        <v>0</v>
      </c>
      <c r="B16" s="39">
        <f>IFERROR(INDEX(Lu_Q,MATCH(A16,Lu_t,0),$C$4),0)</f>
        <v/>
      </c>
      <c r="C16" s="39" t="inlineStr"/>
      <c r="D16" s="39" t="inlineStr"/>
      <c r="E16" s="45" t="inlineStr"/>
      <c r="F16" s="45" t="inlineStr"/>
      <c r="G16" s="46">
        <f>INDEX(QH_q,O16,$F$4)+P16*(INDEX(QH_q,O16+1,$F$4)-INDEX(QH_q,O16,$F$4))</f>
        <v/>
      </c>
      <c r="H16" s="47">
        <f>INDEX(QH_Z,O16)+P16*(INDEX(QH_Z,O16+1)-INDEX(QH_Z,O16))</f>
        <v/>
      </c>
      <c r="I16" s="48">
        <f>INDEX(QH_qtc,O16,$F$4)+P16*(INDEX(QH_qtc,O16+1,$F$4)-INDEX(QH_qtc,O16,$F$4))</f>
        <v/>
      </c>
      <c r="J16" s="49">
        <f>INDEX(QH_qsc,O16)+P16*(INDEX(QH_qsc,O16+1)-INDEX(QH_qsc,O16))</f>
        <v/>
      </c>
      <c r="K16" s="25">
        <f>INDEX(QH_V,O16)+P16*(INDEX(QH_V,O16+1)-INDEX(QH_V,O16))</f>
        <v/>
      </c>
      <c r="L16" s="39">
        <f>K16*1000000/dt_s+G16/2</f>
        <v/>
      </c>
      <c r="M16" s="50" t="inlineStr"/>
      <c r="N16" s="51" t="inlineStr"/>
      <c r="O16" s="50">
        <f>MATCH(Z0,QH_Z,1)</f>
        <v/>
      </c>
      <c r="P16" s="51">
        <f>(Z0-INDEX(QH_Z,O16))/(INDEX(QH_Z,O16+1)-INDEX(QH_Z,O16))</f>
        <v/>
      </c>
    </row>
    <row r="17">
      <c r="A17" s="44" t="n">
        <v>1</v>
      </c>
      <c r="B17" s="39">
        <f>IFERROR(INDEX(Lu_Q,MATCH(A17,Lu_t,0),$C$4),0)</f>
        <v/>
      </c>
      <c r="C17" s="39">
        <f>(B16+B17)/2</f>
        <v/>
      </c>
      <c r="D17" s="39">
        <f>G16</f>
        <v/>
      </c>
      <c r="E17" s="45">
        <f>INDEX(QH_f1,M17,$F$4)+N17*(INDEX(QH_f1,M17+1,$F$4)-INDEX(QH_f1,M17,$F$4))</f>
        <v/>
      </c>
      <c r="F17" s="45">
        <f>E17+C17</f>
        <v/>
      </c>
      <c r="G17" s="46">
        <f>INDEX(QH_q,O17,$F$4)+P17*(INDEX(QH_q,O17+1,$F$4)-INDEX(QH_q,O17,$F$4))</f>
        <v/>
      </c>
      <c r="H17" s="47">
        <f>INDEX(QH_Z,O17)+P17*(INDEX(QH_Z,O17+1)-INDEX(QH_Z,O17))</f>
        <v/>
      </c>
      <c r="I17" s="48">
        <f>INDEX(QH_qtc,O17,$F$4)+P17*(INDEX(QH_qtc,O17+1,$F$4)-INDEX(QH_qtc,O17,$F$4))</f>
        <v/>
      </c>
      <c r="J17" s="49">
        <f>INDEX(QH_qsc,O17)+P17*(INDEX(QH_qsc,O17+1)-INDEX(QH_qsc,O17))</f>
        <v/>
      </c>
      <c r="K17" s="25">
        <f>INDEX(QH_V,O17)+P17*(INDEX(QH_V,O17+1)-INDEX(QH_V,O17))</f>
        <v/>
      </c>
      <c r="L17" s="39">
        <f>K17*1000000/dt_s+G17/2</f>
        <v/>
      </c>
      <c r="M17" s="50">
        <f>MATCH(D17,INDEX(QH_q,0,$F$4),1)</f>
        <v/>
      </c>
      <c r="N17" s="51">
        <f>(D17-INDEX(QH_q,M17,$F$4))/(INDEX(QH_q,M17+1,$F$4)-INDEX(QH_q,M17,$F$4))</f>
        <v/>
      </c>
      <c r="O17" s="50">
        <f>MATCH(F17,INDEX(QH_f2,0,$F$4),1)</f>
        <v/>
      </c>
      <c r="P17" s="51">
        <f>(F17-INDEX(QH_f2,O17,$F$4))/(INDEX(QH_f2,O17+1,$F$4)-INDEX(QH_f2,O17,$F$4))</f>
        <v/>
      </c>
    </row>
    <row r="18">
      <c r="A18" s="44" t="n">
        <v>2</v>
      </c>
      <c r="B18" s="39">
        <f>IFERROR(INDEX(Lu_Q,MATCH(A18,Lu_t,0),$C$4),0)</f>
        <v/>
      </c>
      <c r="C18" s="39">
        <f>(B17+B18)/2</f>
        <v/>
      </c>
      <c r="D18" s="39">
        <f>G17</f>
        <v/>
      </c>
      <c r="E18" s="45">
        <f>INDEX(QH_f1,M18,$F$4)+N18*(INDEX(QH_f1,M18+1,$F$4)-INDEX(QH_f1,M18,$F$4))</f>
        <v/>
      </c>
      <c r="F18" s="45">
        <f>E18+C18</f>
        <v/>
      </c>
      <c r="G18" s="46">
        <f>INDEX(QH_q,O18,$F$4)+P18*(INDEX(QH_q,O18+1,$F$4)-INDEX(QH_q,O18,$F$4))</f>
        <v/>
      </c>
      <c r="H18" s="47">
        <f>INDEX(QH_Z,O18)+P18*(INDEX(QH_Z,O18+1)-INDEX(QH_Z,O18))</f>
        <v/>
      </c>
      <c r="I18" s="48">
        <f>INDEX(QH_qtc,O18,$F$4)+P18*(INDEX(QH_qtc,O18+1,$F$4)-INDEX(QH_qtc,O18,$F$4))</f>
        <v/>
      </c>
      <c r="J18" s="49">
        <f>INDEX(QH_qsc,O18)+P18*(INDEX(QH_qsc,O18+1)-INDEX(QH_qsc,O18))</f>
        <v/>
      </c>
      <c r="K18" s="25">
        <f>INDEX(QH_V,O18)+P18*(INDEX(QH_V,O18+1)-INDEX(QH_V,O18))</f>
        <v/>
      </c>
      <c r="L18" s="39">
        <f>K18*1000000/dt_s+G18/2</f>
        <v/>
      </c>
      <c r="M18" s="50">
        <f>MATCH(D18,INDEX(QH_q,0,$F$4),1)</f>
        <v/>
      </c>
      <c r="N18" s="51">
        <f>(D18-INDEX(QH_q,M18,$F$4))/(INDEX(QH_q,M18+1,$F$4)-INDEX(QH_q,M18,$F$4))</f>
        <v/>
      </c>
      <c r="O18" s="50">
        <f>MATCH(F18,INDEX(QH_f2,0,$F$4),1)</f>
        <v/>
      </c>
      <c r="P18" s="51">
        <f>(F18-INDEX(QH_f2,O18,$F$4))/(INDEX(QH_f2,O18+1,$F$4)-INDEX(QH_f2,O18,$F$4))</f>
        <v/>
      </c>
    </row>
    <row r="19">
      <c r="A19" s="44" t="n">
        <v>3</v>
      </c>
      <c r="B19" s="39">
        <f>IFERROR(INDEX(Lu_Q,MATCH(A19,Lu_t,0),$C$4),0)</f>
        <v/>
      </c>
      <c r="C19" s="39">
        <f>(B18+B19)/2</f>
        <v/>
      </c>
      <c r="D19" s="39">
        <f>G18</f>
        <v/>
      </c>
      <c r="E19" s="45">
        <f>INDEX(QH_f1,M19,$F$4)+N19*(INDEX(QH_f1,M19+1,$F$4)-INDEX(QH_f1,M19,$F$4))</f>
        <v/>
      </c>
      <c r="F19" s="45">
        <f>E19+C19</f>
        <v/>
      </c>
      <c r="G19" s="46">
        <f>INDEX(QH_q,O19,$F$4)+P19*(INDEX(QH_q,O19+1,$F$4)-INDEX(QH_q,O19,$F$4))</f>
        <v/>
      </c>
      <c r="H19" s="47">
        <f>INDEX(QH_Z,O19)+P19*(INDEX(QH_Z,O19+1)-INDEX(QH_Z,O19))</f>
        <v/>
      </c>
      <c r="I19" s="48">
        <f>INDEX(QH_qtc,O19,$F$4)+P19*(INDEX(QH_qtc,O19+1,$F$4)-INDEX(QH_qtc,O19,$F$4))</f>
        <v/>
      </c>
      <c r="J19" s="49">
        <f>INDEX(QH_qsc,O19)+P19*(INDEX(QH_qsc,O19+1)-INDEX(QH_qsc,O19))</f>
        <v/>
      </c>
      <c r="K19" s="25">
        <f>INDEX(QH_V,O19)+P19*(INDEX(QH_V,O19+1)-INDEX(QH_V,O19))</f>
        <v/>
      </c>
      <c r="L19" s="39">
        <f>K19*1000000/dt_s+G19/2</f>
        <v/>
      </c>
      <c r="M19" s="50">
        <f>MATCH(D19,INDEX(QH_q,0,$F$4),1)</f>
        <v/>
      </c>
      <c r="N19" s="51">
        <f>(D19-INDEX(QH_q,M19,$F$4))/(INDEX(QH_q,M19+1,$F$4)-INDEX(QH_q,M19,$F$4))</f>
        <v/>
      </c>
      <c r="O19" s="50">
        <f>MATCH(F19,INDEX(QH_f2,0,$F$4),1)</f>
        <v/>
      </c>
      <c r="P19" s="51">
        <f>(F19-INDEX(QH_f2,O19,$F$4))/(INDEX(QH_f2,O19+1,$F$4)-INDEX(QH_f2,O19,$F$4))</f>
        <v/>
      </c>
    </row>
    <row r="20">
      <c r="A20" s="44" t="n">
        <v>4</v>
      </c>
      <c r="B20" s="39">
        <f>IFERROR(INDEX(Lu_Q,MATCH(A20,Lu_t,0),$C$4),0)</f>
        <v/>
      </c>
      <c r="C20" s="39">
        <f>(B19+B20)/2</f>
        <v/>
      </c>
      <c r="D20" s="39">
        <f>G19</f>
        <v/>
      </c>
      <c r="E20" s="45">
        <f>INDEX(QH_f1,M20,$F$4)+N20*(INDEX(QH_f1,M20+1,$F$4)-INDEX(QH_f1,M20,$F$4))</f>
        <v/>
      </c>
      <c r="F20" s="45">
        <f>E20+C20</f>
        <v/>
      </c>
      <c r="G20" s="46">
        <f>INDEX(QH_q,O20,$F$4)+P20*(INDEX(QH_q,O20+1,$F$4)-INDEX(QH_q,O20,$F$4))</f>
        <v/>
      </c>
      <c r="H20" s="47">
        <f>INDEX(QH_Z,O20)+P20*(INDEX(QH_Z,O20+1)-INDEX(QH_Z,O20))</f>
        <v/>
      </c>
      <c r="I20" s="48">
        <f>INDEX(QH_qtc,O20,$F$4)+P20*(INDEX(QH_qtc,O20+1,$F$4)-INDEX(QH_qtc,O20,$F$4))</f>
        <v/>
      </c>
      <c r="J20" s="49">
        <f>INDEX(QH_qsc,O20)+P20*(INDEX(QH_qsc,O20+1)-INDEX(QH_qsc,O20))</f>
        <v/>
      </c>
      <c r="K20" s="25">
        <f>INDEX(QH_V,O20)+P20*(INDEX(QH_V,O20+1)-INDEX(QH_V,O20))</f>
        <v/>
      </c>
      <c r="L20" s="39">
        <f>K20*1000000/dt_s+G20/2</f>
        <v/>
      </c>
      <c r="M20" s="50">
        <f>MATCH(D20,INDEX(QH_q,0,$F$4),1)</f>
        <v/>
      </c>
      <c r="N20" s="51">
        <f>(D20-INDEX(QH_q,M20,$F$4))/(INDEX(QH_q,M20+1,$F$4)-INDEX(QH_q,M20,$F$4))</f>
        <v/>
      </c>
      <c r="O20" s="50">
        <f>MATCH(F20,INDEX(QH_f2,0,$F$4),1)</f>
        <v/>
      </c>
      <c r="P20" s="51">
        <f>(F20-INDEX(QH_f2,O20,$F$4))/(INDEX(QH_f2,O20+1,$F$4)-INDEX(QH_f2,O20,$F$4))</f>
        <v/>
      </c>
    </row>
    <row r="21">
      <c r="A21" s="44" t="n">
        <v>5</v>
      </c>
      <c r="B21" s="39">
        <f>IFERROR(INDEX(Lu_Q,MATCH(A21,Lu_t,0),$C$4),0)</f>
        <v/>
      </c>
      <c r="C21" s="39">
        <f>(B20+B21)/2</f>
        <v/>
      </c>
      <c r="D21" s="39">
        <f>G20</f>
        <v/>
      </c>
      <c r="E21" s="45">
        <f>INDEX(QH_f1,M21,$F$4)+N21*(INDEX(QH_f1,M21+1,$F$4)-INDEX(QH_f1,M21,$F$4))</f>
        <v/>
      </c>
      <c r="F21" s="45">
        <f>E21+C21</f>
        <v/>
      </c>
      <c r="G21" s="46">
        <f>INDEX(QH_q,O21,$F$4)+P21*(INDEX(QH_q,O21+1,$F$4)-INDEX(QH_q,O21,$F$4))</f>
        <v/>
      </c>
      <c r="H21" s="47">
        <f>INDEX(QH_Z,O21)+P21*(INDEX(QH_Z,O21+1)-INDEX(QH_Z,O21))</f>
        <v/>
      </c>
      <c r="I21" s="48">
        <f>INDEX(QH_qtc,O21,$F$4)+P21*(INDEX(QH_qtc,O21+1,$F$4)-INDEX(QH_qtc,O21,$F$4))</f>
        <v/>
      </c>
      <c r="J21" s="49">
        <f>INDEX(QH_qsc,O21)+P21*(INDEX(QH_qsc,O21+1)-INDEX(QH_qsc,O21))</f>
        <v/>
      </c>
      <c r="K21" s="25">
        <f>INDEX(QH_V,O21)+P21*(INDEX(QH_V,O21+1)-INDEX(QH_V,O21))</f>
        <v/>
      </c>
      <c r="L21" s="39">
        <f>K21*1000000/dt_s+G21/2</f>
        <v/>
      </c>
      <c r="M21" s="50">
        <f>MATCH(D21,INDEX(QH_q,0,$F$4),1)</f>
        <v/>
      </c>
      <c r="N21" s="51">
        <f>(D21-INDEX(QH_q,M21,$F$4))/(INDEX(QH_q,M21+1,$F$4)-INDEX(QH_q,M21,$F$4))</f>
        <v/>
      </c>
      <c r="O21" s="50">
        <f>MATCH(F21,INDEX(QH_f2,0,$F$4),1)</f>
        <v/>
      </c>
      <c r="P21" s="51">
        <f>(F21-INDEX(QH_f2,O21,$F$4))/(INDEX(QH_f2,O21+1,$F$4)-INDEX(QH_f2,O21,$F$4))</f>
        <v/>
      </c>
    </row>
    <row r="22">
      <c r="A22" s="44" t="n">
        <v>6</v>
      </c>
      <c r="B22" s="39">
        <f>IFERROR(INDEX(Lu_Q,MATCH(A22,Lu_t,0),$C$4),0)</f>
        <v/>
      </c>
      <c r="C22" s="39">
        <f>(B21+B22)/2</f>
        <v/>
      </c>
      <c r="D22" s="39">
        <f>G21</f>
        <v/>
      </c>
      <c r="E22" s="45">
        <f>INDEX(QH_f1,M22,$F$4)+N22*(INDEX(QH_f1,M22+1,$F$4)-INDEX(QH_f1,M22,$F$4))</f>
        <v/>
      </c>
      <c r="F22" s="45">
        <f>E22+C22</f>
        <v/>
      </c>
      <c r="G22" s="46">
        <f>INDEX(QH_q,O22,$F$4)+P22*(INDEX(QH_q,O22+1,$F$4)-INDEX(QH_q,O22,$F$4))</f>
        <v/>
      </c>
      <c r="H22" s="47">
        <f>INDEX(QH_Z,O22)+P22*(INDEX(QH_Z,O22+1)-INDEX(QH_Z,O22))</f>
        <v/>
      </c>
      <c r="I22" s="48">
        <f>INDEX(QH_qtc,O22,$F$4)+P22*(INDEX(QH_qtc,O22+1,$F$4)-INDEX(QH_qtc,O22,$F$4))</f>
        <v/>
      </c>
      <c r="J22" s="49">
        <f>INDEX(QH_qsc,O22)+P22*(INDEX(QH_qsc,O22+1)-INDEX(QH_qsc,O22))</f>
        <v/>
      </c>
      <c r="K22" s="25">
        <f>INDEX(QH_V,O22)+P22*(INDEX(QH_V,O22+1)-INDEX(QH_V,O22))</f>
        <v/>
      </c>
      <c r="L22" s="39">
        <f>K22*1000000/dt_s+G22/2</f>
        <v/>
      </c>
      <c r="M22" s="50">
        <f>MATCH(D22,INDEX(QH_q,0,$F$4),1)</f>
        <v/>
      </c>
      <c r="N22" s="51">
        <f>(D22-INDEX(QH_q,M22,$F$4))/(INDEX(QH_q,M22+1,$F$4)-INDEX(QH_q,M22,$F$4))</f>
        <v/>
      </c>
      <c r="O22" s="50">
        <f>MATCH(F22,INDEX(QH_f2,0,$F$4),1)</f>
        <v/>
      </c>
      <c r="P22" s="51">
        <f>(F22-INDEX(QH_f2,O22,$F$4))/(INDEX(QH_f2,O22+1,$F$4)-INDEX(QH_f2,O22,$F$4))</f>
        <v/>
      </c>
    </row>
    <row r="23">
      <c r="A23" s="44" t="n">
        <v>7</v>
      </c>
      <c r="B23" s="39">
        <f>IFERROR(INDEX(Lu_Q,MATCH(A23,Lu_t,0),$C$4),0)</f>
        <v/>
      </c>
      <c r="C23" s="39">
        <f>(B22+B23)/2</f>
        <v/>
      </c>
      <c r="D23" s="39">
        <f>G22</f>
        <v/>
      </c>
      <c r="E23" s="45">
        <f>INDEX(QH_f1,M23,$F$4)+N23*(INDEX(QH_f1,M23+1,$F$4)-INDEX(QH_f1,M23,$F$4))</f>
        <v/>
      </c>
      <c r="F23" s="45">
        <f>E23+C23</f>
        <v/>
      </c>
      <c r="G23" s="46">
        <f>INDEX(QH_q,O23,$F$4)+P23*(INDEX(QH_q,O23+1,$F$4)-INDEX(QH_q,O23,$F$4))</f>
        <v/>
      </c>
      <c r="H23" s="47">
        <f>INDEX(QH_Z,O23)+P23*(INDEX(QH_Z,O23+1)-INDEX(QH_Z,O23))</f>
        <v/>
      </c>
      <c r="I23" s="48">
        <f>INDEX(QH_qtc,O23,$F$4)+P23*(INDEX(QH_qtc,O23+1,$F$4)-INDEX(QH_qtc,O23,$F$4))</f>
        <v/>
      </c>
      <c r="J23" s="49">
        <f>INDEX(QH_qsc,O23)+P23*(INDEX(QH_qsc,O23+1)-INDEX(QH_qsc,O23))</f>
        <v/>
      </c>
      <c r="K23" s="25">
        <f>INDEX(QH_V,O23)+P23*(INDEX(QH_V,O23+1)-INDEX(QH_V,O23))</f>
        <v/>
      </c>
      <c r="L23" s="39">
        <f>K23*1000000/dt_s+G23/2</f>
        <v/>
      </c>
      <c r="M23" s="50">
        <f>MATCH(D23,INDEX(QH_q,0,$F$4),1)</f>
        <v/>
      </c>
      <c r="N23" s="51">
        <f>(D23-INDEX(QH_q,M23,$F$4))/(INDEX(QH_q,M23+1,$F$4)-INDEX(QH_q,M23,$F$4))</f>
        <v/>
      </c>
      <c r="O23" s="50">
        <f>MATCH(F23,INDEX(QH_f2,0,$F$4),1)</f>
        <v/>
      </c>
      <c r="P23" s="51">
        <f>(F23-INDEX(QH_f2,O23,$F$4))/(INDEX(QH_f2,O23+1,$F$4)-INDEX(QH_f2,O23,$F$4))</f>
        <v/>
      </c>
    </row>
    <row r="24">
      <c r="A24" s="44" t="n">
        <v>8</v>
      </c>
      <c r="B24" s="39">
        <f>IFERROR(INDEX(Lu_Q,MATCH(A24,Lu_t,0),$C$4),0)</f>
        <v/>
      </c>
      <c r="C24" s="39">
        <f>(B23+B24)/2</f>
        <v/>
      </c>
      <c r="D24" s="39">
        <f>G23</f>
        <v/>
      </c>
      <c r="E24" s="45">
        <f>INDEX(QH_f1,M24,$F$4)+N24*(INDEX(QH_f1,M24+1,$F$4)-INDEX(QH_f1,M24,$F$4))</f>
        <v/>
      </c>
      <c r="F24" s="45">
        <f>E24+C24</f>
        <v/>
      </c>
      <c r="G24" s="46">
        <f>INDEX(QH_q,O24,$F$4)+P24*(INDEX(QH_q,O24+1,$F$4)-INDEX(QH_q,O24,$F$4))</f>
        <v/>
      </c>
      <c r="H24" s="47">
        <f>INDEX(QH_Z,O24)+P24*(INDEX(QH_Z,O24+1)-INDEX(QH_Z,O24))</f>
        <v/>
      </c>
      <c r="I24" s="48">
        <f>INDEX(QH_qtc,O24,$F$4)+P24*(INDEX(QH_qtc,O24+1,$F$4)-INDEX(QH_qtc,O24,$F$4))</f>
        <v/>
      </c>
      <c r="J24" s="49">
        <f>INDEX(QH_qsc,O24)+P24*(INDEX(QH_qsc,O24+1)-INDEX(QH_qsc,O24))</f>
        <v/>
      </c>
      <c r="K24" s="25">
        <f>INDEX(QH_V,O24)+P24*(INDEX(QH_V,O24+1)-INDEX(QH_V,O24))</f>
        <v/>
      </c>
      <c r="L24" s="39">
        <f>K24*1000000/dt_s+G24/2</f>
        <v/>
      </c>
      <c r="M24" s="50">
        <f>MATCH(D24,INDEX(QH_q,0,$F$4),1)</f>
        <v/>
      </c>
      <c r="N24" s="51">
        <f>(D24-INDEX(QH_q,M24,$F$4))/(INDEX(QH_q,M24+1,$F$4)-INDEX(QH_q,M24,$F$4))</f>
        <v/>
      </c>
      <c r="O24" s="50">
        <f>MATCH(F24,INDEX(QH_f2,0,$F$4),1)</f>
        <v/>
      </c>
      <c r="P24" s="51">
        <f>(F24-INDEX(QH_f2,O24,$F$4))/(INDEX(QH_f2,O24+1,$F$4)-INDEX(QH_f2,O24,$F$4))</f>
        <v/>
      </c>
    </row>
    <row r="25">
      <c r="A25" s="44" t="n">
        <v>9</v>
      </c>
      <c r="B25" s="39">
        <f>IFERROR(INDEX(Lu_Q,MATCH(A25,Lu_t,0),$C$4),0)</f>
        <v/>
      </c>
      <c r="C25" s="39">
        <f>(B24+B25)/2</f>
        <v/>
      </c>
      <c r="D25" s="39">
        <f>G24</f>
        <v/>
      </c>
      <c r="E25" s="45">
        <f>INDEX(QH_f1,M25,$F$4)+N25*(INDEX(QH_f1,M25+1,$F$4)-INDEX(QH_f1,M25,$F$4))</f>
        <v/>
      </c>
      <c r="F25" s="45">
        <f>E25+C25</f>
        <v/>
      </c>
      <c r="G25" s="46">
        <f>INDEX(QH_q,O25,$F$4)+P25*(INDEX(QH_q,O25+1,$F$4)-INDEX(QH_q,O25,$F$4))</f>
        <v/>
      </c>
      <c r="H25" s="47">
        <f>INDEX(QH_Z,O25)+P25*(INDEX(QH_Z,O25+1)-INDEX(QH_Z,O25))</f>
        <v/>
      </c>
      <c r="I25" s="48">
        <f>INDEX(QH_qtc,O25,$F$4)+P25*(INDEX(QH_qtc,O25+1,$F$4)-INDEX(QH_qtc,O25,$F$4))</f>
        <v/>
      </c>
      <c r="J25" s="49">
        <f>INDEX(QH_qsc,O25)+P25*(INDEX(QH_qsc,O25+1)-INDEX(QH_qsc,O25))</f>
        <v/>
      </c>
      <c r="K25" s="25">
        <f>INDEX(QH_V,O25)+P25*(INDEX(QH_V,O25+1)-INDEX(QH_V,O25))</f>
        <v/>
      </c>
      <c r="L25" s="39">
        <f>K25*1000000/dt_s+G25/2</f>
        <v/>
      </c>
      <c r="M25" s="50">
        <f>MATCH(D25,INDEX(QH_q,0,$F$4),1)</f>
        <v/>
      </c>
      <c r="N25" s="51">
        <f>(D25-INDEX(QH_q,M25,$F$4))/(INDEX(QH_q,M25+1,$F$4)-INDEX(QH_q,M25,$F$4))</f>
        <v/>
      </c>
      <c r="O25" s="50">
        <f>MATCH(F25,INDEX(QH_f2,0,$F$4),1)</f>
        <v/>
      </c>
      <c r="P25" s="51">
        <f>(F25-INDEX(QH_f2,O25,$F$4))/(INDEX(QH_f2,O25+1,$F$4)-INDEX(QH_f2,O25,$F$4))</f>
        <v/>
      </c>
    </row>
    <row r="26">
      <c r="A26" s="44" t="n">
        <v>10</v>
      </c>
      <c r="B26" s="39">
        <f>IFERROR(INDEX(Lu_Q,MATCH(A26,Lu_t,0),$C$4),0)</f>
        <v/>
      </c>
      <c r="C26" s="39">
        <f>(B25+B26)/2</f>
        <v/>
      </c>
      <c r="D26" s="39">
        <f>G25</f>
        <v/>
      </c>
      <c r="E26" s="45">
        <f>INDEX(QH_f1,M26,$F$4)+N26*(INDEX(QH_f1,M26+1,$F$4)-INDEX(QH_f1,M26,$F$4))</f>
        <v/>
      </c>
      <c r="F26" s="45">
        <f>E26+C26</f>
        <v/>
      </c>
      <c r="G26" s="46">
        <f>INDEX(QH_q,O26,$F$4)+P26*(INDEX(QH_q,O26+1,$F$4)-INDEX(QH_q,O26,$F$4))</f>
        <v/>
      </c>
      <c r="H26" s="47">
        <f>INDEX(QH_Z,O26)+P26*(INDEX(QH_Z,O26+1)-INDEX(QH_Z,O26))</f>
        <v/>
      </c>
      <c r="I26" s="48">
        <f>INDEX(QH_qtc,O26,$F$4)+P26*(INDEX(QH_qtc,O26+1,$F$4)-INDEX(QH_qtc,O26,$F$4))</f>
        <v/>
      </c>
      <c r="J26" s="49">
        <f>INDEX(QH_qsc,O26)+P26*(INDEX(QH_qsc,O26+1)-INDEX(QH_qsc,O26))</f>
        <v/>
      </c>
      <c r="K26" s="25">
        <f>INDEX(QH_V,O26)+P26*(INDEX(QH_V,O26+1)-INDEX(QH_V,O26))</f>
        <v/>
      </c>
      <c r="L26" s="39">
        <f>K26*1000000/dt_s+G26/2</f>
        <v/>
      </c>
      <c r="M26" s="50">
        <f>MATCH(D26,INDEX(QH_q,0,$F$4),1)</f>
        <v/>
      </c>
      <c r="N26" s="51">
        <f>(D26-INDEX(QH_q,M26,$F$4))/(INDEX(QH_q,M26+1,$F$4)-INDEX(QH_q,M26,$F$4))</f>
        <v/>
      </c>
      <c r="O26" s="50">
        <f>MATCH(F26,INDEX(QH_f2,0,$F$4),1)</f>
        <v/>
      </c>
      <c r="P26" s="51">
        <f>(F26-INDEX(QH_f2,O26,$F$4))/(INDEX(QH_f2,O26+1,$F$4)-INDEX(QH_f2,O26,$F$4))</f>
        <v/>
      </c>
    </row>
    <row r="27">
      <c r="A27" s="44" t="n">
        <v>11</v>
      </c>
      <c r="B27" s="39">
        <f>IFERROR(INDEX(Lu_Q,MATCH(A27,Lu_t,0),$C$4),0)</f>
        <v/>
      </c>
      <c r="C27" s="39">
        <f>(B26+B27)/2</f>
        <v/>
      </c>
      <c r="D27" s="39">
        <f>G26</f>
        <v/>
      </c>
      <c r="E27" s="45">
        <f>INDEX(QH_f1,M27,$F$4)+N27*(INDEX(QH_f1,M27+1,$F$4)-INDEX(QH_f1,M27,$F$4))</f>
        <v/>
      </c>
      <c r="F27" s="45">
        <f>E27+C27</f>
        <v/>
      </c>
      <c r="G27" s="46">
        <f>INDEX(QH_q,O27,$F$4)+P27*(INDEX(QH_q,O27+1,$F$4)-INDEX(QH_q,O27,$F$4))</f>
        <v/>
      </c>
      <c r="H27" s="47">
        <f>INDEX(QH_Z,O27)+P27*(INDEX(QH_Z,O27+1)-INDEX(QH_Z,O27))</f>
        <v/>
      </c>
      <c r="I27" s="48">
        <f>INDEX(QH_qtc,O27,$F$4)+P27*(INDEX(QH_qtc,O27+1,$F$4)-INDEX(QH_qtc,O27,$F$4))</f>
        <v/>
      </c>
      <c r="J27" s="49">
        <f>INDEX(QH_qsc,O27)+P27*(INDEX(QH_qsc,O27+1)-INDEX(QH_qsc,O27))</f>
        <v/>
      </c>
      <c r="K27" s="25">
        <f>INDEX(QH_V,O27)+P27*(INDEX(QH_V,O27+1)-INDEX(QH_V,O27))</f>
        <v/>
      </c>
      <c r="L27" s="39">
        <f>K27*1000000/dt_s+G27/2</f>
        <v/>
      </c>
      <c r="M27" s="50">
        <f>MATCH(D27,INDEX(QH_q,0,$F$4),1)</f>
        <v/>
      </c>
      <c r="N27" s="51">
        <f>(D27-INDEX(QH_q,M27,$F$4))/(INDEX(QH_q,M27+1,$F$4)-INDEX(QH_q,M27,$F$4))</f>
        <v/>
      </c>
      <c r="O27" s="50">
        <f>MATCH(F27,INDEX(QH_f2,0,$F$4),1)</f>
        <v/>
      </c>
      <c r="P27" s="51">
        <f>(F27-INDEX(QH_f2,O27,$F$4))/(INDEX(QH_f2,O27+1,$F$4)-INDEX(QH_f2,O27,$F$4))</f>
        <v/>
      </c>
    </row>
    <row r="28">
      <c r="A28" s="44" t="n">
        <v>12</v>
      </c>
      <c r="B28" s="39">
        <f>IFERROR(INDEX(Lu_Q,MATCH(A28,Lu_t,0),$C$4),0)</f>
        <v/>
      </c>
      <c r="C28" s="39">
        <f>(B27+B28)/2</f>
        <v/>
      </c>
      <c r="D28" s="39">
        <f>G27</f>
        <v/>
      </c>
      <c r="E28" s="45">
        <f>INDEX(QH_f1,M28,$F$4)+N28*(INDEX(QH_f1,M28+1,$F$4)-INDEX(QH_f1,M28,$F$4))</f>
        <v/>
      </c>
      <c r="F28" s="45">
        <f>E28+C28</f>
        <v/>
      </c>
      <c r="G28" s="46">
        <f>INDEX(QH_q,O28,$F$4)+P28*(INDEX(QH_q,O28+1,$F$4)-INDEX(QH_q,O28,$F$4))</f>
        <v/>
      </c>
      <c r="H28" s="47">
        <f>INDEX(QH_Z,O28)+P28*(INDEX(QH_Z,O28+1)-INDEX(QH_Z,O28))</f>
        <v/>
      </c>
      <c r="I28" s="48">
        <f>INDEX(QH_qtc,O28,$F$4)+P28*(INDEX(QH_qtc,O28+1,$F$4)-INDEX(QH_qtc,O28,$F$4))</f>
        <v/>
      </c>
      <c r="J28" s="49">
        <f>INDEX(QH_qsc,O28)+P28*(INDEX(QH_qsc,O28+1)-INDEX(QH_qsc,O28))</f>
        <v/>
      </c>
      <c r="K28" s="25">
        <f>INDEX(QH_V,O28)+P28*(INDEX(QH_V,O28+1)-INDEX(QH_V,O28))</f>
        <v/>
      </c>
      <c r="L28" s="39">
        <f>K28*1000000/dt_s+G28/2</f>
        <v/>
      </c>
      <c r="M28" s="50">
        <f>MATCH(D28,INDEX(QH_q,0,$F$4),1)</f>
        <v/>
      </c>
      <c r="N28" s="51">
        <f>(D28-INDEX(QH_q,M28,$F$4))/(INDEX(QH_q,M28+1,$F$4)-INDEX(QH_q,M28,$F$4))</f>
        <v/>
      </c>
      <c r="O28" s="50">
        <f>MATCH(F28,INDEX(QH_f2,0,$F$4),1)</f>
        <v/>
      </c>
      <c r="P28" s="51">
        <f>(F28-INDEX(QH_f2,O28,$F$4))/(INDEX(QH_f2,O28+1,$F$4)-INDEX(QH_f2,O28,$F$4))</f>
        <v/>
      </c>
    </row>
    <row r="29">
      <c r="A29" s="44" t="n">
        <v>13</v>
      </c>
      <c r="B29" s="39">
        <f>IFERROR(INDEX(Lu_Q,MATCH(A29,Lu_t,0),$C$4),0)</f>
        <v/>
      </c>
      <c r="C29" s="39">
        <f>(B28+B29)/2</f>
        <v/>
      </c>
      <c r="D29" s="39">
        <f>G28</f>
        <v/>
      </c>
      <c r="E29" s="45">
        <f>INDEX(QH_f1,M29,$F$4)+N29*(INDEX(QH_f1,M29+1,$F$4)-INDEX(QH_f1,M29,$F$4))</f>
        <v/>
      </c>
      <c r="F29" s="45">
        <f>E29+C29</f>
        <v/>
      </c>
      <c r="G29" s="46">
        <f>INDEX(QH_q,O29,$F$4)+P29*(INDEX(QH_q,O29+1,$F$4)-INDEX(QH_q,O29,$F$4))</f>
        <v/>
      </c>
      <c r="H29" s="47">
        <f>INDEX(QH_Z,O29)+P29*(INDEX(QH_Z,O29+1)-INDEX(QH_Z,O29))</f>
        <v/>
      </c>
      <c r="I29" s="48">
        <f>INDEX(QH_qtc,O29,$F$4)+P29*(INDEX(QH_qtc,O29+1,$F$4)-INDEX(QH_qtc,O29,$F$4))</f>
        <v/>
      </c>
      <c r="J29" s="49">
        <f>INDEX(QH_qsc,O29)+P29*(INDEX(QH_qsc,O29+1)-INDEX(QH_qsc,O29))</f>
        <v/>
      </c>
      <c r="K29" s="25">
        <f>INDEX(QH_V,O29)+P29*(INDEX(QH_V,O29+1)-INDEX(QH_V,O29))</f>
        <v/>
      </c>
      <c r="L29" s="39">
        <f>K29*1000000/dt_s+G29/2</f>
        <v/>
      </c>
      <c r="M29" s="50">
        <f>MATCH(D29,INDEX(QH_q,0,$F$4),1)</f>
        <v/>
      </c>
      <c r="N29" s="51">
        <f>(D29-INDEX(QH_q,M29,$F$4))/(INDEX(QH_q,M29+1,$F$4)-INDEX(QH_q,M29,$F$4))</f>
        <v/>
      </c>
      <c r="O29" s="50">
        <f>MATCH(F29,INDEX(QH_f2,0,$F$4),1)</f>
        <v/>
      </c>
      <c r="P29" s="51">
        <f>(F29-INDEX(QH_f2,O29,$F$4))/(INDEX(QH_f2,O29+1,$F$4)-INDEX(QH_f2,O29,$F$4))</f>
        <v/>
      </c>
    </row>
    <row r="30">
      <c r="A30" s="44" t="n">
        <v>14</v>
      </c>
      <c r="B30" s="39">
        <f>IFERROR(INDEX(Lu_Q,MATCH(A30,Lu_t,0),$C$4),0)</f>
        <v/>
      </c>
      <c r="C30" s="39">
        <f>(B29+B30)/2</f>
        <v/>
      </c>
      <c r="D30" s="39">
        <f>G29</f>
        <v/>
      </c>
      <c r="E30" s="45">
        <f>INDEX(QH_f1,M30,$F$4)+N30*(INDEX(QH_f1,M30+1,$F$4)-INDEX(QH_f1,M30,$F$4))</f>
        <v/>
      </c>
      <c r="F30" s="45">
        <f>E30+C30</f>
        <v/>
      </c>
      <c r="G30" s="46">
        <f>INDEX(QH_q,O30,$F$4)+P30*(INDEX(QH_q,O30+1,$F$4)-INDEX(QH_q,O30,$F$4))</f>
        <v/>
      </c>
      <c r="H30" s="47">
        <f>INDEX(QH_Z,O30)+P30*(INDEX(QH_Z,O30+1)-INDEX(QH_Z,O30))</f>
        <v/>
      </c>
      <c r="I30" s="48">
        <f>INDEX(QH_qtc,O30,$F$4)+P30*(INDEX(QH_qtc,O30+1,$F$4)-INDEX(QH_qtc,O30,$F$4))</f>
        <v/>
      </c>
      <c r="J30" s="49">
        <f>INDEX(QH_qsc,O30)+P30*(INDEX(QH_qsc,O30+1)-INDEX(QH_qsc,O30))</f>
        <v/>
      </c>
      <c r="K30" s="25">
        <f>INDEX(QH_V,O30)+P30*(INDEX(QH_V,O30+1)-INDEX(QH_V,O30))</f>
        <v/>
      </c>
      <c r="L30" s="39">
        <f>K30*1000000/dt_s+G30/2</f>
        <v/>
      </c>
      <c r="M30" s="50">
        <f>MATCH(D30,INDEX(QH_q,0,$F$4),1)</f>
        <v/>
      </c>
      <c r="N30" s="51">
        <f>(D30-INDEX(QH_q,M30,$F$4))/(INDEX(QH_q,M30+1,$F$4)-INDEX(QH_q,M30,$F$4))</f>
        <v/>
      </c>
      <c r="O30" s="50">
        <f>MATCH(F30,INDEX(QH_f2,0,$F$4),1)</f>
        <v/>
      </c>
      <c r="P30" s="51">
        <f>(F30-INDEX(QH_f2,O30,$F$4))/(INDEX(QH_f2,O30+1,$F$4)-INDEX(QH_f2,O30,$F$4))</f>
        <v/>
      </c>
    </row>
    <row r="31">
      <c r="A31" s="44" t="n">
        <v>15</v>
      </c>
      <c r="B31" s="39">
        <f>IFERROR(INDEX(Lu_Q,MATCH(A31,Lu_t,0),$C$4),0)</f>
        <v/>
      </c>
      <c r="C31" s="39">
        <f>(B30+B31)/2</f>
        <v/>
      </c>
      <c r="D31" s="39">
        <f>G30</f>
        <v/>
      </c>
      <c r="E31" s="45">
        <f>INDEX(QH_f1,M31,$F$4)+N31*(INDEX(QH_f1,M31+1,$F$4)-INDEX(QH_f1,M31,$F$4))</f>
        <v/>
      </c>
      <c r="F31" s="45">
        <f>E31+C31</f>
        <v/>
      </c>
      <c r="G31" s="46">
        <f>INDEX(QH_q,O31,$F$4)+P31*(INDEX(QH_q,O31+1,$F$4)-INDEX(QH_q,O31,$F$4))</f>
        <v/>
      </c>
      <c r="H31" s="47">
        <f>INDEX(QH_Z,O31)+P31*(INDEX(QH_Z,O31+1)-INDEX(QH_Z,O31))</f>
        <v/>
      </c>
      <c r="I31" s="48">
        <f>INDEX(QH_qtc,O31,$F$4)+P31*(INDEX(QH_qtc,O31+1,$F$4)-INDEX(QH_qtc,O31,$F$4))</f>
        <v/>
      </c>
      <c r="J31" s="49">
        <f>INDEX(QH_qsc,O31)+P31*(INDEX(QH_qsc,O31+1)-INDEX(QH_qsc,O31))</f>
        <v/>
      </c>
      <c r="K31" s="25">
        <f>INDEX(QH_V,O31)+P31*(INDEX(QH_V,O31+1)-INDEX(QH_V,O31))</f>
        <v/>
      </c>
      <c r="L31" s="39">
        <f>K31*1000000/dt_s+G31/2</f>
        <v/>
      </c>
      <c r="M31" s="50">
        <f>MATCH(D31,INDEX(QH_q,0,$F$4),1)</f>
        <v/>
      </c>
      <c r="N31" s="51">
        <f>(D31-INDEX(QH_q,M31,$F$4))/(INDEX(QH_q,M31+1,$F$4)-INDEX(QH_q,M31,$F$4))</f>
        <v/>
      </c>
      <c r="O31" s="50">
        <f>MATCH(F31,INDEX(QH_f2,0,$F$4),1)</f>
        <v/>
      </c>
      <c r="P31" s="51">
        <f>(F31-INDEX(QH_f2,O31,$F$4))/(INDEX(QH_f2,O31+1,$F$4)-INDEX(QH_f2,O31,$F$4))</f>
        <v/>
      </c>
    </row>
    <row r="32">
      <c r="A32" s="44" t="n">
        <v>16</v>
      </c>
      <c r="B32" s="39">
        <f>IFERROR(INDEX(Lu_Q,MATCH(A32,Lu_t,0),$C$4),0)</f>
        <v/>
      </c>
      <c r="C32" s="39">
        <f>(B31+B32)/2</f>
        <v/>
      </c>
      <c r="D32" s="39">
        <f>G31</f>
        <v/>
      </c>
      <c r="E32" s="45">
        <f>INDEX(QH_f1,M32,$F$4)+N32*(INDEX(QH_f1,M32+1,$F$4)-INDEX(QH_f1,M32,$F$4))</f>
        <v/>
      </c>
      <c r="F32" s="45">
        <f>E32+C32</f>
        <v/>
      </c>
      <c r="G32" s="46">
        <f>INDEX(QH_q,O32,$F$4)+P32*(INDEX(QH_q,O32+1,$F$4)-INDEX(QH_q,O32,$F$4))</f>
        <v/>
      </c>
      <c r="H32" s="47">
        <f>INDEX(QH_Z,O32)+P32*(INDEX(QH_Z,O32+1)-INDEX(QH_Z,O32))</f>
        <v/>
      </c>
      <c r="I32" s="48">
        <f>INDEX(QH_qtc,O32,$F$4)+P32*(INDEX(QH_qtc,O32+1,$F$4)-INDEX(QH_qtc,O32,$F$4))</f>
        <v/>
      </c>
      <c r="J32" s="49">
        <f>INDEX(QH_qsc,O32)+P32*(INDEX(QH_qsc,O32+1)-INDEX(QH_qsc,O32))</f>
        <v/>
      </c>
      <c r="K32" s="25">
        <f>INDEX(QH_V,O32)+P32*(INDEX(QH_V,O32+1)-INDEX(QH_V,O32))</f>
        <v/>
      </c>
      <c r="L32" s="39">
        <f>K32*1000000/dt_s+G32/2</f>
        <v/>
      </c>
      <c r="M32" s="50">
        <f>MATCH(D32,INDEX(QH_q,0,$F$4),1)</f>
        <v/>
      </c>
      <c r="N32" s="51">
        <f>(D32-INDEX(QH_q,M32,$F$4))/(INDEX(QH_q,M32+1,$F$4)-INDEX(QH_q,M32,$F$4))</f>
        <v/>
      </c>
      <c r="O32" s="50">
        <f>MATCH(F32,INDEX(QH_f2,0,$F$4),1)</f>
        <v/>
      </c>
      <c r="P32" s="51">
        <f>(F32-INDEX(QH_f2,O32,$F$4))/(INDEX(QH_f2,O32+1,$F$4)-INDEX(QH_f2,O32,$F$4))</f>
        <v/>
      </c>
    </row>
    <row r="33">
      <c r="A33" s="44" t="n">
        <v>17</v>
      </c>
      <c r="B33" s="39">
        <f>IFERROR(INDEX(Lu_Q,MATCH(A33,Lu_t,0),$C$4),0)</f>
        <v/>
      </c>
      <c r="C33" s="39">
        <f>(B32+B33)/2</f>
        <v/>
      </c>
      <c r="D33" s="39">
        <f>G32</f>
        <v/>
      </c>
      <c r="E33" s="45">
        <f>INDEX(QH_f1,M33,$F$4)+N33*(INDEX(QH_f1,M33+1,$F$4)-INDEX(QH_f1,M33,$F$4))</f>
        <v/>
      </c>
      <c r="F33" s="45">
        <f>E33+C33</f>
        <v/>
      </c>
      <c r="G33" s="46">
        <f>INDEX(QH_q,O33,$F$4)+P33*(INDEX(QH_q,O33+1,$F$4)-INDEX(QH_q,O33,$F$4))</f>
        <v/>
      </c>
      <c r="H33" s="47">
        <f>INDEX(QH_Z,O33)+P33*(INDEX(QH_Z,O33+1)-INDEX(QH_Z,O33))</f>
        <v/>
      </c>
      <c r="I33" s="48">
        <f>INDEX(QH_qtc,O33,$F$4)+P33*(INDEX(QH_qtc,O33+1,$F$4)-INDEX(QH_qtc,O33,$F$4))</f>
        <v/>
      </c>
      <c r="J33" s="49">
        <f>INDEX(QH_qsc,O33)+P33*(INDEX(QH_qsc,O33+1)-INDEX(QH_qsc,O33))</f>
        <v/>
      </c>
      <c r="K33" s="25">
        <f>INDEX(QH_V,O33)+P33*(INDEX(QH_V,O33+1)-INDEX(QH_V,O33))</f>
        <v/>
      </c>
      <c r="L33" s="39">
        <f>K33*1000000/dt_s+G33/2</f>
        <v/>
      </c>
      <c r="M33" s="50">
        <f>MATCH(D33,INDEX(QH_q,0,$F$4),1)</f>
        <v/>
      </c>
      <c r="N33" s="51">
        <f>(D33-INDEX(QH_q,M33,$F$4))/(INDEX(QH_q,M33+1,$F$4)-INDEX(QH_q,M33,$F$4))</f>
        <v/>
      </c>
      <c r="O33" s="50">
        <f>MATCH(F33,INDEX(QH_f2,0,$F$4),1)</f>
        <v/>
      </c>
      <c r="P33" s="51">
        <f>(F33-INDEX(QH_f2,O33,$F$4))/(INDEX(QH_f2,O33+1,$F$4)-INDEX(QH_f2,O33,$F$4))</f>
        <v/>
      </c>
    </row>
    <row r="34">
      <c r="A34" s="44" t="n">
        <v>18</v>
      </c>
      <c r="B34" s="39">
        <f>IFERROR(INDEX(Lu_Q,MATCH(A34,Lu_t,0),$C$4),0)</f>
        <v/>
      </c>
      <c r="C34" s="39">
        <f>(B33+B34)/2</f>
        <v/>
      </c>
      <c r="D34" s="39">
        <f>G33</f>
        <v/>
      </c>
      <c r="E34" s="45">
        <f>INDEX(QH_f1,M34,$F$4)+N34*(INDEX(QH_f1,M34+1,$F$4)-INDEX(QH_f1,M34,$F$4))</f>
        <v/>
      </c>
      <c r="F34" s="45">
        <f>E34+C34</f>
        <v/>
      </c>
      <c r="G34" s="46">
        <f>INDEX(QH_q,O34,$F$4)+P34*(INDEX(QH_q,O34+1,$F$4)-INDEX(QH_q,O34,$F$4))</f>
        <v/>
      </c>
      <c r="H34" s="47">
        <f>INDEX(QH_Z,O34)+P34*(INDEX(QH_Z,O34+1)-INDEX(QH_Z,O34))</f>
        <v/>
      </c>
      <c r="I34" s="48">
        <f>INDEX(QH_qtc,O34,$F$4)+P34*(INDEX(QH_qtc,O34+1,$F$4)-INDEX(QH_qtc,O34,$F$4))</f>
        <v/>
      </c>
      <c r="J34" s="49">
        <f>INDEX(QH_qsc,O34)+P34*(INDEX(QH_qsc,O34+1)-INDEX(QH_qsc,O34))</f>
        <v/>
      </c>
      <c r="K34" s="25">
        <f>INDEX(QH_V,O34)+P34*(INDEX(QH_V,O34+1)-INDEX(QH_V,O34))</f>
        <v/>
      </c>
      <c r="L34" s="39">
        <f>K34*1000000/dt_s+G34/2</f>
        <v/>
      </c>
      <c r="M34" s="50">
        <f>MATCH(D34,INDEX(QH_q,0,$F$4),1)</f>
        <v/>
      </c>
      <c r="N34" s="51">
        <f>(D34-INDEX(QH_q,M34,$F$4))/(INDEX(QH_q,M34+1,$F$4)-INDEX(QH_q,M34,$F$4))</f>
        <v/>
      </c>
      <c r="O34" s="50">
        <f>MATCH(F34,INDEX(QH_f2,0,$F$4),1)</f>
        <v/>
      </c>
      <c r="P34" s="51">
        <f>(F34-INDEX(QH_f2,O34,$F$4))/(INDEX(QH_f2,O34+1,$F$4)-INDEX(QH_f2,O34,$F$4))</f>
        <v/>
      </c>
    </row>
    <row r="35">
      <c r="A35" s="44" t="n">
        <v>19</v>
      </c>
      <c r="B35" s="39">
        <f>IFERROR(INDEX(Lu_Q,MATCH(A35,Lu_t,0),$C$4),0)</f>
        <v/>
      </c>
      <c r="C35" s="39">
        <f>(B34+B35)/2</f>
        <v/>
      </c>
      <c r="D35" s="39">
        <f>G34</f>
        <v/>
      </c>
      <c r="E35" s="45">
        <f>INDEX(QH_f1,M35,$F$4)+N35*(INDEX(QH_f1,M35+1,$F$4)-INDEX(QH_f1,M35,$F$4))</f>
        <v/>
      </c>
      <c r="F35" s="45">
        <f>E35+C35</f>
        <v/>
      </c>
      <c r="G35" s="46">
        <f>INDEX(QH_q,O35,$F$4)+P35*(INDEX(QH_q,O35+1,$F$4)-INDEX(QH_q,O35,$F$4))</f>
        <v/>
      </c>
      <c r="H35" s="47">
        <f>INDEX(QH_Z,O35)+P35*(INDEX(QH_Z,O35+1)-INDEX(QH_Z,O35))</f>
        <v/>
      </c>
      <c r="I35" s="48">
        <f>INDEX(QH_qtc,O35,$F$4)+P35*(INDEX(QH_qtc,O35+1,$F$4)-INDEX(QH_qtc,O35,$F$4))</f>
        <v/>
      </c>
      <c r="J35" s="49">
        <f>INDEX(QH_qsc,O35)+P35*(INDEX(QH_qsc,O35+1)-INDEX(QH_qsc,O35))</f>
        <v/>
      </c>
      <c r="K35" s="25">
        <f>INDEX(QH_V,O35)+P35*(INDEX(QH_V,O35+1)-INDEX(QH_V,O35))</f>
        <v/>
      </c>
      <c r="L35" s="39">
        <f>K35*1000000/dt_s+G35/2</f>
        <v/>
      </c>
      <c r="M35" s="50">
        <f>MATCH(D35,INDEX(QH_q,0,$F$4),1)</f>
        <v/>
      </c>
      <c r="N35" s="51">
        <f>(D35-INDEX(QH_q,M35,$F$4))/(INDEX(QH_q,M35+1,$F$4)-INDEX(QH_q,M35,$F$4))</f>
        <v/>
      </c>
      <c r="O35" s="50">
        <f>MATCH(F35,INDEX(QH_f2,0,$F$4),1)</f>
        <v/>
      </c>
      <c r="P35" s="51">
        <f>(F35-INDEX(QH_f2,O35,$F$4))/(INDEX(QH_f2,O35+1,$F$4)-INDEX(QH_f2,O35,$F$4))</f>
        <v/>
      </c>
    </row>
    <row r="36">
      <c r="A36" s="44" t="n">
        <v>20</v>
      </c>
      <c r="B36" s="39">
        <f>IFERROR(INDEX(Lu_Q,MATCH(A36,Lu_t,0),$C$4),0)</f>
        <v/>
      </c>
      <c r="C36" s="39">
        <f>(B35+B36)/2</f>
        <v/>
      </c>
      <c r="D36" s="39">
        <f>G35</f>
        <v/>
      </c>
      <c r="E36" s="45">
        <f>INDEX(QH_f1,M36,$F$4)+N36*(INDEX(QH_f1,M36+1,$F$4)-INDEX(QH_f1,M36,$F$4))</f>
        <v/>
      </c>
      <c r="F36" s="45">
        <f>E36+C36</f>
        <v/>
      </c>
      <c r="G36" s="46">
        <f>INDEX(QH_q,O36,$F$4)+P36*(INDEX(QH_q,O36+1,$F$4)-INDEX(QH_q,O36,$F$4))</f>
        <v/>
      </c>
      <c r="H36" s="47">
        <f>INDEX(QH_Z,O36)+P36*(INDEX(QH_Z,O36+1)-INDEX(QH_Z,O36))</f>
        <v/>
      </c>
      <c r="I36" s="48">
        <f>INDEX(QH_qtc,O36,$F$4)+P36*(INDEX(QH_qtc,O36+1,$F$4)-INDEX(QH_qtc,O36,$F$4))</f>
        <v/>
      </c>
      <c r="J36" s="49">
        <f>INDEX(QH_qsc,O36)+P36*(INDEX(QH_qsc,O36+1)-INDEX(QH_qsc,O36))</f>
        <v/>
      </c>
      <c r="K36" s="25">
        <f>INDEX(QH_V,O36)+P36*(INDEX(QH_V,O36+1)-INDEX(QH_V,O36))</f>
        <v/>
      </c>
      <c r="L36" s="39">
        <f>K36*1000000/dt_s+G36/2</f>
        <v/>
      </c>
      <c r="M36" s="50">
        <f>MATCH(D36,INDEX(QH_q,0,$F$4),1)</f>
        <v/>
      </c>
      <c r="N36" s="51">
        <f>(D36-INDEX(QH_q,M36,$F$4))/(INDEX(QH_q,M36+1,$F$4)-INDEX(QH_q,M36,$F$4))</f>
        <v/>
      </c>
      <c r="O36" s="50">
        <f>MATCH(F36,INDEX(QH_f2,0,$F$4),1)</f>
        <v/>
      </c>
      <c r="P36" s="51">
        <f>(F36-INDEX(QH_f2,O36,$F$4))/(INDEX(QH_f2,O36+1,$F$4)-INDEX(QH_f2,O36,$F$4))</f>
        <v/>
      </c>
    </row>
    <row r="37">
      <c r="A37" s="44" t="n">
        <v>21</v>
      </c>
      <c r="B37" s="39">
        <f>IFERROR(INDEX(Lu_Q,MATCH(A37,Lu_t,0),$C$4),0)</f>
        <v/>
      </c>
      <c r="C37" s="39">
        <f>(B36+B37)/2</f>
        <v/>
      </c>
      <c r="D37" s="39">
        <f>G36</f>
        <v/>
      </c>
      <c r="E37" s="45">
        <f>INDEX(QH_f1,M37,$F$4)+N37*(INDEX(QH_f1,M37+1,$F$4)-INDEX(QH_f1,M37,$F$4))</f>
        <v/>
      </c>
      <c r="F37" s="45">
        <f>E37+C37</f>
        <v/>
      </c>
      <c r="G37" s="46">
        <f>INDEX(QH_q,O37,$F$4)+P37*(INDEX(QH_q,O37+1,$F$4)-INDEX(QH_q,O37,$F$4))</f>
        <v/>
      </c>
      <c r="H37" s="47">
        <f>INDEX(QH_Z,O37)+P37*(INDEX(QH_Z,O37+1)-INDEX(QH_Z,O37))</f>
        <v/>
      </c>
      <c r="I37" s="48">
        <f>INDEX(QH_qtc,O37,$F$4)+P37*(INDEX(QH_qtc,O37+1,$F$4)-INDEX(QH_qtc,O37,$F$4))</f>
        <v/>
      </c>
      <c r="J37" s="49">
        <f>INDEX(QH_qsc,O37)+P37*(INDEX(QH_qsc,O37+1)-INDEX(QH_qsc,O37))</f>
        <v/>
      </c>
      <c r="K37" s="25">
        <f>INDEX(QH_V,O37)+P37*(INDEX(QH_V,O37+1)-INDEX(QH_V,O37))</f>
        <v/>
      </c>
      <c r="L37" s="39">
        <f>K37*1000000/dt_s+G37/2</f>
        <v/>
      </c>
      <c r="M37" s="50">
        <f>MATCH(D37,INDEX(QH_q,0,$F$4),1)</f>
        <v/>
      </c>
      <c r="N37" s="51">
        <f>(D37-INDEX(QH_q,M37,$F$4))/(INDEX(QH_q,M37+1,$F$4)-INDEX(QH_q,M37,$F$4))</f>
        <v/>
      </c>
      <c r="O37" s="50">
        <f>MATCH(F37,INDEX(QH_f2,0,$F$4),1)</f>
        <v/>
      </c>
      <c r="P37" s="51">
        <f>(F37-INDEX(QH_f2,O37,$F$4))/(INDEX(QH_f2,O37+1,$F$4)-INDEX(QH_f2,O37,$F$4))</f>
        <v/>
      </c>
    </row>
    <row r="38">
      <c r="A38" s="44" t="n">
        <v>22</v>
      </c>
      <c r="B38" s="39">
        <f>IFERROR(INDEX(Lu_Q,MATCH(A38,Lu_t,0),$C$4),0)</f>
        <v/>
      </c>
      <c r="C38" s="39">
        <f>(B37+B38)/2</f>
        <v/>
      </c>
      <c r="D38" s="39">
        <f>G37</f>
        <v/>
      </c>
      <c r="E38" s="45">
        <f>INDEX(QH_f1,M38,$F$4)+N38*(INDEX(QH_f1,M38+1,$F$4)-INDEX(QH_f1,M38,$F$4))</f>
        <v/>
      </c>
      <c r="F38" s="45">
        <f>E38+C38</f>
        <v/>
      </c>
      <c r="G38" s="46">
        <f>INDEX(QH_q,O38,$F$4)+P38*(INDEX(QH_q,O38+1,$F$4)-INDEX(QH_q,O38,$F$4))</f>
        <v/>
      </c>
      <c r="H38" s="47">
        <f>INDEX(QH_Z,O38)+P38*(INDEX(QH_Z,O38+1)-INDEX(QH_Z,O38))</f>
        <v/>
      </c>
      <c r="I38" s="48">
        <f>INDEX(QH_qtc,O38,$F$4)+P38*(INDEX(QH_qtc,O38+1,$F$4)-INDEX(QH_qtc,O38,$F$4))</f>
        <v/>
      </c>
      <c r="J38" s="49">
        <f>INDEX(QH_qsc,O38)+P38*(INDEX(QH_qsc,O38+1)-INDEX(QH_qsc,O38))</f>
        <v/>
      </c>
      <c r="K38" s="25">
        <f>INDEX(QH_V,O38)+P38*(INDEX(QH_V,O38+1)-INDEX(QH_V,O38))</f>
        <v/>
      </c>
      <c r="L38" s="39">
        <f>K38*1000000/dt_s+G38/2</f>
        <v/>
      </c>
      <c r="M38" s="50">
        <f>MATCH(D38,INDEX(QH_q,0,$F$4),1)</f>
        <v/>
      </c>
      <c r="N38" s="51">
        <f>(D38-INDEX(QH_q,M38,$F$4))/(INDEX(QH_q,M38+1,$F$4)-INDEX(QH_q,M38,$F$4))</f>
        <v/>
      </c>
      <c r="O38" s="50">
        <f>MATCH(F38,INDEX(QH_f2,0,$F$4),1)</f>
        <v/>
      </c>
      <c r="P38" s="51">
        <f>(F38-INDEX(QH_f2,O38,$F$4))/(INDEX(QH_f2,O38+1,$F$4)-INDEX(QH_f2,O38,$F$4))</f>
        <v/>
      </c>
    </row>
    <row r="39">
      <c r="A39" s="44" t="n">
        <v>23</v>
      </c>
      <c r="B39" s="39">
        <f>IFERROR(INDEX(Lu_Q,MATCH(A39,Lu_t,0),$C$4),0)</f>
        <v/>
      </c>
      <c r="C39" s="39">
        <f>(B38+B39)/2</f>
        <v/>
      </c>
      <c r="D39" s="39">
        <f>G38</f>
        <v/>
      </c>
      <c r="E39" s="45">
        <f>INDEX(QH_f1,M39,$F$4)+N39*(INDEX(QH_f1,M39+1,$F$4)-INDEX(QH_f1,M39,$F$4))</f>
        <v/>
      </c>
      <c r="F39" s="45">
        <f>E39+C39</f>
        <v/>
      </c>
      <c r="G39" s="46">
        <f>INDEX(QH_q,O39,$F$4)+P39*(INDEX(QH_q,O39+1,$F$4)-INDEX(QH_q,O39,$F$4))</f>
        <v/>
      </c>
      <c r="H39" s="47">
        <f>INDEX(QH_Z,O39)+P39*(INDEX(QH_Z,O39+1)-INDEX(QH_Z,O39))</f>
        <v/>
      </c>
      <c r="I39" s="48">
        <f>INDEX(QH_qtc,O39,$F$4)+P39*(INDEX(QH_qtc,O39+1,$F$4)-INDEX(QH_qtc,O39,$F$4))</f>
        <v/>
      </c>
      <c r="J39" s="49">
        <f>INDEX(QH_qsc,O39)+P39*(INDEX(QH_qsc,O39+1)-INDEX(QH_qsc,O39))</f>
        <v/>
      </c>
      <c r="K39" s="25">
        <f>INDEX(QH_V,O39)+P39*(INDEX(QH_V,O39+1)-INDEX(QH_V,O39))</f>
        <v/>
      </c>
      <c r="L39" s="39">
        <f>K39*1000000/dt_s+G39/2</f>
        <v/>
      </c>
      <c r="M39" s="50">
        <f>MATCH(D39,INDEX(QH_q,0,$F$4),1)</f>
        <v/>
      </c>
      <c r="N39" s="51">
        <f>(D39-INDEX(QH_q,M39,$F$4))/(INDEX(QH_q,M39+1,$F$4)-INDEX(QH_q,M39,$F$4))</f>
        <v/>
      </c>
      <c r="O39" s="50">
        <f>MATCH(F39,INDEX(QH_f2,0,$F$4),1)</f>
        <v/>
      </c>
      <c r="P39" s="51">
        <f>(F39-INDEX(QH_f2,O39,$F$4))/(INDEX(QH_f2,O39+1,$F$4)-INDEX(QH_f2,O39,$F$4))</f>
        <v/>
      </c>
    </row>
    <row r="40">
      <c r="A40" s="44" t="n">
        <v>24</v>
      </c>
      <c r="B40" s="39">
        <f>IFERROR(INDEX(Lu_Q,MATCH(A40,Lu_t,0),$C$4),0)</f>
        <v/>
      </c>
      <c r="C40" s="39">
        <f>(B39+B40)/2</f>
        <v/>
      </c>
      <c r="D40" s="39">
        <f>G39</f>
        <v/>
      </c>
      <c r="E40" s="45">
        <f>INDEX(QH_f1,M40,$F$4)+N40*(INDEX(QH_f1,M40+1,$F$4)-INDEX(QH_f1,M40,$F$4))</f>
        <v/>
      </c>
      <c r="F40" s="45">
        <f>E40+C40</f>
        <v/>
      </c>
      <c r="G40" s="46">
        <f>INDEX(QH_q,O40,$F$4)+P40*(INDEX(QH_q,O40+1,$F$4)-INDEX(QH_q,O40,$F$4))</f>
        <v/>
      </c>
      <c r="H40" s="47">
        <f>INDEX(QH_Z,O40)+P40*(INDEX(QH_Z,O40+1)-INDEX(QH_Z,O40))</f>
        <v/>
      </c>
      <c r="I40" s="48">
        <f>INDEX(QH_qtc,O40,$F$4)+P40*(INDEX(QH_qtc,O40+1,$F$4)-INDEX(QH_qtc,O40,$F$4))</f>
        <v/>
      </c>
      <c r="J40" s="49">
        <f>INDEX(QH_qsc,O40)+P40*(INDEX(QH_qsc,O40+1)-INDEX(QH_qsc,O40))</f>
        <v/>
      </c>
      <c r="K40" s="25">
        <f>INDEX(QH_V,O40)+P40*(INDEX(QH_V,O40+1)-INDEX(QH_V,O40))</f>
        <v/>
      </c>
      <c r="L40" s="39">
        <f>K40*1000000/dt_s+G40/2</f>
        <v/>
      </c>
      <c r="M40" s="50">
        <f>MATCH(D40,INDEX(QH_q,0,$F$4),1)</f>
        <v/>
      </c>
      <c r="N40" s="51">
        <f>(D40-INDEX(QH_q,M40,$F$4))/(INDEX(QH_q,M40+1,$F$4)-INDEX(QH_q,M40,$F$4))</f>
        <v/>
      </c>
      <c r="O40" s="50">
        <f>MATCH(F40,INDEX(QH_f2,0,$F$4),1)</f>
        <v/>
      </c>
      <c r="P40" s="51">
        <f>(F40-INDEX(QH_f2,O40,$F$4))/(INDEX(QH_f2,O40+1,$F$4)-INDEX(QH_f2,O40,$F$4))</f>
        <v/>
      </c>
    </row>
    <row r="41">
      <c r="A41" s="44" t="n">
        <v>25</v>
      </c>
      <c r="B41" s="39">
        <f>IFERROR(INDEX(Lu_Q,MATCH(A41,Lu_t,0),$C$4),0)</f>
        <v/>
      </c>
      <c r="C41" s="39">
        <f>(B40+B41)/2</f>
        <v/>
      </c>
      <c r="D41" s="39">
        <f>G40</f>
        <v/>
      </c>
      <c r="E41" s="45">
        <f>INDEX(QH_f1,M41,$F$4)+N41*(INDEX(QH_f1,M41+1,$F$4)-INDEX(QH_f1,M41,$F$4))</f>
        <v/>
      </c>
      <c r="F41" s="45">
        <f>E41+C41</f>
        <v/>
      </c>
      <c r="G41" s="46">
        <f>INDEX(QH_q,O41,$F$4)+P41*(INDEX(QH_q,O41+1,$F$4)-INDEX(QH_q,O41,$F$4))</f>
        <v/>
      </c>
      <c r="H41" s="47">
        <f>INDEX(QH_Z,O41)+P41*(INDEX(QH_Z,O41+1)-INDEX(QH_Z,O41))</f>
        <v/>
      </c>
      <c r="I41" s="48">
        <f>INDEX(QH_qtc,O41,$F$4)+P41*(INDEX(QH_qtc,O41+1,$F$4)-INDEX(QH_qtc,O41,$F$4))</f>
        <v/>
      </c>
      <c r="J41" s="49">
        <f>INDEX(QH_qsc,O41)+P41*(INDEX(QH_qsc,O41+1)-INDEX(QH_qsc,O41))</f>
        <v/>
      </c>
      <c r="K41" s="25">
        <f>INDEX(QH_V,O41)+P41*(INDEX(QH_V,O41+1)-INDEX(QH_V,O41))</f>
        <v/>
      </c>
      <c r="L41" s="39">
        <f>K41*1000000/dt_s+G41/2</f>
        <v/>
      </c>
      <c r="M41" s="50">
        <f>MATCH(D41,INDEX(QH_q,0,$F$4),1)</f>
        <v/>
      </c>
      <c r="N41" s="51">
        <f>(D41-INDEX(QH_q,M41,$F$4))/(INDEX(QH_q,M41+1,$F$4)-INDEX(QH_q,M41,$F$4))</f>
        <v/>
      </c>
      <c r="O41" s="50">
        <f>MATCH(F41,INDEX(QH_f2,0,$F$4),1)</f>
        <v/>
      </c>
      <c r="P41" s="51">
        <f>(F41-INDEX(QH_f2,O41,$F$4))/(INDEX(QH_f2,O41+1,$F$4)-INDEX(QH_f2,O41,$F$4))</f>
        <v/>
      </c>
    </row>
    <row r="42">
      <c r="A42" s="44" t="n">
        <v>26</v>
      </c>
      <c r="B42" s="39">
        <f>IFERROR(INDEX(Lu_Q,MATCH(A42,Lu_t,0),$C$4),0)</f>
        <v/>
      </c>
      <c r="C42" s="39">
        <f>(B41+B42)/2</f>
        <v/>
      </c>
      <c r="D42" s="39">
        <f>G41</f>
        <v/>
      </c>
      <c r="E42" s="45">
        <f>INDEX(QH_f1,M42,$F$4)+N42*(INDEX(QH_f1,M42+1,$F$4)-INDEX(QH_f1,M42,$F$4))</f>
        <v/>
      </c>
      <c r="F42" s="45">
        <f>E42+C42</f>
        <v/>
      </c>
      <c r="G42" s="46">
        <f>INDEX(QH_q,O42,$F$4)+P42*(INDEX(QH_q,O42+1,$F$4)-INDEX(QH_q,O42,$F$4))</f>
        <v/>
      </c>
      <c r="H42" s="47">
        <f>INDEX(QH_Z,O42)+P42*(INDEX(QH_Z,O42+1)-INDEX(QH_Z,O42))</f>
        <v/>
      </c>
      <c r="I42" s="48">
        <f>INDEX(QH_qtc,O42,$F$4)+P42*(INDEX(QH_qtc,O42+1,$F$4)-INDEX(QH_qtc,O42,$F$4))</f>
        <v/>
      </c>
      <c r="J42" s="49">
        <f>INDEX(QH_qsc,O42)+P42*(INDEX(QH_qsc,O42+1)-INDEX(QH_qsc,O42))</f>
        <v/>
      </c>
      <c r="K42" s="25">
        <f>INDEX(QH_V,O42)+P42*(INDEX(QH_V,O42+1)-INDEX(QH_V,O42))</f>
        <v/>
      </c>
      <c r="L42" s="39">
        <f>K42*1000000/dt_s+G42/2</f>
        <v/>
      </c>
      <c r="M42" s="50">
        <f>MATCH(D42,INDEX(QH_q,0,$F$4),1)</f>
        <v/>
      </c>
      <c r="N42" s="51">
        <f>(D42-INDEX(QH_q,M42,$F$4))/(INDEX(QH_q,M42+1,$F$4)-INDEX(QH_q,M42,$F$4))</f>
        <v/>
      </c>
      <c r="O42" s="50">
        <f>MATCH(F42,INDEX(QH_f2,0,$F$4),1)</f>
        <v/>
      </c>
      <c r="P42" s="51">
        <f>(F42-INDEX(QH_f2,O42,$F$4))/(INDEX(QH_f2,O42+1,$F$4)-INDEX(QH_f2,O42,$F$4))</f>
        <v/>
      </c>
    </row>
    <row r="43">
      <c r="A43" s="44" t="n">
        <v>27</v>
      </c>
      <c r="B43" s="39">
        <f>IFERROR(INDEX(Lu_Q,MATCH(A43,Lu_t,0),$C$4),0)</f>
        <v/>
      </c>
      <c r="C43" s="39">
        <f>(B42+B43)/2</f>
        <v/>
      </c>
      <c r="D43" s="39">
        <f>G42</f>
        <v/>
      </c>
      <c r="E43" s="45">
        <f>INDEX(QH_f1,M43,$F$4)+N43*(INDEX(QH_f1,M43+1,$F$4)-INDEX(QH_f1,M43,$F$4))</f>
        <v/>
      </c>
      <c r="F43" s="45">
        <f>E43+C43</f>
        <v/>
      </c>
      <c r="G43" s="46">
        <f>INDEX(QH_q,O43,$F$4)+P43*(INDEX(QH_q,O43+1,$F$4)-INDEX(QH_q,O43,$F$4))</f>
        <v/>
      </c>
      <c r="H43" s="47">
        <f>INDEX(QH_Z,O43)+P43*(INDEX(QH_Z,O43+1)-INDEX(QH_Z,O43))</f>
        <v/>
      </c>
      <c r="I43" s="48">
        <f>INDEX(QH_qtc,O43,$F$4)+P43*(INDEX(QH_qtc,O43+1,$F$4)-INDEX(QH_qtc,O43,$F$4))</f>
        <v/>
      </c>
      <c r="J43" s="49">
        <f>INDEX(QH_qsc,O43)+P43*(INDEX(QH_qsc,O43+1)-INDEX(QH_qsc,O43))</f>
        <v/>
      </c>
      <c r="K43" s="25">
        <f>INDEX(QH_V,O43)+P43*(INDEX(QH_V,O43+1)-INDEX(QH_V,O43))</f>
        <v/>
      </c>
      <c r="L43" s="39">
        <f>K43*1000000/dt_s+G43/2</f>
        <v/>
      </c>
      <c r="M43" s="50">
        <f>MATCH(D43,INDEX(QH_q,0,$F$4),1)</f>
        <v/>
      </c>
      <c r="N43" s="51">
        <f>(D43-INDEX(QH_q,M43,$F$4))/(INDEX(QH_q,M43+1,$F$4)-INDEX(QH_q,M43,$F$4))</f>
        <v/>
      </c>
      <c r="O43" s="50">
        <f>MATCH(F43,INDEX(QH_f2,0,$F$4),1)</f>
        <v/>
      </c>
      <c r="P43" s="51">
        <f>(F43-INDEX(QH_f2,O43,$F$4))/(INDEX(QH_f2,O43+1,$F$4)-INDEX(QH_f2,O43,$F$4))</f>
        <v/>
      </c>
    </row>
    <row r="44">
      <c r="A44" s="44" t="n">
        <v>28</v>
      </c>
      <c r="B44" s="39">
        <f>IFERROR(INDEX(Lu_Q,MATCH(A44,Lu_t,0),$C$4),0)</f>
        <v/>
      </c>
      <c r="C44" s="39">
        <f>(B43+B44)/2</f>
        <v/>
      </c>
      <c r="D44" s="39">
        <f>G43</f>
        <v/>
      </c>
      <c r="E44" s="45">
        <f>INDEX(QH_f1,M44,$F$4)+N44*(INDEX(QH_f1,M44+1,$F$4)-INDEX(QH_f1,M44,$F$4))</f>
        <v/>
      </c>
      <c r="F44" s="45">
        <f>E44+C44</f>
        <v/>
      </c>
      <c r="G44" s="46">
        <f>INDEX(QH_q,O44,$F$4)+P44*(INDEX(QH_q,O44+1,$F$4)-INDEX(QH_q,O44,$F$4))</f>
        <v/>
      </c>
      <c r="H44" s="47">
        <f>INDEX(QH_Z,O44)+P44*(INDEX(QH_Z,O44+1)-INDEX(QH_Z,O44))</f>
        <v/>
      </c>
      <c r="I44" s="48">
        <f>INDEX(QH_qtc,O44,$F$4)+P44*(INDEX(QH_qtc,O44+1,$F$4)-INDEX(QH_qtc,O44,$F$4))</f>
        <v/>
      </c>
      <c r="J44" s="49">
        <f>INDEX(QH_qsc,O44)+P44*(INDEX(QH_qsc,O44+1)-INDEX(QH_qsc,O44))</f>
        <v/>
      </c>
      <c r="K44" s="25">
        <f>INDEX(QH_V,O44)+P44*(INDEX(QH_V,O44+1)-INDEX(QH_V,O44))</f>
        <v/>
      </c>
      <c r="L44" s="39">
        <f>K44*1000000/dt_s+G44/2</f>
        <v/>
      </c>
      <c r="M44" s="50">
        <f>MATCH(D44,INDEX(QH_q,0,$F$4),1)</f>
        <v/>
      </c>
      <c r="N44" s="51">
        <f>(D44-INDEX(QH_q,M44,$F$4))/(INDEX(QH_q,M44+1,$F$4)-INDEX(QH_q,M44,$F$4))</f>
        <v/>
      </c>
      <c r="O44" s="50">
        <f>MATCH(F44,INDEX(QH_f2,0,$F$4),1)</f>
        <v/>
      </c>
      <c r="P44" s="51">
        <f>(F44-INDEX(QH_f2,O44,$F$4))/(INDEX(QH_f2,O44+1,$F$4)-INDEX(QH_f2,O44,$F$4))</f>
        <v/>
      </c>
    </row>
    <row r="45">
      <c r="A45" s="44" t="n">
        <v>29</v>
      </c>
      <c r="B45" s="39">
        <f>IFERROR(INDEX(Lu_Q,MATCH(A45,Lu_t,0),$C$4),0)</f>
        <v/>
      </c>
      <c r="C45" s="39">
        <f>(B44+B45)/2</f>
        <v/>
      </c>
      <c r="D45" s="39">
        <f>G44</f>
        <v/>
      </c>
      <c r="E45" s="45">
        <f>INDEX(QH_f1,M45,$F$4)+N45*(INDEX(QH_f1,M45+1,$F$4)-INDEX(QH_f1,M45,$F$4))</f>
        <v/>
      </c>
      <c r="F45" s="45">
        <f>E45+C45</f>
        <v/>
      </c>
      <c r="G45" s="46">
        <f>INDEX(QH_q,O45,$F$4)+P45*(INDEX(QH_q,O45+1,$F$4)-INDEX(QH_q,O45,$F$4))</f>
        <v/>
      </c>
      <c r="H45" s="47">
        <f>INDEX(QH_Z,O45)+P45*(INDEX(QH_Z,O45+1)-INDEX(QH_Z,O45))</f>
        <v/>
      </c>
      <c r="I45" s="48">
        <f>INDEX(QH_qtc,O45,$F$4)+P45*(INDEX(QH_qtc,O45+1,$F$4)-INDEX(QH_qtc,O45,$F$4))</f>
        <v/>
      </c>
      <c r="J45" s="49">
        <f>INDEX(QH_qsc,O45)+P45*(INDEX(QH_qsc,O45+1)-INDEX(QH_qsc,O45))</f>
        <v/>
      </c>
      <c r="K45" s="25">
        <f>INDEX(QH_V,O45)+P45*(INDEX(QH_V,O45+1)-INDEX(QH_V,O45))</f>
        <v/>
      </c>
      <c r="L45" s="39">
        <f>K45*1000000/dt_s+G45/2</f>
        <v/>
      </c>
      <c r="M45" s="50">
        <f>MATCH(D45,INDEX(QH_q,0,$F$4),1)</f>
        <v/>
      </c>
      <c r="N45" s="51">
        <f>(D45-INDEX(QH_q,M45,$F$4))/(INDEX(QH_q,M45+1,$F$4)-INDEX(QH_q,M45,$F$4))</f>
        <v/>
      </c>
      <c r="O45" s="50">
        <f>MATCH(F45,INDEX(QH_f2,0,$F$4),1)</f>
        <v/>
      </c>
      <c r="P45" s="51">
        <f>(F45-INDEX(QH_f2,O45,$F$4))/(INDEX(QH_f2,O45+1,$F$4)-INDEX(QH_f2,O45,$F$4))</f>
        <v/>
      </c>
    </row>
    <row r="46">
      <c r="A46" s="44" t="n">
        <v>30</v>
      </c>
      <c r="B46" s="39">
        <f>IFERROR(INDEX(Lu_Q,MATCH(A46,Lu_t,0),$C$4),0)</f>
        <v/>
      </c>
      <c r="C46" s="39">
        <f>(B45+B46)/2</f>
        <v/>
      </c>
      <c r="D46" s="39">
        <f>G45</f>
        <v/>
      </c>
      <c r="E46" s="45">
        <f>INDEX(QH_f1,M46,$F$4)+N46*(INDEX(QH_f1,M46+1,$F$4)-INDEX(QH_f1,M46,$F$4))</f>
        <v/>
      </c>
      <c r="F46" s="45">
        <f>E46+C46</f>
        <v/>
      </c>
      <c r="G46" s="46">
        <f>INDEX(QH_q,O46,$F$4)+P46*(INDEX(QH_q,O46+1,$F$4)-INDEX(QH_q,O46,$F$4))</f>
        <v/>
      </c>
      <c r="H46" s="47">
        <f>INDEX(QH_Z,O46)+P46*(INDEX(QH_Z,O46+1)-INDEX(QH_Z,O46))</f>
        <v/>
      </c>
      <c r="I46" s="48">
        <f>INDEX(QH_qtc,O46,$F$4)+P46*(INDEX(QH_qtc,O46+1,$F$4)-INDEX(QH_qtc,O46,$F$4))</f>
        <v/>
      </c>
      <c r="J46" s="49">
        <f>INDEX(QH_qsc,O46)+P46*(INDEX(QH_qsc,O46+1)-INDEX(QH_qsc,O46))</f>
        <v/>
      </c>
      <c r="K46" s="25">
        <f>INDEX(QH_V,O46)+P46*(INDEX(QH_V,O46+1)-INDEX(QH_V,O46))</f>
        <v/>
      </c>
      <c r="L46" s="39">
        <f>K46*1000000/dt_s+G46/2</f>
        <v/>
      </c>
      <c r="M46" s="50">
        <f>MATCH(D46,INDEX(QH_q,0,$F$4),1)</f>
        <v/>
      </c>
      <c r="N46" s="51">
        <f>(D46-INDEX(QH_q,M46,$F$4))/(INDEX(QH_q,M46+1,$F$4)-INDEX(QH_q,M46,$F$4))</f>
        <v/>
      </c>
      <c r="O46" s="50">
        <f>MATCH(F46,INDEX(QH_f2,0,$F$4),1)</f>
        <v/>
      </c>
      <c r="P46" s="51">
        <f>(F46-INDEX(QH_f2,O46,$F$4))/(INDEX(QH_f2,O46+1,$F$4)-INDEX(QH_f2,O46,$F$4))</f>
        <v/>
      </c>
    </row>
    <row r="47">
      <c r="A47" s="44" t="n">
        <v>31</v>
      </c>
      <c r="B47" s="39">
        <f>IFERROR(INDEX(Lu_Q,MATCH(A47,Lu_t,0),$C$4),0)</f>
        <v/>
      </c>
      <c r="C47" s="39">
        <f>(B46+B47)/2</f>
        <v/>
      </c>
      <c r="D47" s="39">
        <f>G46</f>
        <v/>
      </c>
      <c r="E47" s="45">
        <f>INDEX(QH_f1,M47,$F$4)+N47*(INDEX(QH_f1,M47+1,$F$4)-INDEX(QH_f1,M47,$F$4))</f>
        <v/>
      </c>
      <c r="F47" s="45">
        <f>E47+C47</f>
        <v/>
      </c>
      <c r="G47" s="46">
        <f>INDEX(QH_q,O47,$F$4)+P47*(INDEX(QH_q,O47+1,$F$4)-INDEX(QH_q,O47,$F$4))</f>
        <v/>
      </c>
      <c r="H47" s="47">
        <f>INDEX(QH_Z,O47)+P47*(INDEX(QH_Z,O47+1)-INDEX(QH_Z,O47))</f>
        <v/>
      </c>
      <c r="I47" s="48">
        <f>INDEX(QH_qtc,O47,$F$4)+P47*(INDEX(QH_qtc,O47+1,$F$4)-INDEX(QH_qtc,O47,$F$4))</f>
        <v/>
      </c>
      <c r="J47" s="49">
        <f>INDEX(QH_qsc,O47)+P47*(INDEX(QH_qsc,O47+1)-INDEX(QH_qsc,O47))</f>
        <v/>
      </c>
      <c r="K47" s="25">
        <f>INDEX(QH_V,O47)+P47*(INDEX(QH_V,O47+1)-INDEX(QH_V,O47))</f>
        <v/>
      </c>
      <c r="L47" s="39">
        <f>K47*1000000/dt_s+G47/2</f>
        <v/>
      </c>
      <c r="M47" s="50">
        <f>MATCH(D47,INDEX(QH_q,0,$F$4),1)</f>
        <v/>
      </c>
      <c r="N47" s="51">
        <f>(D47-INDEX(QH_q,M47,$F$4))/(INDEX(QH_q,M47+1,$F$4)-INDEX(QH_q,M47,$F$4))</f>
        <v/>
      </c>
      <c r="O47" s="50">
        <f>MATCH(F47,INDEX(QH_f2,0,$F$4),1)</f>
        <v/>
      </c>
      <c r="P47" s="51">
        <f>(F47-INDEX(QH_f2,O47,$F$4))/(INDEX(QH_f2,O47+1,$F$4)-INDEX(QH_f2,O47,$F$4))</f>
        <v/>
      </c>
    </row>
    <row r="48">
      <c r="A48" s="44" t="n">
        <v>32</v>
      </c>
      <c r="B48" s="39">
        <f>IFERROR(INDEX(Lu_Q,MATCH(A48,Lu_t,0),$C$4),0)</f>
        <v/>
      </c>
      <c r="C48" s="39">
        <f>(B47+B48)/2</f>
        <v/>
      </c>
      <c r="D48" s="39">
        <f>G47</f>
        <v/>
      </c>
      <c r="E48" s="45">
        <f>INDEX(QH_f1,M48,$F$4)+N48*(INDEX(QH_f1,M48+1,$F$4)-INDEX(QH_f1,M48,$F$4))</f>
        <v/>
      </c>
      <c r="F48" s="45">
        <f>E48+C48</f>
        <v/>
      </c>
      <c r="G48" s="46">
        <f>INDEX(QH_q,O48,$F$4)+P48*(INDEX(QH_q,O48+1,$F$4)-INDEX(QH_q,O48,$F$4))</f>
        <v/>
      </c>
      <c r="H48" s="47">
        <f>INDEX(QH_Z,O48)+P48*(INDEX(QH_Z,O48+1)-INDEX(QH_Z,O48))</f>
        <v/>
      </c>
      <c r="I48" s="48">
        <f>INDEX(QH_qtc,O48,$F$4)+P48*(INDEX(QH_qtc,O48+1,$F$4)-INDEX(QH_qtc,O48,$F$4))</f>
        <v/>
      </c>
      <c r="J48" s="49">
        <f>INDEX(QH_qsc,O48)+P48*(INDEX(QH_qsc,O48+1)-INDEX(QH_qsc,O48))</f>
        <v/>
      </c>
      <c r="K48" s="25">
        <f>INDEX(QH_V,O48)+P48*(INDEX(QH_V,O48+1)-INDEX(QH_V,O48))</f>
        <v/>
      </c>
      <c r="L48" s="39">
        <f>K48*1000000/dt_s+G48/2</f>
        <v/>
      </c>
      <c r="M48" s="50">
        <f>MATCH(D48,INDEX(QH_q,0,$F$4),1)</f>
        <v/>
      </c>
      <c r="N48" s="51">
        <f>(D48-INDEX(QH_q,M48,$F$4))/(INDEX(QH_q,M48+1,$F$4)-INDEX(QH_q,M48,$F$4))</f>
        <v/>
      </c>
      <c r="O48" s="50">
        <f>MATCH(F48,INDEX(QH_f2,0,$F$4),1)</f>
        <v/>
      </c>
      <c r="P48" s="51">
        <f>(F48-INDEX(QH_f2,O48,$F$4))/(INDEX(QH_f2,O48+1,$F$4)-INDEX(QH_f2,O48,$F$4))</f>
        <v/>
      </c>
    </row>
    <row r="49">
      <c r="A49" s="44" t="n">
        <v>33</v>
      </c>
      <c r="B49" s="39">
        <f>IFERROR(INDEX(Lu_Q,MATCH(A49,Lu_t,0),$C$4),0)</f>
        <v/>
      </c>
      <c r="C49" s="39">
        <f>(B48+B49)/2</f>
        <v/>
      </c>
      <c r="D49" s="39">
        <f>G48</f>
        <v/>
      </c>
      <c r="E49" s="45">
        <f>INDEX(QH_f1,M49,$F$4)+N49*(INDEX(QH_f1,M49+1,$F$4)-INDEX(QH_f1,M49,$F$4))</f>
        <v/>
      </c>
      <c r="F49" s="45">
        <f>E49+C49</f>
        <v/>
      </c>
      <c r="G49" s="46">
        <f>INDEX(QH_q,O49,$F$4)+P49*(INDEX(QH_q,O49+1,$F$4)-INDEX(QH_q,O49,$F$4))</f>
        <v/>
      </c>
      <c r="H49" s="47">
        <f>INDEX(QH_Z,O49)+P49*(INDEX(QH_Z,O49+1)-INDEX(QH_Z,O49))</f>
        <v/>
      </c>
      <c r="I49" s="48">
        <f>INDEX(QH_qtc,O49,$F$4)+P49*(INDEX(QH_qtc,O49+1,$F$4)-INDEX(QH_qtc,O49,$F$4))</f>
        <v/>
      </c>
      <c r="J49" s="49">
        <f>INDEX(QH_qsc,O49)+P49*(INDEX(QH_qsc,O49+1)-INDEX(QH_qsc,O49))</f>
        <v/>
      </c>
      <c r="K49" s="25">
        <f>INDEX(QH_V,O49)+P49*(INDEX(QH_V,O49+1)-INDEX(QH_V,O49))</f>
        <v/>
      </c>
      <c r="L49" s="39">
        <f>K49*1000000/dt_s+G49/2</f>
        <v/>
      </c>
      <c r="M49" s="50">
        <f>MATCH(D49,INDEX(QH_q,0,$F$4),1)</f>
        <v/>
      </c>
      <c r="N49" s="51">
        <f>(D49-INDEX(QH_q,M49,$F$4))/(INDEX(QH_q,M49+1,$F$4)-INDEX(QH_q,M49,$F$4))</f>
        <v/>
      </c>
      <c r="O49" s="50">
        <f>MATCH(F49,INDEX(QH_f2,0,$F$4),1)</f>
        <v/>
      </c>
      <c r="P49" s="51">
        <f>(F49-INDEX(QH_f2,O49,$F$4))/(INDEX(QH_f2,O49+1,$F$4)-INDEX(QH_f2,O49,$F$4))</f>
        <v/>
      </c>
    </row>
    <row r="50">
      <c r="A50" s="44" t="n">
        <v>34</v>
      </c>
      <c r="B50" s="39">
        <f>IFERROR(INDEX(Lu_Q,MATCH(A50,Lu_t,0),$C$4),0)</f>
        <v/>
      </c>
      <c r="C50" s="39">
        <f>(B49+B50)/2</f>
        <v/>
      </c>
      <c r="D50" s="39">
        <f>G49</f>
        <v/>
      </c>
      <c r="E50" s="45">
        <f>INDEX(QH_f1,M50,$F$4)+N50*(INDEX(QH_f1,M50+1,$F$4)-INDEX(QH_f1,M50,$F$4))</f>
        <v/>
      </c>
      <c r="F50" s="45">
        <f>E50+C50</f>
        <v/>
      </c>
      <c r="G50" s="46">
        <f>INDEX(QH_q,O50,$F$4)+P50*(INDEX(QH_q,O50+1,$F$4)-INDEX(QH_q,O50,$F$4))</f>
        <v/>
      </c>
      <c r="H50" s="47">
        <f>INDEX(QH_Z,O50)+P50*(INDEX(QH_Z,O50+1)-INDEX(QH_Z,O50))</f>
        <v/>
      </c>
      <c r="I50" s="48">
        <f>INDEX(QH_qtc,O50,$F$4)+P50*(INDEX(QH_qtc,O50+1,$F$4)-INDEX(QH_qtc,O50,$F$4))</f>
        <v/>
      </c>
      <c r="J50" s="49">
        <f>INDEX(QH_qsc,O50)+P50*(INDEX(QH_qsc,O50+1)-INDEX(QH_qsc,O50))</f>
        <v/>
      </c>
      <c r="K50" s="25">
        <f>INDEX(QH_V,O50)+P50*(INDEX(QH_V,O50+1)-INDEX(QH_V,O50))</f>
        <v/>
      </c>
      <c r="L50" s="39">
        <f>K50*1000000/dt_s+G50/2</f>
        <v/>
      </c>
      <c r="M50" s="50">
        <f>MATCH(D50,INDEX(QH_q,0,$F$4),1)</f>
        <v/>
      </c>
      <c r="N50" s="51">
        <f>(D50-INDEX(QH_q,M50,$F$4))/(INDEX(QH_q,M50+1,$F$4)-INDEX(QH_q,M50,$F$4))</f>
        <v/>
      </c>
      <c r="O50" s="50">
        <f>MATCH(F50,INDEX(QH_f2,0,$F$4),1)</f>
        <v/>
      </c>
      <c r="P50" s="51">
        <f>(F50-INDEX(QH_f2,O50,$F$4))/(INDEX(QH_f2,O50+1,$F$4)-INDEX(QH_f2,O50,$F$4))</f>
        <v/>
      </c>
    </row>
    <row r="51">
      <c r="A51" s="44" t="n">
        <v>35</v>
      </c>
      <c r="B51" s="39">
        <f>IFERROR(INDEX(Lu_Q,MATCH(A51,Lu_t,0),$C$4),0)</f>
        <v/>
      </c>
      <c r="C51" s="39">
        <f>(B50+B51)/2</f>
        <v/>
      </c>
      <c r="D51" s="39">
        <f>G50</f>
        <v/>
      </c>
      <c r="E51" s="45">
        <f>INDEX(QH_f1,M51,$F$4)+N51*(INDEX(QH_f1,M51+1,$F$4)-INDEX(QH_f1,M51,$F$4))</f>
        <v/>
      </c>
      <c r="F51" s="45">
        <f>E51+C51</f>
        <v/>
      </c>
      <c r="G51" s="46">
        <f>INDEX(QH_q,O51,$F$4)+P51*(INDEX(QH_q,O51+1,$F$4)-INDEX(QH_q,O51,$F$4))</f>
        <v/>
      </c>
      <c r="H51" s="47">
        <f>INDEX(QH_Z,O51)+P51*(INDEX(QH_Z,O51+1)-INDEX(QH_Z,O51))</f>
        <v/>
      </c>
      <c r="I51" s="48">
        <f>INDEX(QH_qtc,O51,$F$4)+P51*(INDEX(QH_qtc,O51+1,$F$4)-INDEX(QH_qtc,O51,$F$4))</f>
        <v/>
      </c>
      <c r="J51" s="49">
        <f>INDEX(QH_qsc,O51)+P51*(INDEX(QH_qsc,O51+1)-INDEX(QH_qsc,O51))</f>
        <v/>
      </c>
      <c r="K51" s="25">
        <f>INDEX(QH_V,O51)+P51*(INDEX(QH_V,O51+1)-INDEX(QH_V,O51))</f>
        <v/>
      </c>
      <c r="L51" s="39">
        <f>K51*1000000/dt_s+G51/2</f>
        <v/>
      </c>
      <c r="M51" s="50">
        <f>MATCH(D51,INDEX(QH_q,0,$F$4),1)</f>
        <v/>
      </c>
      <c r="N51" s="51">
        <f>(D51-INDEX(QH_q,M51,$F$4))/(INDEX(QH_q,M51+1,$F$4)-INDEX(QH_q,M51,$F$4))</f>
        <v/>
      </c>
      <c r="O51" s="50">
        <f>MATCH(F51,INDEX(QH_f2,0,$F$4),1)</f>
        <v/>
      </c>
      <c r="P51" s="51">
        <f>(F51-INDEX(QH_f2,O51,$F$4))/(INDEX(QH_f2,O51+1,$F$4)-INDEX(QH_f2,O51,$F$4))</f>
        <v/>
      </c>
    </row>
    <row r="52">
      <c r="A52" s="44" t="n">
        <v>36</v>
      </c>
      <c r="B52" s="39">
        <f>IFERROR(INDEX(Lu_Q,MATCH(A52,Lu_t,0),$C$4),0)</f>
        <v/>
      </c>
      <c r="C52" s="39">
        <f>(B51+B52)/2</f>
        <v/>
      </c>
      <c r="D52" s="39">
        <f>G51</f>
        <v/>
      </c>
      <c r="E52" s="45">
        <f>INDEX(QH_f1,M52,$F$4)+N52*(INDEX(QH_f1,M52+1,$F$4)-INDEX(QH_f1,M52,$F$4))</f>
        <v/>
      </c>
      <c r="F52" s="45">
        <f>E52+C52</f>
        <v/>
      </c>
      <c r="G52" s="46">
        <f>INDEX(QH_q,O52,$F$4)+P52*(INDEX(QH_q,O52+1,$F$4)-INDEX(QH_q,O52,$F$4))</f>
        <v/>
      </c>
      <c r="H52" s="47">
        <f>INDEX(QH_Z,O52)+P52*(INDEX(QH_Z,O52+1)-INDEX(QH_Z,O52))</f>
        <v/>
      </c>
      <c r="I52" s="48">
        <f>INDEX(QH_qtc,O52,$F$4)+P52*(INDEX(QH_qtc,O52+1,$F$4)-INDEX(QH_qtc,O52,$F$4))</f>
        <v/>
      </c>
      <c r="J52" s="49">
        <f>INDEX(QH_qsc,O52)+P52*(INDEX(QH_qsc,O52+1)-INDEX(QH_qsc,O52))</f>
        <v/>
      </c>
      <c r="K52" s="25">
        <f>INDEX(QH_V,O52)+P52*(INDEX(QH_V,O52+1)-INDEX(QH_V,O52))</f>
        <v/>
      </c>
      <c r="L52" s="39">
        <f>K52*1000000/dt_s+G52/2</f>
        <v/>
      </c>
      <c r="M52" s="50">
        <f>MATCH(D52,INDEX(QH_q,0,$F$4),1)</f>
        <v/>
      </c>
      <c r="N52" s="51">
        <f>(D52-INDEX(QH_q,M52,$F$4))/(INDEX(QH_q,M52+1,$F$4)-INDEX(QH_q,M52,$F$4))</f>
        <v/>
      </c>
      <c r="O52" s="50">
        <f>MATCH(F52,INDEX(QH_f2,0,$F$4),1)</f>
        <v/>
      </c>
      <c r="P52" s="51">
        <f>(F52-INDEX(QH_f2,O52,$F$4))/(INDEX(QH_f2,O52+1,$F$4)-INDEX(QH_f2,O52,$F$4))</f>
        <v/>
      </c>
    </row>
    <row r="53">
      <c r="A53" s="44" t="n">
        <v>37</v>
      </c>
      <c r="B53" s="39">
        <f>IFERROR(INDEX(Lu_Q,MATCH(A53,Lu_t,0),$C$4),0)</f>
        <v/>
      </c>
      <c r="C53" s="39">
        <f>(B52+B53)/2</f>
        <v/>
      </c>
      <c r="D53" s="39">
        <f>G52</f>
        <v/>
      </c>
      <c r="E53" s="45">
        <f>INDEX(QH_f1,M53,$F$4)+N53*(INDEX(QH_f1,M53+1,$F$4)-INDEX(QH_f1,M53,$F$4))</f>
        <v/>
      </c>
      <c r="F53" s="45">
        <f>E53+C53</f>
        <v/>
      </c>
      <c r="G53" s="46">
        <f>INDEX(QH_q,O53,$F$4)+P53*(INDEX(QH_q,O53+1,$F$4)-INDEX(QH_q,O53,$F$4))</f>
        <v/>
      </c>
      <c r="H53" s="47">
        <f>INDEX(QH_Z,O53)+P53*(INDEX(QH_Z,O53+1)-INDEX(QH_Z,O53))</f>
        <v/>
      </c>
      <c r="I53" s="48">
        <f>INDEX(QH_qtc,O53,$F$4)+P53*(INDEX(QH_qtc,O53+1,$F$4)-INDEX(QH_qtc,O53,$F$4))</f>
        <v/>
      </c>
      <c r="J53" s="49">
        <f>INDEX(QH_qsc,O53)+P53*(INDEX(QH_qsc,O53+1)-INDEX(QH_qsc,O53))</f>
        <v/>
      </c>
      <c r="K53" s="25">
        <f>INDEX(QH_V,O53)+P53*(INDEX(QH_V,O53+1)-INDEX(QH_V,O53))</f>
        <v/>
      </c>
      <c r="L53" s="39">
        <f>K53*1000000/dt_s+G53/2</f>
        <v/>
      </c>
      <c r="M53" s="50">
        <f>MATCH(D53,INDEX(QH_q,0,$F$4),1)</f>
        <v/>
      </c>
      <c r="N53" s="51">
        <f>(D53-INDEX(QH_q,M53,$F$4))/(INDEX(QH_q,M53+1,$F$4)-INDEX(QH_q,M53,$F$4))</f>
        <v/>
      </c>
      <c r="O53" s="50">
        <f>MATCH(F53,INDEX(QH_f2,0,$F$4),1)</f>
        <v/>
      </c>
      <c r="P53" s="51">
        <f>(F53-INDEX(QH_f2,O53,$F$4))/(INDEX(QH_f2,O53+1,$F$4)-INDEX(QH_f2,O53,$F$4))</f>
        <v/>
      </c>
    </row>
    <row r="54">
      <c r="A54" s="44" t="n">
        <v>38</v>
      </c>
      <c r="B54" s="39">
        <f>IFERROR(INDEX(Lu_Q,MATCH(A54,Lu_t,0),$C$4),0)</f>
        <v/>
      </c>
      <c r="C54" s="39">
        <f>(B53+B54)/2</f>
        <v/>
      </c>
      <c r="D54" s="39">
        <f>G53</f>
        <v/>
      </c>
      <c r="E54" s="45">
        <f>INDEX(QH_f1,M54,$F$4)+N54*(INDEX(QH_f1,M54+1,$F$4)-INDEX(QH_f1,M54,$F$4))</f>
        <v/>
      </c>
      <c r="F54" s="45">
        <f>E54+C54</f>
        <v/>
      </c>
      <c r="G54" s="46">
        <f>INDEX(QH_q,O54,$F$4)+P54*(INDEX(QH_q,O54+1,$F$4)-INDEX(QH_q,O54,$F$4))</f>
        <v/>
      </c>
      <c r="H54" s="47">
        <f>INDEX(QH_Z,O54)+P54*(INDEX(QH_Z,O54+1)-INDEX(QH_Z,O54))</f>
        <v/>
      </c>
      <c r="I54" s="48">
        <f>INDEX(QH_qtc,O54,$F$4)+P54*(INDEX(QH_qtc,O54+1,$F$4)-INDEX(QH_qtc,O54,$F$4))</f>
        <v/>
      </c>
      <c r="J54" s="49">
        <f>INDEX(QH_qsc,O54)+P54*(INDEX(QH_qsc,O54+1)-INDEX(QH_qsc,O54))</f>
        <v/>
      </c>
      <c r="K54" s="25">
        <f>INDEX(QH_V,O54)+P54*(INDEX(QH_V,O54+1)-INDEX(QH_V,O54))</f>
        <v/>
      </c>
      <c r="L54" s="39">
        <f>K54*1000000/dt_s+G54/2</f>
        <v/>
      </c>
      <c r="M54" s="50">
        <f>MATCH(D54,INDEX(QH_q,0,$F$4),1)</f>
        <v/>
      </c>
      <c r="N54" s="51">
        <f>(D54-INDEX(QH_q,M54,$F$4))/(INDEX(QH_q,M54+1,$F$4)-INDEX(QH_q,M54,$F$4))</f>
        <v/>
      </c>
      <c r="O54" s="50">
        <f>MATCH(F54,INDEX(QH_f2,0,$F$4),1)</f>
        <v/>
      </c>
      <c r="P54" s="51">
        <f>(F54-INDEX(QH_f2,O54,$F$4))/(INDEX(QH_f2,O54+1,$F$4)-INDEX(QH_f2,O54,$F$4))</f>
        <v/>
      </c>
    </row>
    <row r="55">
      <c r="A55" s="44" t="n">
        <v>39</v>
      </c>
      <c r="B55" s="39">
        <f>IFERROR(INDEX(Lu_Q,MATCH(A55,Lu_t,0),$C$4),0)</f>
        <v/>
      </c>
      <c r="C55" s="39">
        <f>(B54+B55)/2</f>
        <v/>
      </c>
      <c r="D55" s="39">
        <f>G54</f>
        <v/>
      </c>
      <c r="E55" s="45">
        <f>INDEX(QH_f1,M55,$F$4)+N55*(INDEX(QH_f1,M55+1,$F$4)-INDEX(QH_f1,M55,$F$4))</f>
        <v/>
      </c>
      <c r="F55" s="45">
        <f>E55+C55</f>
        <v/>
      </c>
      <c r="G55" s="46">
        <f>INDEX(QH_q,O55,$F$4)+P55*(INDEX(QH_q,O55+1,$F$4)-INDEX(QH_q,O55,$F$4))</f>
        <v/>
      </c>
      <c r="H55" s="47">
        <f>INDEX(QH_Z,O55)+P55*(INDEX(QH_Z,O55+1)-INDEX(QH_Z,O55))</f>
        <v/>
      </c>
      <c r="I55" s="48">
        <f>INDEX(QH_qtc,O55,$F$4)+P55*(INDEX(QH_qtc,O55+1,$F$4)-INDEX(QH_qtc,O55,$F$4))</f>
        <v/>
      </c>
      <c r="J55" s="49">
        <f>INDEX(QH_qsc,O55)+P55*(INDEX(QH_qsc,O55+1)-INDEX(QH_qsc,O55))</f>
        <v/>
      </c>
      <c r="K55" s="25">
        <f>INDEX(QH_V,O55)+P55*(INDEX(QH_V,O55+1)-INDEX(QH_V,O55))</f>
        <v/>
      </c>
      <c r="L55" s="39">
        <f>K55*1000000/dt_s+G55/2</f>
        <v/>
      </c>
      <c r="M55" s="50">
        <f>MATCH(D55,INDEX(QH_q,0,$F$4),1)</f>
        <v/>
      </c>
      <c r="N55" s="51">
        <f>(D55-INDEX(QH_q,M55,$F$4))/(INDEX(QH_q,M55+1,$F$4)-INDEX(QH_q,M55,$F$4))</f>
        <v/>
      </c>
      <c r="O55" s="50">
        <f>MATCH(F55,INDEX(QH_f2,0,$F$4),1)</f>
        <v/>
      </c>
      <c r="P55" s="51">
        <f>(F55-INDEX(QH_f2,O55,$F$4))/(INDEX(QH_f2,O55+1,$F$4)-INDEX(QH_f2,O55,$F$4))</f>
        <v/>
      </c>
    </row>
    <row r="56">
      <c r="A56" s="44" t="n">
        <v>40</v>
      </c>
      <c r="B56" s="39">
        <f>IFERROR(INDEX(Lu_Q,MATCH(A56,Lu_t,0),$C$4),0)</f>
        <v/>
      </c>
      <c r="C56" s="39">
        <f>(B55+B56)/2</f>
        <v/>
      </c>
      <c r="D56" s="39">
        <f>G55</f>
        <v/>
      </c>
      <c r="E56" s="45">
        <f>INDEX(QH_f1,M56,$F$4)+N56*(INDEX(QH_f1,M56+1,$F$4)-INDEX(QH_f1,M56,$F$4))</f>
        <v/>
      </c>
      <c r="F56" s="45">
        <f>E56+C56</f>
        <v/>
      </c>
      <c r="G56" s="46">
        <f>INDEX(QH_q,O56,$F$4)+P56*(INDEX(QH_q,O56+1,$F$4)-INDEX(QH_q,O56,$F$4))</f>
        <v/>
      </c>
      <c r="H56" s="47">
        <f>INDEX(QH_Z,O56)+P56*(INDEX(QH_Z,O56+1)-INDEX(QH_Z,O56))</f>
        <v/>
      </c>
      <c r="I56" s="48">
        <f>INDEX(QH_qtc,O56,$F$4)+P56*(INDEX(QH_qtc,O56+1,$F$4)-INDEX(QH_qtc,O56,$F$4))</f>
        <v/>
      </c>
      <c r="J56" s="49">
        <f>INDEX(QH_qsc,O56)+P56*(INDEX(QH_qsc,O56+1)-INDEX(QH_qsc,O56))</f>
        <v/>
      </c>
      <c r="K56" s="25">
        <f>INDEX(QH_V,O56)+P56*(INDEX(QH_V,O56+1)-INDEX(QH_V,O56))</f>
        <v/>
      </c>
      <c r="L56" s="39">
        <f>K56*1000000/dt_s+G56/2</f>
        <v/>
      </c>
      <c r="M56" s="50">
        <f>MATCH(D56,INDEX(QH_q,0,$F$4),1)</f>
        <v/>
      </c>
      <c r="N56" s="51">
        <f>(D56-INDEX(QH_q,M56,$F$4))/(INDEX(QH_q,M56+1,$F$4)-INDEX(QH_q,M56,$F$4))</f>
        <v/>
      </c>
      <c r="O56" s="50">
        <f>MATCH(F56,INDEX(QH_f2,0,$F$4),1)</f>
        <v/>
      </c>
      <c r="P56" s="51">
        <f>(F56-INDEX(QH_f2,O56,$F$4))/(INDEX(QH_f2,O56+1,$F$4)-INDEX(QH_f2,O56,$F$4))</f>
        <v/>
      </c>
    </row>
    <row r="57">
      <c r="A57" s="44" t="n">
        <v>41</v>
      </c>
      <c r="B57" s="39">
        <f>IFERROR(INDEX(Lu_Q,MATCH(A57,Lu_t,0),$C$4),0)</f>
        <v/>
      </c>
      <c r="C57" s="39">
        <f>(B56+B57)/2</f>
        <v/>
      </c>
      <c r="D57" s="39">
        <f>G56</f>
        <v/>
      </c>
      <c r="E57" s="45">
        <f>INDEX(QH_f1,M57,$F$4)+N57*(INDEX(QH_f1,M57+1,$F$4)-INDEX(QH_f1,M57,$F$4))</f>
        <v/>
      </c>
      <c r="F57" s="45">
        <f>E57+C57</f>
        <v/>
      </c>
      <c r="G57" s="46">
        <f>INDEX(QH_q,O57,$F$4)+P57*(INDEX(QH_q,O57+1,$F$4)-INDEX(QH_q,O57,$F$4))</f>
        <v/>
      </c>
      <c r="H57" s="47">
        <f>INDEX(QH_Z,O57)+P57*(INDEX(QH_Z,O57+1)-INDEX(QH_Z,O57))</f>
        <v/>
      </c>
      <c r="I57" s="48">
        <f>INDEX(QH_qtc,O57,$F$4)+P57*(INDEX(QH_qtc,O57+1,$F$4)-INDEX(QH_qtc,O57,$F$4))</f>
        <v/>
      </c>
      <c r="J57" s="49">
        <f>INDEX(QH_qsc,O57)+P57*(INDEX(QH_qsc,O57+1)-INDEX(QH_qsc,O57))</f>
        <v/>
      </c>
      <c r="K57" s="25">
        <f>INDEX(QH_V,O57)+P57*(INDEX(QH_V,O57+1)-INDEX(QH_V,O57))</f>
        <v/>
      </c>
      <c r="L57" s="39">
        <f>K57*1000000/dt_s+G57/2</f>
        <v/>
      </c>
      <c r="M57" s="50">
        <f>MATCH(D57,INDEX(QH_q,0,$F$4),1)</f>
        <v/>
      </c>
      <c r="N57" s="51">
        <f>(D57-INDEX(QH_q,M57,$F$4))/(INDEX(QH_q,M57+1,$F$4)-INDEX(QH_q,M57,$F$4))</f>
        <v/>
      </c>
      <c r="O57" s="50">
        <f>MATCH(F57,INDEX(QH_f2,0,$F$4),1)</f>
        <v/>
      </c>
      <c r="P57" s="51">
        <f>(F57-INDEX(QH_f2,O57,$F$4))/(INDEX(QH_f2,O57+1,$F$4)-INDEX(QH_f2,O57,$F$4))</f>
        <v/>
      </c>
    </row>
    <row r="58">
      <c r="A58" s="44" t="n">
        <v>42</v>
      </c>
      <c r="B58" s="39">
        <f>IFERROR(INDEX(Lu_Q,MATCH(A58,Lu_t,0),$C$4),0)</f>
        <v/>
      </c>
      <c r="C58" s="39">
        <f>(B57+B58)/2</f>
        <v/>
      </c>
      <c r="D58" s="39">
        <f>G57</f>
        <v/>
      </c>
      <c r="E58" s="45">
        <f>INDEX(QH_f1,M58,$F$4)+N58*(INDEX(QH_f1,M58+1,$F$4)-INDEX(QH_f1,M58,$F$4))</f>
        <v/>
      </c>
      <c r="F58" s="45">
        <f>E58+C58</f>
        <v/>
      </c>
      <c r="G58" s="46">
        <f>INDEX(QH_q,O58,$F$4)+P58*(INDEX(QH_q,O58+1,$F$4)-INDEX(QH_q,O58,$F$4))</f>
        <v/>
      </c>
      <c r="H58" s="47">
        <f>INDEX(QH_Z,O58)+P58*(INDEX(QH_Z,O58+1)-INDEX(QH_Z,O58))</f>
        <v/>
      </c>
      <c r="I58" s="48">
        <f>INDEX(QH_qtc,O58,$F$4)+P58*(INDEX(QH_qtc,O58+1,$F$4)-INDEX(QH_qtc,O58,$F$4))</f>
        <v/>
      </c>
      <c r="J58" s="49">
        <f>INDEX(QH_qsc,O58)+P58*(INDEX(QH_qsc,O58+1)-INDEX(QH_qsc,O58))</f>
        <v/>
      </c>
      <c r="K58" s="25">
        <f>INDEX(QH_V,O58)+P58*(INDEX(QH_V,O58+1)-INDEX(QH_V,O58))</f>
        <v/>
      </c>
      <c r="L58" s="39">
        <f>K58*1000000/dt_s+G58/2</f>
        <v/>
      </c>
      <c r="M58" s="50">
        <f>MATCH(D58,INDEX(QH_q,0,$F$4),1)</f>
        <v/>
      </c>
      <c r="N58" s="51">
        <f>(D58-INDEX(QH_q,M58,$F$4))/(INDEX(QH_q,M58+1,$F$4)-INDEX(QH_q,M58,$F$4))</f>
        <v/>
      </c>
      <c r="O58" s="50">
        <f>MATCH(F58,INDEX(QH_f2,0,$F$4),1)</f>
        <v/>
      </c>
      <c r="P58" s="51">
        <f>(F58-INDEX(QH_f2,O58,$F$4))/(INDEX(QH_f2,O58+1,$F$4)-INDEX(QH_f2,O58,$F$4))</f>
        <v/>
      </c>
    </row>
    <row r="59">
      <c r="A59" s="44" t="n">
        <v>43</v>
      </c>
      <c r="B59" s="39">
        <f>IFERROR(INDEX(Lu_Q,MATCH(A59,Lu_t,0),$C$4),0)</f>
        <v/>
      </c>
      <c r="C59" s="39">
        <f>(B58+B59)/2</f>
        <v/>
      </c>
      <c r="D59" s="39">
        <f>G58</f>
        <v/>
      </c>
      <c r="E59" s="45">
        <f>INDEX(QH_f1,M59,$F$4)+N59*(INDEX(QH_f1,M59+1,$F$4)-INDEX(QH_f1,M59,$F$4))</f>
        <v/>
      </c>
      <c r="F59" s="45">
        <f>E59+C59</f>
        <v/>
      </c>
      <c r="G59" s="46">
        <f>INDEX(QH_q,O59,$F$4)+P59*(INDEX(QH_q,O59+1,$F$4)-INDEX(QH_q,O59,$F$4))</f>
        <v/>
      </c>
      <c r="H59" s="47">
        <f>INDEX(QH_Z,O59)+P59*(INDEX(QH_Z,O59+1)-INDEX(QH_Z,O59))</f>
        <v/>
      </c>
      <c r="I59" s="48">
        <f>INDEX(QH_qtc,O59,$F$4)+P59*(INDEX(QH_qtc,O59+1,$F$4)-INDEX(QH_qtc,O59,$F$4))</f>
        <v/>
      </c>
      <c r="J59" s="49">
        <f>INDEX(QH_qsc,O59)+P59*(INDEX(QH_qsc,O59+1)-INDEX(QH_qsc,O59))</f>
        <v/>
      </c>
      <c r="K59" s="25">
        <f>INDEX(QH_V,O59)+P59*(INDEX(QH_V,O59+1)-INDEX(QH_V,O59))</f>
        <v/>
      </c>
      <c r="L59" s="39">
        <f>K59*1000000/dt_s+G59/2</f>
        <v/>
      </c>
      <c r="M59" s="50">
        <f>MATCH(D59,INDEX(QH_q,0,$F$4),1)</f>
        <v/>
      </c>
      <c r="N59" s="51">
        <f>(D59-INDEX(QH_q,M59,$F$4))/(INDEX(QH_q,M59+1,$F$4)-INDEX(QH_q,M59,$F$4))</f>
        <v/>
      </c>
      <c r="O59" s="50">
        <f>MATCH(F59,INDEX(QH_f2,0,$F$4),1)</f>
        <v/>
      </c>
      <c r="P59" s="51">
        <f>(F59-INDEX(QH_f2,O59,$F$4))/(INDEX(QH_f2,O59+1,$F$4)-INDEX(QH_f2,O59,$F$4))</f>
        <v/>
      </c>
    </row>
    <row r="60">
      <c r="A60" s="44" t="n">
        <v>44</v>
      </c>
      <c r="B60" s="39">
        <f>IFERROR(INDEX(Lu_Q,MATCH(A60,Lu_t,0),$C$4),0)</f>
        <v/>
      </c>
      <c r="C60" s="39">
        <f>(B59+B60)/2</f>
        <v/>
      </c>
      <c r="D60" s="39">
        <f>G59</f>
        <v/>
      </c>
      <c r="E60" s="45">
        <f>INDEX(QH_f1,M60,$F$4)+N60*(INDEX(QH_f1,M60+1,$F$4)-INDEX(QH_f1,M60,$F$4))</f>
        <v/>
      </c>
      <c r="F60" s="45">
        <f>E60+C60</f>
        <v/>
      </c>
      <c r="G60" s="46">
        <f>INDEX(QH_q,O60,$F$4)+P60*(INDEX(QH_q,O60+1,$F$4)-INDEX(QH_q,O60,$F$4))</f>
        <v/>
      </c>
      <c r="H60" s="47">
        <f>INDEX(QH_Z,O60)+P60*(INDEX(QH_Z,O60+1)-INDEX(QH_Z,O60))</f>
        <v/>
      </c>
      <c r="I60" s="48">
        <f>INDEX(QH_qtc,O60,$F$4)+P60*(INDEX(QH_qtc,O60+1,$F$4)-INDEX(QH_qtc,O60,$F$4))</f>
        <v/>
      </c>
      <c r="J60" s="49">
        <f>INDEX(QH_qsc,O60)+P60*(INDEX(QH_qsc,O60+1)-INDEX(QH_qsc,O60))</f>
        <v/>
      </c>
      <c r="K60" s="25">
        <f>INDEX(QH_V,O60)+P60*(INDEX(QH_V,O60+1)-INDEX(QH_V,O60))</f>
        <v/>
      </c>
      <c r="L60" s="39">
        <f>K60*1000000/dt_s+G60/2</f>
        <v/>
      </c>
      <c r="M60" s="50">
        <f>MATCH(D60,INDEX(QH_q,0,$F$4),1)</f>
        <v/>
      </c>
      <c r="N60" s="51">
        <f>(D60-INDEX(QH_q,M60,$F$4))/(INDEX(QH_q,M60+1,$F$4)-INDEX(QH_q,M60,$F$4))</f>
        <v/>
      </c>
      <c r="O60" s="50">
        <f>MATCH(F60,INDEX(QH_f2,0,$F$4),1)</f>
        <v/>
      </c>
      <c r="P60" s="51">
        <f>(F60-INDEX(QH_f2,O60,$F$4))/(INDEX(QH_f2,O60+1,$F$4)-INDEX(QH_f2,O60,$F$4))</f>
        <v/>
      </c>
    </row>
    <row r="61">
      <c r="A61" s="44" t="n">
        <v>45</v>
      </c>
      <c r="B61" s="39">
        <f>IFERROR(INDEX(Lu_Q,MATCH(A61,Lu_t,0),$C$4),0)</f>
        <v/>
      </c>
      <c r="C61" s="39">
        <f>(B60+B61)/2</f>
        <v/>
      </c>
      <c r="D61" s="39">
        <f>G60</f>
        <v/>
      </c>
      <c r="E61" s="45">
        <f>INDEX(QH_f1,M61,$F$4)+N61*(INDEX(QH_f1,M61+1,$F$4)-INDEX(QH_f1,M61,$F$4))</f>
        <v/>
      </c>
      <c r="F61" s="45">
        <f>E61+C61</f>
        <v/>
      </c>
      <c r="G61" s="46">
        <f>INDEX(QH_q,O61,$F$4)+P61*(INDEX(QH_q,O61+1,$F$4)-INDEX(QH_q,O61,$F$4))</f>
        <v/>
      </c>
      <c r="H61" s="47">
        <f>INDEX(QH_Z,O61)+P61*(INDEX(QH_Z,O61+1)-INDEX(QH_Z,O61))</f>
        <v/>
      </c>
      <c r="I61" s="48">
        <f>INDEX(QH_qtc,O61,$F$4)+P61*(INDEX(QH_qtc,O61+1,$F$4)-INDEX(QH_qtc,O61,$F$4))</f>
        <v/>
      </c>
      <c r="J61" s="49">
        <f>INDEX(QH_qsc,O61)+P61*(INDEX(QH_qsc,O61+1)-INDEX(QH_qsc,O61))</f>
        <v/>
      </c>
      <c r="K61" s="25">
        <f>INDEX(QH_V,O61)+P61*(INDEX(QH_V,O61+1)-INDEX(QH_V,O61))</f>
        <v/>
      </c>
      <c r="L61" s="39">
        <f>K61*1000000/dt_s+G61/2</f>
        <v/>
      </c>
      <c r="M61" s="50">
        <f>MATCH(D61,INDEX(QH_q,0,$F$4),1)</f>
        <v/>
      </c>
      <c r="N61" s="51">
        <f>(D61-INDEX(QH_q,M61,$F$4))/(INDEX(QH_q,M61+1,$F$4)-INDEX(QH_q,M61,$F$4))</f>
        <v/>
      </c>
      <c r="O61" s="50">
        <f>MATCH(F61,INDEX(QH_f2,0,$F$4),1)</f>
        <v/>
      </c>
      <c r="P61" s="51">
        <f>(F61-INDEX(QH_f2,O61,$F$4))/(INDEX(QH_f2,O61+1,$F$4)-INDEX(QH_f2,O61,$F$4))</f>
        <v/>
      </c>
    </row>
    <row r="62">
      <c r="A62" s="44" t="n">
        <v>46</v>
      </c>
      <c r="B62" s="39">
        <f>IFERROR(INDEX(Lu_Q,MATCH(A62,Lu_t,0),$C$4),0)</f>
        <v/>
      </c>
      <c r="C62" s="39">
        <f>(B61+B62)/2</f>
        <v/>
      </c>
      <c r="D62" s="39">
        <f>G61</f>
        <v/>
      </c>
      <c r="E62" s="45">
        <f>INDEX(QH_f1,M62,$F$4)+N62*(INDEX(QH_f1,M62+1,$F$4)-INDEX(QH_f1,M62,$F$4))</f>
        <v/>
      </c>
      <c r="F62" s="45">
        <f>E62+C62</f>
        <v/>
      </c>
      <c r="G62" s="46">
        <f>INDEX(QH_q,O62,$F$4)+P62*(INDEX(QH_q,O62+1,$F$4)-INDEX(QH_q,O62,$F$4))</f>
        <v/>
      </c>
      <c r="H62" s="47">
        <f>INDEX(QH_Z,O62)+P62*(INDEX(QH_Z,O62+1)-INDEX(QH_Z,O62))</f>
        <v/>
      </c>
      <c r="I62" s="48">
        <f>INDEX(QH_qtc,O62,$F$4)+P62*(INDEX(QH_qtc,O62+1,$F$4)-INDEX(QH_qtc,O62,$F$4))</f>
        <v/>
      </c>
      <c r="J62" s="49">
        <f>INDEX(QH_qsc,O62)+P62*(INDEX(QH_qsc,O62+1)-INDEX(QH_qsc,O62))</f>
        <v/>
      </c>
      <c r="K62" s="25">
        <f>INDEX(QH_V,O62)+P62*(INDEX(QH_V,O62+1)-INDEX(QH_V,O62))</f>
        <v/>
      </c>
      <c r="L62" s="39">
        <f>K62*1000000/dt_s+G62/2</f>
        <v/>
      </c>
      <c r="M62" s="50">
        <f>MATCH(D62,INDEX(QH_q,0,$F$4),1)</f>
        <v/>
      </c>
      <c r="N62" s="51">
        <f>(D62-INDEX(QH_q,M62,$F$4))/(INDEX(QH_q,M62+1,$F$4)-INDEX(QH_q,M62,$F$4))</f>
        <v/>
      </c>
      <c r="O62" s="50">
        <f>MATCH(F62,INDEX(QH_f2,0,$F$4),1)</f>
        <v/>
      </c>
      <c r="P62" s="51">
        <f>(F62-INDEX(QH_f2,O62,$F$4))/(INDEX(QH_f2,O62+1,$F$4)-INDEX(QH_f2,O62,$F$4))</f>
        <v/>
      </c>
    </row>
    <row r="63">
      <c r="A63" s="44" t="n">
        <v>47</v>
      </c>
      <c r="B63" s="39">
        <f>IFERROR(INDEX(Lu_Q,MATCH(A63,Lu_t,0),$C$4),0)</f>
        <v/>
      </c>
      <c r="C63" s="39">
        <f>(B62+B63)/2</f>
        <v/>
      </c>
      <c r="D63" s="39">
        <f>G62</f>
        <v/>
      </c>
      <c r="E63" s="45">
        <f>INDEX(QH_f1,M63,$F$4)+N63*(INDEX(QH_f1,M63+1,$F$4)-INDEX(QH_f1,M63,$F$4))</f>
        <v/>
      </c>
      <c r="F63" s="45">
        <f>E63+C63</f>
        <v/>
      </c>
      <c r="G63" s="46">
        <f>INDEX(QH_q,O63,$F$4)+P63*(INDEX(QH_q,O63+1,$F$4)-INDEX(QH_q,O63,$F$4))</f>
        <v/>
      </c>
      <c r="H63" s="47">
        <f>INDEX(QH_Z,O63)+P63*(INDEX(QH_Z,O63+1)-INDEX(QH_Z,O63))</f>
        <v/>
      </c>
      <c r="I63" s="48">
        <f>INDEX(QH_qtc,O63,$F$4)+P63*(INDEX(QH_qtc,O63+1,$F$4)-INDEX(QH_qtc,O63,$F$4))</f>
        <v/>
      </c>
      <c r="J63" s="49">
        <f>INDEX(QH_qsc,O63)+P63*(INDEX(QH_qsc,O63+1)-INDEX(QH_qsc,O63))</f>
        <v/>
      </c>
      <c r="K63" s="25">
        <f>INDEX(QH_V,O63)+P63*(INDEX(QH_V,O63+1)-INDEX(QH_V,O63))</f>
        <v/>
      </c>
      <c r="L63" s="39">
        <f>K63*1000000/dt_s+G63/2</f>
        <v/>
      </c>
      <c r="M63" s="50">
        <f>MATCH(D63,INDEX(QH_q,0,$F$4),1)</f>
        <v/>
      </c>
      <c r="N63" s="51">
        <f>(D63-INDEX(QH_q,M63,$F$4))/(INDEX(QH_q,M63+1,$F$4)-INDEX(QH_q,M63,$F$4))</f>
        <v/>
      </c>
      <c r="O63" s="50">
        <f>MATCH(F63,INDEX(QH_f2,0,$F$4),1)</f>
        <v/>
      </c>
      <c r="P63" s="51">
        <f>(F63-INDEX(QH_f2,O63,$F$4))/(INDEX(QH_f2,O63+1,$F$4)-INDEX(QH_f2,O63,$F$4))</f>
        <v/>
      </c>
    </row>
    <row r="64">
      <c r="A64" s="44" t="n">
        <v>48</v>
      </c>
      <c r="B64" s="39">
        <f>IFERROR(INDEX(Lu_Q,MATCH(A64,Lu_t,0),$C$4),0)</f>
        <v/>
      </c>
      <c r="C64" s="39">
        <f>(B63+B64)/2</f>
        <v/>
      </c>
      <c r="D64" s="39">
        <f>G63</f>
        <v/>
      </c>
      <c r="E64" s="45">
        <f>INDEX(QH_f1,M64,$F$4)+N64*(INDEX(QH_f1,M64+1,$F$4)-INDEX(QH_f1,M64,$F$4))</f>
        <v/>
      </c>
      <c r="F64" s="45">
        <f>E64+C64</f>
        <v/>
      </c>
      <c r="G64" s="46">
        <f>INDEX(QH_q,O64,$F$4)+P64*(INDEX(QH_q,O64+1,$F$4)-INDEX(QH_q,O64,$F$4))</f>
        <v/>
      </c>
      <c r="H64" s="47">
        <f>INDEX(QH_Z,O64)+P64*(INDEX(QH_Z,O64+1)-INDEX(QH_Z,O64))</f>
        <v/>
      </c>
      <c r="I64" s="48">
        <f>INDEX(QH_qtc,O64,$F$4)+P64*(INDEX(QH_qtc,O64+1,$F$4)-INDEX(QH_qtc,O64,$F$4))</f>
        <v/>
      </c>
      <c r="J64" s="49">
        <f>INDEX(QH_qsc,O64)+P64*(INDEX(QH_qsc,O64+1)-INDEX(QH_qsc,O64))</f>
        <v/>
      </c>
      <c r="K64" s="25">
        <f>INDEX(QH_V,O64)+P64*(INDEX(QH_V,O64+1)-INDEX(QH_V,O64))</f>
        <v/>
      </c>
      <c r="L64" s="39">
        <f>K64*1000000/dt_s+G64/2</f>
        <v/>
      </c>
      <c r="M64" s="50">
        <f>MATCH(D64,INDEX(QH_q,0,$F$4),1)</f>
        <v/>
      </c>
      <c r="N64" s="51">
        <f>(D64-INDEX(QH_q,M64,$F$4))/(INDEX(QH_q,M64+1,$F$4)-INDEX(QH_q,M64,$F$4))</f>
        <v/>
      </c>
      <c r="O64" s="50">
        <f>MATCH(F64,INDEX(QH_f2,0,$F$4),1)</f>
        <v/>
      </c>
      <c r="P64" s="51">
        <f>(F64-INDEX(QH_f2,O64,$F$4))/(INDEX(QH_f2,O64+1,$F$4)-INDEX(QH_f2,O64,$F$4))</f>
        <v/>
      </c>
    </row>
  </sheetData>
  <mergeCells count="12">
    <mergeCell ref="F3:G3"/>
    <mergeCell ref="A4:B4"/>
    <mergeCell ref="A12:E12"/>
    <mergeCell ref="A7:E7"/>
    <mergeCell ref="A10:E10"/>
    <mergeCell ref="A11:E11"/>
    <mergeCell ref="D4:E4"/>
    <mergeCell ref="A8:E8"/>
    <mergeCell ref="A6:E6"/>
    <mergeCell ref="D3:E3"/>
    <mergeCell ref="A3:B3"/>
    <mergeCell ref="A9:E9"/>
  </mergeCells>
  <conditionalFormatting sqref="A16:P64">
    <cfRule type="expression" priority="1" dxfId="0">
      <formula>$H16=MAX($H$16:$H$64)</formula>
    </cfRule>
  </conditionalFormatting>
  <dataValidations count="2">
    <dataValidation sqref="C3" showDropDown="0" showInputMessage="0" showErrorMessage="0" allowBlank="0" type="list">
      <formula1>"1,0.2"</formula1>
    </dataValidation>
    <dataValidation sqref="F3" showDropDown="0" showInputMessage="0" showErrorMessage="0" allowBlank="0" type="list">
      <formula1>"Bình thường,Sự cố"</formula1>
    </dataValidation>
  </dataValidation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P64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6" t="inlineStr">
        <is>
          <t>ĐIỀU TIẾT LŨ – PHƯƠNG PHÁP PÔ-TA-PỐP, HAI ĐƯỜNG q ~ f₁, q ~ f₂ (Δt = 1 giờ)</t>
        </is>
      </c>
    </row>
    <row r="3">
      <c r="A3" s="12" t="inlineStr">
        <is>
          <t>Tần suất P (%)</t>
        </is>
      </c>
      <c r="B3" s="11" t="n"/>
      <c r="C3" s="41" t="n">
        <v>1</v>
      </c>
      <c r="D3" s="12" t="inlineStr">
        <is>
          <t>Trường hợp</t>
        </is>
      </c>
      <c r="E3" s="11" t="n"/>
      <c r="F3" s="42" t="inlineStr">
        <is>
          <t>Sự cố</t>
        </is>
      </c>
      <c r="G3" s="11" t="n"/>
      <c r="H3" s="7" t="inlineStr">
        <is>
          <t>← sửa ô vàng: P = 1 hoặc 0,2; trường hợp “Bình thường” hoặc “Sự cố” (1 cửa tràn chính không mở)</t>
        </is>
      </c>
    </row>
    <row r="4">
      <c r="A4" s="15" t="inlineStr">
        <is>
          <t>Cột lũ</t>
        </is>
      </c>
      <c r="B4" s="11" t="n"/>
      <c r="C4" s="38">
        <f>MATCH(C3,Lu_P,0)</f>
        <v/>
      </c>
      <c r="D4" s="15" t="inlineStr">
        <is>
          <t>Cột bảng tra</t>
        </is>
      </c>
      <c r="E4" s="11" t="n"/>
      <c r="F4" s="38">
        <f>IF(F3="Sự cố",2,1)</f>
        <v/>
      </c>
    </row>
    <row r="5">
      <c r="H5" s="7" t="inlineStr">
        <is>
          <t>Giờ 0: Z = MNDBT, q = q(MNDBT). Từ giờ 1: q₁ → tra đường q ~ f₁ được f₁ → f₂ = f₁ + Qtb → tra đường q ~ f₂ được q₂, Z₂, V₂.</t>
        </is>
      </c>
    </row>
    <row r="6">
      <c r="A6" s="12" t="inlineStr">
        <is>
          <t>Mực nước lớn nhất Zmax (m)</t>
        </is>
      </c>
      <c r="B6" s="10" t="n"/>
      <c r="C6" s="10" t="n"/>
      <c r="D6" s="10" t="n"/>
      <c r="E6" s="11" t="n"/>
      <c r="F6" s="18">
        <f>MAX(H16:H64)</f>
        <v/>
      </c>
      <c r="H6" s="7" t="inlineStr">
        <is>
          <t>Cột M, N: vị trí tra q₁; cột O, P: vị trí tra f₂ trong bảng QuanHe. Cột L kiểm tra V₂/Δt + q₂/2 = f₂.</t>
        </is>
      </c>
    </row>
    <row r="7">
      <c r="A7" s="12" t="inlineStr">
        <is>
          <t>Thời điểm xuất hiện (giờ)</t>
        </is>
      </c>
      <c r="B7" s="10" t="n"/>
      <c r="C7" s="10" t="n"/>
      <c r="D7" s="10" t="n"/>
      <c r="E7" s="11" t="n"/>
      <c r="F7" s="17">
        <f>INDEX(A16:A64,MATCH(MAX(H16:H64),H16:H64,0))</f>
        <v/>
      </c>
    </row>
    <row r="8">
      <c r="A8" s="12" t="inlineStr">
        <is>
          <t>Lưu lượng xả lớn nhất qmax (m³/s)</t>
        </is>
      </c>
      <c r="B8" s="10" t="n"/>
      <c r="C8" s="10" t="n"/>
      <c r="D8" s="10" t="n"/>
      <c r="E8" s="11" t="n"/>
      <c r="F8" s="37">
        <f>MAX(G16:G64)</f>
        <v/>
      </c>
    </row>
    <row r="9">
      <c r="A9" s="12" t="inlineStr">
        <is>
          <t>Lúc Zmax: q tràn chính / q tràn sự cố (m³/s)</t>
        </is>
      </c>
      <c r="B9" s="10" t="n"/>
      <c r="C9" s="10" t="n"/>
      <c r="D9" s="10" t="n"/>
      <c r="E9" s="11" t="n"/>
      <c r="F9" s="37">
        <f>INDEX(I16:I64,MATCH(MAX(H16:H64),H16:H64,0))</f>
        <v/>
      </c>
      <c r="G9" s="37">
        <f>INDEX(J16:J64,MATCH(MAX(H16:H64),H16:H64,0))</f>
        <v/>
      </c>
    </row>
    <row r="10">
      <c r="A10" s="12" t="inlineStr">
        <is>
          <t>Cột nước trên ngưỡng lúc Zmax: tràn chính / tràn sự cố (m)</t>
        </is>
      </c>
      <c r="B10" s="10" t="n"/>
      <c r="C10" s="10" t="n"/>
      <c r="D10" s="10" t="n"/>
      <c r="E10" s="11" t="n"/>
      <c r="F10" s="18">
        <f>F6-TC_Z</f>
        <v/>
      </c>
      <c r="G10" s="18">
        <f>F6-SC_Z</f>
        <v/>
      </c>
    </row>
    <row r="11">
      <c r="A11" s="12" t="inlineStr">
        <is>
          <t>Dung tích phòng lũ V(Zmax) − V(MNDBT) (10⁶ m³)</t>
        </is>
      </c>
      <c r="B11" s="10" t="n"/>
      <c r="C11" s="10" t="n"/>
      <c r="D11" s="10" t="n"/>
      <c r="E11" s="11" t="n"/>
      <c r="F11" s="40">
        <f>INDEX(K16:K64,MATCH(MAX(H16:H64),H16:H64,0))-K16</f>
        <v/>
      </c>
    </row>
    <row r="12">
      <c r="A12" s="12" t="inlineStr">
        <is>
          <t>Cân bằng nước: W đến − W xả − ΔV (10⁶ m³, phải ≈ 0)</t>
        </is>
      </c>
      <c r="B12" s="10" t="n"/>
      <c r="C12" s="10" t="n"/>
      <c r="D12" s="10" t="n"/>
      <c r="E12" s="11" t="n"/>
      <c r="F12" s="43">
        <f>SUMPRODUCT((B16:B63+B17:B64)/2)*dt_s/1000000-SUMPRODUCT((G16:G63+G17:G64)/2)*dt_s/1000000-(K64-K16)</f>
        <v/>
      </c>
    </row>
    <row r="15" ht="58" customHeight="1">
      <c r="A15" s="9" t="inlineStr">
        <is>
          <t>t (giờ)</t>
        </is>
      </c>
      <c r="B15" s="9" t="inlineStr">
        <is>
          <t>Q đến (m³/s)</t>
        </is>
      </c>
      <c r="C15" s="9" t="inlineStr">
        <is>
          <t>Qtb = (Q₁+Q₂)/2</t>
        </is>
      </c>
      <c r="D15" s="9" t="inlineStr">
        <is>
          <t>q₁ (cuối giờ trước)</t>
        </is>
      </c>
      <c r="E15" s="9" t="inlineStr">
        <is>
          <t>f₁ – tra đường q ~ f₁ với q₁</t>
        </is>
      </c>
      <c r="F15" s="9" t="inlineStr">
        <is>
          <t>f₂ = f₁ + Qtb</t>
        </is>
      </c>
      <c r="G15" s="9" t="inlineStr">
        <is>
          <t>q₂ – tra đường q ~ f₂ với f₂</t>
        </is>
      </c>
      <c r="H15" s="9" t="inlineStr">
        <is>
          <t>Z₂ (m)</t>
        </is>
      </c>
      <c r="I15" s="9" t="inlineStr">
        <is>
          <t>q tràn chính (m³/s)</t>
        </is>
      </c>
      <c r="J15" s="9" t="inlineStr">
        <is>
          <t>q tràn sự cố (m³/s)</t>
        </is>
      </c>
      <c r="K15" s="9" t="inlineStr">
        <is>
          <t>V₂ (10⁶ m³)</t>
        </is>
      </c>
      <c r="L15" s="9" t="inlineStr">
        <is>
          <t>Kiểm tra V₂/Δt + q₂/2 (= f₂)</t>
        </is>
      </c>
      <c r="M15" s="9" t="inlineStr">
        <is>
          <t>k₁ – dòng tra q₁</t>
        </is>
      </c>
      <c r="N15" s="9" t="inlineStr">
        <is>
          <t>w₁</t>
        </is>
      </c>
      <c r="O15" s="9" t="inlineStr">
        <is>
          <t>k – dòng tra f₂</t>
        </is>
      </c>
      <c r="P15" s="9" t="inlineStr">
        <is>
          <t>w</t>
        </is>
      </c>
    </row>
    <row r="16">
      <c r="A16" s="44" t="n">
        <v>0</v>
      </c>
      <c r="B16" s="39">
        <f>IFERROR(INDEX(Lu_Q,MATCH(A16,Lu_t,0),$C$4),0)</f>
        <v/>
      </c>
      <c r="C16" s="39" t="inlineStr"/>
      <c r="D16" s="39" t="inlineStr"/>
      <c r="E16" s="45" t="inlineStr"/>
      <c r="F16" s="45" t="inlineStr"/>
      <c r="G16" s="46">
        <f>INDEX(QH_q,O16,$F$4)+P16*(INDEX(QH_q,O16+1,$F$4)-INDEX(QH_q,O16,$F$4))</f>
        <v/>
      </c>
      <c r="H16" s="47">
        <f>INDEX(QH_Z,O16)+P16*(INDEX(QH_Z,O16+1)-INDEX(QH_Z,O16))</f>
        <v/>
      </c>
      <c r="I16" s="48">
        <f>INDEX(QH_qtc,O16,$F$4)+P16*(INDEX(QH_qtc,O16+1,$F$4)-INDEX(QH_qtc,O16,$F$4))</f>
        <v/>
      </c>
      <c r="J16" s="49">
        <f>INDEX(QH_qsc,O16)+P16*(INDEX(QH_qsc,O16+1)-INDEX(QH_qsc,O16))</f>
        <v/>
      </c>
      <c r="K16" s="25">
        <f>INDEX(QH_V,O16)+P16*(INDEX(QH_V,O16+1)-INDEX(QH_V,O16))</f>
        <v/>
      </c>
      <c r="L16" s="39">
        <f>K16*1000000/dt_s+G16/2</f>
        <v/>
      </c>
      <c r="M16" s="50" t="inlineStr"/>
      <c r="N16" s="51" t="inlineStr"/>
      <c r="O16" s="50">
        <f>MATCH(Z0,QH_Z,1)</f>
        <v/>
      </c>
      <c r="P16" s="51">
        <f>(Z0-INDEX(QH_Z,O16))/(INDEX(QH_Z,O16+1)-INDEX(QH_Z,O16))</f>
        <v/>
      </c>
    </row>
    <row r="17">
      <c r="A17" s="44" t="n">
        <v>1</v>
      </c>
      <c r="B17" s="39">
        <f>IFERROR(INDEX(Lu_Q,MATCH(A17,Lu_t,0),$C$4),0)</f>
        <v/>
      </c>
      <c r="C17" s="39">
        <f>(B16+B17)/2</f>
        <v/>
      </c>
      <c r="D17" s="39">
        <f>G16</f>
        <v/>
      </c>
      <c r="E17" s="45">
        <f>INDEX(QH_f1,M17,$F$4)+N17*(INDEX(QH_f1,M17+1,$F$4)-INDEX(QH_f1,M17,$F$4))</f>
        <v/>
      </c>
      <c r="F17" s="45">
        <f>E17+C17</f>
        <v/>
      </c>
      <c r="G17" s="46">
        <f>INDEX(QH_q,O17,$F$4)+P17*(INDEX(QH_q,O17+1,$F$4)-INDEX(QH_q,O17,$F$4))</f>
        <v/>
      </c>
      <c r="H17" s="47">
        <f>INDEX(QH_Z,O17)+P17*(INDEX(QH_Z,O17+1)-INDEX(QH_Z,O17))</f>
        <v/>
      </c>
      <c r="I17" s="48">
        <f>INDEX(QH_qtc,O17,$F$4)+P17*(INDEX(QH_qtc,O17+1,$F$4)-INDEX(QH_qtc,O17,$F$4))</f>
        <v/>
      </c>
      <c r="J17" s="49">
        <f>INDEX(QH_qsc,O17)+P17*(INDEX(QH_qsc,O17+1)-INDEX(QH_qsc,O17))</f>
        <v/>
      </c>
      <c r="K17" s="25">
        <f>INDEX(QH_V,O17)+P17*(INDEX(QH_V,O17+1)-INDEX(QH_V,O17))</f>
        <v/>
      </c>
      <c r="L17" s="39">
        <f>K17*1000000/dt_s+G17/2</f>
        <v/>
      </c>
      <c r="M17" s="50">
        <f>MATCH(D17,INDEX(QH_q,0,$F$4),1)</f>
        <v/>
      </c>
      <c r="N17" s="51">
        <f>(D17-INDEX(QH_q,M17,$F$4))/(INDEX(QH_q,M17+1,$F$4)-INDEX(QH_q,M17,$F$4))</f>
        <v/>
      </c>
      <c r="O17" s="50">
        <f>MATCH(F17,INDEX(QH_f2,0,$F$4),1)</f>
        <v/>
      </c>
      <c r="P17" s="51">
        <f>(F17-INDEX(QH_f2,O17,$F$4))/(INDEX(QH_f2,O17+1,$F$4)-INDEX(QH_f2,O17,$F$4))</f>
        <v/>
      </c>
    </row>
    <row r="18">
      <c r="A18" s="44" t="n">
        <v>2</v>
      </c>
      <c r="B18" s="39">
        <f>IFERROR(INDEX(Lu_Q,MATCH(A18,Lu_t,0),$C$4),0)</f>
        <v/>
      </c>
      <c r="C18" s="39">
        <f>(B17+B18)/2</f>
        <v/>
      </c>
      <c r="D18" s="39">
        <f>G17</f>
        <v/>
      </c>
      <c r="E18" s="45">
        <f>INDEX(QH_f1,M18,$F$4)+N18*(INDEX(QH_f1,M18+1,$F$4)-INDEX(QH_f1,M18,$F$4))</f>
        <v/>
      </c>
      <c r="F18" s="45">
        <f>E18+C18</f>
        <v/>
      </c>
      <c r="G18" s="46">
        <f>INDEX(QH_q,O18,$F$4)+P18*(INDEX(QH_q,O18+1,$F$4)-INDEX(QH_q,O18,$F$4))</f>
        <v/>
      </c>
      <c r="H18" s="47">
        <f>INDEX(QH_Z,O18)+P18*(INDEX(QH_Z,O18+1)-INDEX(QH_Z,O18))</f>
        <v/>
      </c>
      <c r="I18" s="48">
        <f>INDEX(QH_qtc,O18,$F$4)+P18*(INDEX(QH_qtc,O18+1,$F$4)-INDEX(QH_qtc,O18,$F$4))</f>
        <v/>
      </c>
      <c r="J18" s="49">
        <f>INDEX(QH_qsc,O18)+P18*(INDEX(QH_qsc,O18+1)-INDEX(QH_qsc,O18))</f>
        <v/>
      </c>
      <c r="K18" s="25">
        <f>INDEX(QH_V,O18)+P18*(INDEX(QH_V,O18+1)-INDEX(QH_V,O18))</f>
        <v/>
      </c>
      <c r="L18" s="39">
        <f>K18*1000000/dt_s+G18/2</f>
        <v/>
      </c>
      <c r="M18" s="50">
        <f>MATCH(D18,INDEX(QH_q,0,$F$4),1)</f>
        <v/>
      </c>
      <c r="N18" s="51">
        <f>(D18-INDEX(QH_q,M18,$F$4))/(INDEX(QH_q,M18+1,$F$4)-INDEX(QH_q,M18,$F$4))</f>
        <v/>
      </c>
      <c r="O18" s="50">
        <f>MATCH(F18,INDEX(QH_f2,0,$F$4),1)</f>
        <v/>
      </c>
      <c r="P18" s="51">
        <f>(F18-INDEX(QH_f2,O18,$F$4))/(INDEX(QH_f2,O18+1,$F$4)-INDEX(QH_f2,O18,$F$4))</f>
        <v/>
      </c>
    </row>
    <row r="19">
      <c r="A19" s="44" t="n">
        <v>3</v>
      </c>
      <c r="B19" s="39">
        <f>IFERROR(INDEX(Lu_Q,MATCH(A19,Lu_t,0),$C$4),0)</f>
        <v/>
      </c>
      <c r="C19" s="39">
        <f>(B18+B19)/2</f>
        <v/>
      </c>
      <c r="D19" s="39">
        <f>G18</f>
        <v/>
      </c>
      <c r="E19" s="45">
        <f>INDEX(QH_f1,M19,$F$4)+N19*(INDEX(QH_f1,M19+1,$F$4)-INDEX(QH_f1,M19,$F$4))</f>
        <v/>
      </c>
      <c r="F19" s="45">
        <f>E19+C19</f>
        <v/>
      </c>
      <c r="G19" s="46">
        <f>INDEX(QH_q,O19,$F$4)+P19*(INDEX(QH_q,O19+1,$F$4)-INDEX(QH_q,O19,$F$4))</f>
        <v/>
      </c>
      <c r="H19" s="47">
        <f>INDEX(QH_Z,O19)+P19*(INDEX(QH_Z,O19+1)-INDEX(QH_Z,O19))</f>
        <v/>
      </c>
      <c r="I19" s="48">
        <f>INDEX(QH_qtc,O19,$F$4)+P19*(INDEX(QH_qtc,O19+1,$F$4)-INDEX(QH_qtc,O19,$F$4))</f>
        <v/>
      </c>
      <c r="J19" s="49">
        <f>INDEX(QH_qsc,O19)+P19*(INDEX(QH_qsc,O19+1)-INDEX(QH_qsc,O19))</f>
        <v/>
      </c>
      <c r="K19" s="25">
        <f>INDEX(QH_V,O19)+P19*(INDEX(QH_V,O19+1)-INDEX(QH_V,O19))</f>
        <v/>
      </c>
      <c r="L19" s="39">
        <f>K19*1000000/dt_s+G19/2</f>
        <v/>
      </c>
      <c r="M19" s="50">
        <f>MATCH(D19,INDEX(QH_q,0,$F$4),1)</f>
        <v/>
      </c>
      <c r="N19" s="51">
        <f>(D19-INDEX(QH_q,M19,$F$4))/(INDEX(QH_q,M19+1,$F$4)-INDEX(QH_q,M19,$F$4))</f>
        <v/>
      </c>
      <c r="O19" s="50">
        <f>MATCH(F19,INDEX(QH_f2,0,$F$4),1)</f>
        <v/>
      </c>
      <c r="P19" s="51">
        <f>(F19-INDEX(QH_f2,O19,$F$4))/(INDEX(QH_f2,O19+1,$F$4)-INDEX(QH_f2,O19,$F$4))</f>
        <v/>
      </c>
    </row>
    <row r="20">
      <c r="A20" s="44" t="n">
        <v>4</v>
      </c>
      <c r="B20" s="39">
        <f>IFERROR(INDEX(Lu_Q,MATCH(A20,Lu_t,0),$C$4),0)</f>
        <v/>
      </c>
      <c r="C20" s="39">
        <f>(B19+B20)/2</f>
        <v/>
      </c>
      <c r="D20" s="39">
        <f>G19</f>
        <v/>
      </c>
      <c r="E20" s="45">
        <f>INDEX(QH_f1,M20,$F$4)+N20*(INDEX(QH_f1,M20+1,$F$4)-INDEX(QH_f1,M20,$F$4))</f>
        <v/>
      </c>
      <c r="F20" s="45">
        <f>E20+C20</f>
        <v/>
      </c>
      <c r="G20" s="46">
        <f>INDEX(QH_q,O20,$F$4)+P20*(INDEX(QH_q,O20+1,$F$4)-INDEX(QH_q,O20,$F$4))</f>
        <v/>
      </c>
      <c r="H20" s="47">
        <f>INDEX(QH_Z,O20)+P20*(INDEX(QH_Z,O20+1)-INDEX(QH_Z,O20))</f>
        <v/>
      </c>
      <c r="I20" s="48">
        <f>INDEX(QH_qtc,O20,$F$4)+P20*(INDEX(QH_qtc,O20+1,$F$4)-INDEX(QH_qtc,O20,$F$4))</f>
        <v/>
      </c>
      <c r="J20" s="49">
        <f>INDEX(QH_qsc,O20)+P20*(INDEX(QH_qsc,O20+1)-INDEX(QH_qsc,O20))</f>
        <v/>
      </c>
      <c r="K20" s="25">
        <f>INDEX(QH_V,O20)+P20*(INDEX(QH_V,O20+1)-INDEX(QH_V,O20))</f>
        <v/>
      </c>
      <c r="L20" s="39">
        <f>K20*1000000/dt_s+G20/2</f>
        <v/>
      </c>
      <c r="M20" s="50">
        <f>MATCH(D20,INDEX(QH_q,0,$F$4),1)</f>
        <v/>
      </c>
      <c r="N20" s="51">
        <f>(D20-INDEX(QH_q,M20,$F$4))/(INDEX(QH_q,M20+1,$F$4)-INDEX(QH_q,M20,$F$4))</f>
        <v/>
      </c>
      <c r="O20" s="50">
        <f>MATCH(F20,INDEX(QH_f2,0,$F$4),1)</f>
        <v/>
      </c>
      <c r="P20" s="51">
        <f>(F20-INDEX(QH_f2,O20,$F$4))/(INDEX(QH_f2,O20+1,$F$4)-INDEX(QH_f2,O20,$F$4))</f>
        <v/>
      </c>
    </row>
    <row r="21">
      <c r="A21" s="44" t="n">
        <v>5</v>
      </c>
      <c r="B21" s="39">
        <f>IFERROR(INDEX(Lu_Q,MATCH(A21,Lu_t,0),$C$4),0)</f>
        <v/>
      </c>
      <c r="C21" s="39">
        <f>(B20+B21)/2</f>
        <v/>
      </c>
      <c r="D21" s="39">
        <f>G20</f>
        <v/>
      </c>
      <c r="E21" s="45">
        <f>INDEX(QH_f1,M21,$F$4)+N21*(INDEX(QH_f1,M21+1,$F$4)-INDEX(QH_f1,M21,$F$4))</f>
        <v/>
      </c>
      <c r="F21" s="45">
        <f>E21+C21</f>
        <v/>
      </c>
      <c r="G21" s="46">
        <f>INDEX(QH_q,O21,$F$4)+P21*(INDEX(QH_q,O21+1,$F$4)-INDEX(QH_q,O21,$F$4))</f>
        <v/>
      </c>
      <c r="H21" s="47">
        <f>INDEX(QH_Z,O21)+P21*(INDEX(QH_Z,O21+1)-INDEX(QH_Z,O21))</f>
        <v/>
      </c>
      <c r="I21" s="48">
        <f>INDEX(QH_qtc,O21,$F$4)+P21*(INDEX(QH_qtc,O21+1,$F$4)-INDEX(QH_qtc,O21,$F$4))</f>
        <v/>
      </c>
      <c r="J21" s="49">
        <f>INDEX(QH_qsc,O21)+P21*(INDEX(QH_qsc,O21+1)-INDEX(QH_qsc,O21))</f>
        <v/>
      </c>
      <c r="K21" s="25">
        <f>INDEX(QH_V,O21)+P21*(INDEX(QH_V,O21+1)-INDEX(QH_V,O21))</f>
        <v/>
      </c>
      <c r="L21" s="39">
        <f>K21*1000000/dt_s+G21/2</f>
        <v/>
      </c>
      <c r="M21" s="50">
        <f>MATCH(D21,INDEX(QH_q,0,$F$4),1)</f>
        <v/>
      </c>
      <c r="N21" s="51">
        <f>(D21-INDEX(QH_q,M21,$F$4))/(INDEX(QH_q,M21+1,$F$4)-INDEX(QH_q,M21,$F$4))</f>
        <v/>
      </c>
      <c r="O21" s="50">
        <f>MATCH(F21,INDEX(QH_f2,0,$F$4),1)</f>
        <v/>
      </c>
      <c r="P21" s="51">
        <f>(F21-INDEX(QH_f2,O21,$F$4))/(INDEX(QH_f2,O21+1,$F$4)-INDEX(QH_f2,O21,$F$4))</f>
        <v/>
      </c>
    </row>
    <row r="22">
      <c r="A22" s="44" t="n">
        <v>6</v>
      </c>
      <c r="B22" s="39">
        <f>IFERROR(INDEX(Lu_Q,MATCH(A22,Lu_t,0),$C$4),0)</f>
        <v/>
      </c>
      <c r="C22" s="39">
        <f>(B21+B22)/2</f>
        <v/>
      </c>
      <c r="D22" s="39">
        <f>G21</f>
        <v/>
      </c>
      <c r="E22" s="45">
        <f>INDEX(QH_f1,M22,$F$4)+N22*(INDEX(QH_f1,M22+1,$F$4)-INDEX(QH_f1,M22,$F$4))</f>
        <v/>
      </c>
      <c r="F22" s="45">
        <f>E22+C22</f>
        <v/>
      </c>
      <c r="G22" s="46">
        <f>INDEX(QH_q,O22,$F$4)+P22*(INDEX(QH_q,O22+1,$F$4)-INDEX(QH_q,O22,$F$4))</f>
        <v/>
      </c>
      <c r="H22" s="47">
        <f>INDEX(QH_Z,O22)+P22*(INDEX(QH_Z,O22+1)-INDEX(QH_Z,O22))</f>
        <v/>
      </c>
      <c r="I22" s="48">
        <f>INDEX(QH_qtc,O22,$F$4)+P22*(INDEX(QH_qtc,O22+1,$F$4)-INDEX(QH_qtc,O22,$F$4))</f>
        <v/>
      </c>
      <c r="J22" s="49">
        <f>INDEX(QH_qsc,O22)+P22*(INDEX(QH_qsc,O22+1)-INDEX(QH_qsc,O22))</f>
        <v/>
      </c>
      <c r="K22" s="25">
        <f>INDEX(QH_V,O22)+P22*(INDEX(QH_V,O22+1)-INDEX(QH_V,O22))</f>
        <v/>
      </c>
      <c r="L22" s="39">
        <f>K22*1000000/dt_s+G22/2</f>
        <v/>
      </c>
      <c r="M22" s="50">
        <f>MATCH(D22,INDEX(QH_q,0,$F$4),1)</f>
        <v/>
      </c>
      <c r="N22" s="51">
        <f>(D22-INDEX(QH_q,M22,$F$4))/(INDEX(QH_q,M22+1,$F$4)-INDEX(QH_q,M22,$F$4))</f>
        <v/>
      </c>
      <c r="O22" s="50">
        <f>MATCH(F22,INDEX(QH_f2,0,$F$4),1)</f>
        <v/>
      </c>
      <c r="P22" s="51">
        <f>(F22-INDEX(QH_f2,O22,$F$4))/(INDEX(QH_f2,O22+1,$F$4)-INDEX(QH_f2,O22,$F$4))</f>
        <v/>
      </c>
    </row>
    <row r="23">
      <c r="A23" s="44" t="n">
        <v>7</v>
      </c>
      <c r="B23" s="39">
        <f>IFERROR(INDEX(Lu_Q,MATCH(A23,Lu_t,0),$C$4),0)</f>
        <v/>
      </c>
      <c r="C23" s="39">
        <f>(B22+B23)/2</f>
        <v/>
      </c>
      <c r="D23" s="39">
        <f>G22</f>
        <v/>
      </c>
      <c r="E23" s="45">
        <f>INDEX(QH_f1,M23,$F$4)+N23*(INDEX(QH_f1,M23+1,$F$4)-INDEX(QH_f1,M23,$F$4))</f>
        <v/>
      </c>
      <c r="F23" s="45">
        <f>E23+C23</f>
        <v/>
      </c>
      <c r="G23" s="46">
        <f>INDEX(QH_q,O23,$F$4)+P23*(INDEX(QH_q,O23+1,$F$4)-INDEX(QH_q,O23,$F$4))</f>
        <v/>
      </c>
      <c r="H23" s="47">
        <f>INDEX(QH_Z,O23)+P23*(INDEX(QH_Z,O23+1)-INDEX(QH_Z,O23))</f>
        <v/>
      </c>
      <c r="I23" s="48">
        <f>INDEX(QH_qtc,O23,$F$4)+P23*(INDEX(QH_qtc,O23+1,$F$4)-INDEX(QH_qtc,O23,$F$4))</f>
        <v/>
      </c>
      <c r="J23" s="49">
        <f>INDEX(QH_qsc,O23)+P23*(INDEX(QH_qsc,O23+1)-INDEX(QH_qsc,O23))</f>
        <v/>
      </c>
      <c r="K23" s="25">
        <f>INDEX(QH_V,O23)+P23*(INDEX(QH_V,O23+1)-INDEX(QH_V,O23))</f>
        <v/>
      </c>
      <c r="L23" s="39">
        <f>K23*1000000/dt_s+G23/2</f>
        <v/>
      </c>
      <c r="M23" s="50">
        <f>MATCH(D23,INDEX(QH_q,0,$F$4),1)</f>
        <v/>
      </c>
      <c r="N23" s="51">
        <f>(D23-INDEX(QH_q,M23,$F$4))/(INDEX(QH_q,M23+1,$F$4)-INDEX(QH_q,M23,$F$4))</f>
        <v/>
      </c>
      <c r="O23" s="50">
        <f>MATCH(F23,INDEX(QH_f2,0,$F$4),1)</f>
        <v/>
      </c>
      <c r="P23" s="51">
        <f>(F23-INDEX(QH_f2,O23,$F$4))/(INDEX(QH_f2,O23+1,$F$4)-INDEX(QH_f2,O23,$F$4))</f>
        <v/>
      </c>
    </row>
    <row r="24">
      <c r="A24" s="44" t="n">
        <v>8</v>
      </c>
      <c r="B24" s="39">
        <f>IFERROR(INDEX(Lu_Q,MATCH(A24,Lu_t,0),$C$4),0)</f>
        <v/>
      </c>
      <c r="C24" s="39">
        <f>(B23+B24)/2</f>
        <v/>
      </c>
      <c r="D24" s="39">
        <f>G23</f>
        <v/>
      </c>
      <c r="E24" s="45">
        <f>INDEX(QH_f1,M24,$F$4)+N24*(INDEX(QH_f1,M24+1,$F$4)-INDEX(QH_f1,M24,$F$4))</f>
        <v/>
      </c>
      <c r="F24" s="45">
        <f>E24+C24</f>
        <v/>
      </c>
      <c r="G24" s="46">
        <f>INDEX(QH_q,O24,$F$4)+P24*(INDEX(QH_q,O24+1,$F$4)-INDEX(QH_q,O24,$F$4))</f>
        <v/>
      </c>
      <c r="H24" s="47">
        <f>INDEX(QH_Z,O24)+P24*(INDEX(QH_Z,O24+1)-INDEX(QH_Z,O24))</f>
        <v/>
      </c>
      <c r="I24" s="48">
        <f>INDEX(QH_qtc,O24,$F$4)+P24*(INDEX(QH_qtc,O24+1,$F$4)-INDEX(QH_qtc,O24,$F$4))</f>
        <v/>
      </c>
      <c r="J24" s="49">
        <f>INDEX(QH_qsc,O24)+P24*(INDEX(QH_qsc,O24+1)-INDEX(QH_qsc,O24))</f>
        <v/>
      </c>
      <c r="K24" s="25">
        <f>INDEX(QH_V,O24)+P24*(INDEX(QH_V,O24+1)-INDEX(QH_V,O24))</f>
        <v/>
      </c>
      <c r="L24" s="39">
        <f>K24*1000000/dt_s+G24/2</f>
        <v/>
      </c>
      <c r="M24" s="50">
        <f>MATCH(D24,INDEX(QH_q,0,$F$4),1)</f>
        <v/>
      </c>
      <c r="N24" s="51">
        <f>(D24-INDEX(QH_q,M24,$F$4))/(INDEX(QH_q,M24+1,$F$4)-INDEX(QH_q,M24,$F$4))</f>
        <v/>
      </c>
      <c r="O24" s="50">
        <f>MATCH(F24,INDEX(QH_f2,0,$F$4),1)</f>
        <v/>
      </c>
      <c r="P24" s="51">
        <f>(F24-INDEX(QH_f2,O24,$F$4))/(INDEX(QH_f2,O24+1,$F$4)-INDEX(QH_f2,O24,$F$4))</f>
        <v/>
      </c>
    </row>
    <row r="25">
      <c r="A25" s="44" t="n">
        <v>9</v>
      </c>
      <c r="B25" s="39">
        <f>IFERROR(INDEX(Lu_Q,MATCH(A25,Lu_t,0),$C$4),0)</f>
        <v/>
      </c>
      <c r="C25" s="39">
        <f>(B24+B25)/2</f>
        <v/>
      </c>
      <c r="D25" s="39">
        <f>G24</f>
        <v/>
      </c>
      <c r="E25" s="45">
        <f>INDEX(QH_f1,M25,$F$4)+N25*(INDEX(QH_f1,M25+1,$F$4)-INDEX(QH_f1,M25,$F$4))</f>
        <v/>
      </c>
      <c r="F25" s="45">
        <f>E25+C25</f>
        <v/>
      </c>
      <c r="G25" s="46">
        <f>INDEX(QH_q,O25,$F$4)+P25*(INDEX(QH_q,O25+1,$F$4)-INDEX(QH_q,O25,$F$4))</f>
        <v/>
      </c>
      <c r="H25" s="47">
        <f>INDEX(QH_Z,O25)+P25*(INDEX(QH_Z,O25+1)-INDEX(QH_Z,O25))</f>
        <v/>
      </c>
      <c r="I25" s="48">
        <f>INDEX(QH_qtc,O25,$F$4)+P25*(INDEX(QH_qtc,O25+1,$F$4)-INDEX(QH_qtc,O25,$F$4))</f>
        <v/>
      </c>
      <c r="J25" s="49">
        <f>INDEX(QH_qsc,O25)+P25*(INDEX(QH_qsc,O25+1)-INDEX(QH_qsc,O25))</f>
        <v/>
      </c>
      <c r="K25" s="25">
        <f>INDEX(QH_V,O25)+P25*(INDEX(QH_V,O25+1)-INDEX(QH_V,O25))</f>
        <v/>
      </c>
      <c r="L25" s="39">
        <f>K25*1000000/dt_s+G25/2</f>
        <v/>
      </c>
      <c r="M25" s="50">
        <f>MATCH(D25,INDEX(QH_q,0,$F$4),1)</f>
        <v/>
      </c>
      <c r="N25" s="51">
        <f>(D25-INDEX(QH_q,M25,$F$4))/(INDEX(QH_q,M25+1,$F$4)-INDEX(QH_q,M25,$F$4))</f>
        <v/>
      </c>
      <c r="O25" s="50">
        <f>MATCH(F25,INDEX(QH_f2,0,$F$4),1)</f>
        <v/>
      </c>
      <c r="P25" s="51">
        <f>(F25-INDEX(QH_f2,O25,$F$4))/(INDEX(QH_f2,O25+1,$F$4)-INDEX(QH_f2,O25,$F$4))</f>
        <v/>
      </c>
    </row>
    <row r="26">
      <c r="A26" s="44" t="n">
        <v>10</v>
      </c>
      <c r="B26" s="39">
        <f>IFERROR(INDEX(Lu_Q,MATCH(A26,Lu_t,0),$C$4),0)</f>
        <v/>
      </c>
      <c r="C26" s="39">
        <f>(B25+B26)/2</f>
        <v/>
      </c>
      <c r="D26" s="39">
        <f>G25</f>
        <v/>
      </c>
      <c r="E26" s="45">
        <f>INDEX(QH_f1,M26,$F$4)+N26*(INDEX(QH_f1,M26+1,$F$4)-INDEX(QH_f1,M26,$F$4))</f>
        <v/>
      </c>
      <c r="F26" s="45">
        <f>E26+C26</f>
        <v/>
      </c>
      <c r="G26" s="46">
        <f>INDEX(QH_q,O26,$F$4)+P26*(INDEX(QH_q,O26+1,$F$4)-INDEX(QH_q,O26,$F$4))</f>
        <v/>
      </c>
      <c r="H26" s="47">
        <f>INDEX(QH_Z,O26)+P26*(INDEX(QH_Z,O26+1)-INDEX(QH_Z,O26))</f>
        <v/>
      </c>
      <c r="I26" s="48">
        <f>INDEX(QH_qtc,O26,$F$4)+P26*(INDEX(QH_qtc,O26+1,$F$4)-INDEX(QH_qtc,O26,$F$4))</f>
        <v/>
      </c>
      <c r="J26" s="49">
        <f>INDEX(QH_qsc,O26)+P26*(INDEX(QH_qsc,O26+1)-INDEX(QH_qsc,O26))</f>
        <v/>
      </c>
      <c r="K26" s="25">
        <f>INDEX(QH_V,O26)+P26*(INDEX(QH_V,O26+1)-INDEX(QH_V,O26))</f>
        <v/>
      </c>
      <c r="L26" s="39">
        <f>K26*1000000/dt_s+G26/2</f>
        <v/>
      </c>
      <c r="M26" s="50">
        <f>MATCH(D26,INDEX(QH_q,0,$F$4),1)</f>
        <v/>
      </c>
      <c r="N26" s="51">
        <f>(D26-INDEX(QH_q,M26,$F$4))/(INDEX(QH_q,M26+1,$F$4)-INDEX(QH_q,M26,$F$4))</f>
        <v/>
      </c>
      <c r="O26" s="50">
        <f>MATCH(F26,INDEX(QH_f2,0,$F$4),1)</f>
        <v/>
      </c>
      <c r="P26" s="51">
        <f>(F26-INDEX(QH_f2,O26,$F$4))/(INDEX(QH_f2,O26+1,$F$4)-INDEX(QH_f2,O26,$F$4))</f>
        <v/>
      </c>
    </row>
    <row r="27">
      <c r="A27" s="44" t="n">
        <v>11</v>
      </c>
      <c r="B27" s="39">
        <f>IFERROR(INDEX(Lu_Q,MATCH(A27,Lu_t,0),$C$4),0)</f>
        <v/>
      </c>
      <c r="C27" s="39">
        <f>(B26+B27)/2</f>
        <v/>
      </c>
      <c r="D27" s="39">
        <f>G26</f>
        <v/>
      </c>
      <c r="E27" s="45">
        <f>INDEX(QH_f1,M27,$F$4)+N27*(INDEX(QH_f1,M27+1,$F$4)-INDEX(QH_f1,M27,$F$4))</f>
        <v/>
      </c>
      <c r="F27" s="45">
        <f>E27+C27</f>
        <v/>
      </c>
      <c r="G27" s="46">
        <f>INDEX(QH_q,O27,$F$4)+P27*(INDEX(QH_q,O27+1,$F$4)-INDEX(QH_q,O27,$F$4))</f>
        <v/>
      </c>
      <c r="H27" s="47">
        <f>INDEX(QH_Z,O27)+P27*(INDEX(QH_Z,O27+1)-INDEX(QH_Z,O27))</f>
        <v/>
      </c>
      <c r="I27" s="48">
        <f>INDEX(QH_qtc,O27,$F$4)+P27*(INDEX(QH_qtc,O27+1,$F$4)-INDEX(QH_qtc,O27,$F$4))</f>
        <v/>
      </c>
      <c r="J27" s="49">
        <f>INDEX(QH_qsc,O27)+P27*(INDEX(QH_qsc,O27+1)-INDEX(QH_qsc,O27))</f>
        <v/>
      </c>
      <c r="K27" s="25">
        <f>INDEX(QH_V,O27)+P27*(INDEX(QH_V,O27+1)-INDEX(QH_V,O27))</f>
        <v/>
      </c>
      <c r="L27" s="39">
        <f>K27*1000000/dt_s+G27/2</f>
        <v/>
      </c>
      <c r="M27" s="50">
        <f>MATCH(D27,INDEX(QH_q,0,$F$4),1)</f>
        <v/>
      </c>
      <c r="N27" s="51">
        <f>(D27-INDEX(QH_q,M27,$F$4))/(INDEX(QH_q,M27+1,$F$4)-INDEX(QH_q,M27,$F$4))</f>
        <v/>
      </c>
      <c r="O27" s="50">
        <f>MATCH(F27,INDEX(QH_f2,0,$F$4),1)</f>
        <v/>
      </c>
      <c r="P27" s="51">
        <f>(F27-INDEX(QH_f2,O27,$F$4))/(INDEX(QH_f2,O27+1,$F$4)-INDEX(QH_f2,O27,$F$4))</f>
        <v/>
      </c>
    </row>
    <row r="28">
      <c r="A28" s="44" t="n">
        <v>12</v>
      </c>
      <c r="B28" s="39">
        <f>IFERROR(INDEX(Lu_Q,MATCH(A28,Lu_t,0),$C$4),0)</f>
        <v/>
      </c>
      <c r="C28" s="39">
        <f>(B27+B28)/2</f>
        <v/>
      </c>
      <c r="D28" s="39">
        <f>G27</f>
        <v/>
      </c>
      <c r="E28" s="45">
        <f>INDEX(QH_f1,M28,$F$4)+N28*(INDEX(QH_f1,M28+1,$F$4)-INDEX(QH_f1,M28,$F$4))</f>
        <v/>
      </c>
      <c r="F28" s="45">
        <f>E28+C28</f>
        <v/>
      </c>
      <c r="G28" s="46">
        <f>INDEX(QH_q,O28,$F$4)+P28*(INDEX(QH_q,O28+1,$F$4)-INDEX(QH_q,O28,$F$4))</f>
        <v/>
      </c>
      <c r="H28" s="47">
        <f>INDEX(QH_Z,O28)+P28*(INDEX(QH_Z,O28+1)-INDEX(QH_Z,O28))</f>
        <v/>
      </c>
      <c r="I28" s="48">
        <f>INDEX(QH_qtc,O28,$F$4)+P28*(INDEX(QH_qtc,O28+1,$F$4)-INDEX(QH_qtc,O28,$F$4))</f>
        <v/>
      </c>
      <c r="J28" s="49">
        <f>INDEX(QH_qsc,O28)+P28*(INDEX(QH_qsc,O28+1)-INDEX(QH_qsc,O28))</f>
        <v/>
      </c>
      <c r="K28" s="25">
        <f>INDEX(QH_V,O28)+P28*(INDEX(QH_V,O28+1)-INDEX(QH_V,O28))</f>
        <v/>
      </c>
      <c r="L28" s="39">
        <f>K28*1000000/dt_s+G28/2</f>
        <v/>
      </c>
      <c r="M28" s="50">
        <f>MATCH(D28,INDEX(QH_q,0,$F$4),1)</f>
        <v/>
      </c>
      <c r="N28" s="51">
        <f>(D28-INDEX(QH_q,M28,$F$4))/(INDEX(QH_q,M28+1,$F$4)-INDEX(QH_q,M28,$F$4))</f>
        <v/>
      </c>
      <c r="O28" s="50">
        <f>MATCH(F28,INDEX(QH_f2,0,$F$4),1)</f>
        <v/>
      </c>
      <c r="P28" s="51">
        <f>(F28-INDEX(QH_f2,O28,$F$4))/(INDEX(QH_f2,O28+1,$F$4)-INDEX(QH_f2,O28,$F$4))</f>
        <v/>
      </c>
    </row>
    <row r="29">
      <c r="A29" s="44" t="n">
        <v>13</v>
      </c>
      <c r="B29" s="39">
        <f>IFERROR(INDEX(Lu_Q,MATCH(A29,Lu_t,0),$C$4),0)</f>
        <v/>
      </c>
      <c r="C29" s="39">
        <f>(B28+B29)/2</f>
        <v/>
      </c>
      <c r="D29" s="39">
        <f>G28</f>
        <v/>
      </c>
      <c r="E29" s="45">
        <f>INDEX(QH_f1,M29,$F$4)+N29*(INDEX(QH_f1,M29+1,$F$4)-INDEX(QH_f1,M29,$F$4))</f>
        <v/>
      </c>
      <c r="F29" s="45">
        <f>E29+C29</f>
        <v/>
      </c>
      <c r="G29" s="46">
        <f>INDEX(QH_q,O29,$F$4)+P29*(INDEX(QH_q,O29+1,$F$4)-INDEX(QH_q,O29,$F$4))</f>
        <v/>
      </c>
      <c r="H29" s="47">
        <f>INDEX(QH_Z,O29)+P29*(INDEX(QH_Z,O29+1)-INDEX(QH_Z,O29))</f>
        <v/>
      </c>
      <c r="I29" s="48">
        <f>INDEX(QH_qtc,O29,$F$4)+P29*(INDEX(QH_qtc,O29+1,$F$4)-INDEX(QH_qtc,O29,$F$4))</f>
        <v/>
      </c>
      <c r="J29" s="49">
        <f>INDEX(QH_qsc,O29)+P29*(INDEX(QH_qsc,O29+1)-INDEX(QH_qsc,O29))</f>
        <v/>
      </c>
      <c r="K29" s="25">
        <f>INDEX(QH_V,O29)+P29*(INDEX(QH_V,O29+1)-INDEX(QH_V,O29))</f>
        <v/>
      </c>
      <c r="L29" s="39">
        <f>K29*1000000/dt_s+G29/2</f>
        <v/>
      </c>
      <c r="M29" s="50">
        <f>MATCH(D29,INDEX(QH_q,0,$F$4),1)</f>
        <v/>
      </c>
      <c r="N29" s="51">
        <f>(D29-INDEX(QH_q,M29,$F$4))/(INDEX(QH_q,M29+1,$F$4)-INDEX(QH_q,M29,$F$4))</f>
        <v/>
      </c>
      <c r="O29" s="50">
        <f>MATCH(F29,INDEX(QH_f2,0,$F$4),1)</f>
        <v/>
      </c>
      <c r="P29" s="51">
        <f>(F29-INDEX(QH_f2,O29,$F$4))/(INDEX(QH_f2,O29+1,$F$4)-INDEX(QH_f2,O29,$F$4))</f>
        <v/>
      </c>
    </row>
    <row r="30">
      <c r="A30" s="44" t="n">
        <v>14</v>
      </c>
      <c r="B30" s="39">
        <f>IFERROR(INDEX(Lu_Q,MATCH(A30,Lu_t,0),$C$4),0)</f>
        <v/>
      </c>
      <c r="C30" s="39">
        <f>(B29+B30)/2</f>
        <v/>
      </c>
      <c r="D30" s="39">
        <f>G29</f>
        <v/>
      </c>
      <c r="E30" s="45">
        <f>INDEX(QH_f1,M30,$F$4)+N30*(INDEX(QH_f1,M30+1,$F$4)-INDEX(QH_f1,M30,$F$4))</f>
        <v/>
      </c>
      <c r="F30" s="45">
        <f>E30+C30</f>
        <v/>
      </c>
      <c r="G30" s="46">
        <f>INDEX(QH_q,O30,$F$4)+P30*(INDEX(QH_q,O30+1,$F$4)-INDEX(QH_q,O30,$F$4))</f>
        <v/>
      </c>
      <c r="H30" s="47">
        <f>INDEX(QH_Z,O30)+P30*(INDEX(QH_Z,O30+1)-INDEX(QH_Z,O30))</f>
        <v/>
      </c>
      <c r="I30" s="48">
        <f>INDEX(QH_qtc,O30,$F$4)+P30*(INDEX(QH_qtc,O30+1,$F$4)-INDEX(QH_qtc,O30,$F$4))</f>
        <v/>
      </c>
      <c r="J30" s="49">
        <f>INDEX(QH_qsc,O30)+P30*(INDEX(QH_qsc,O30+1)-INDEX(QH_qsc,O30))</f>
        <v/>
      </c>
      <c r="K30" s="25">
        <f>INDEX(QH_V,O30)+P30*(INDEX(QH_V,O30+1)-INDEX(QH_V,O30))</f>
        <v/>
      </c>
      <c r="L30" s="39">
        <f>K30*1000000/dt_s+G30/2</f>
        <v/>
      </c>
      <c r="M30" s="50">
        <f>MATCH(D30,INDEX(QH_q,0,$F$4),1)</f>
        <v/>
      </c>
      <c r="N30" s="51">
        <f>(D30-INDEX(QH_q,M30,$F$4))/(INDEX(QH_q,M30+1,$F$4)-INDEX(QH_q,M30,$F$4))</f>
        <v/>
      </c>
      <c r="O30" s="50">
        <f>MATCH(F30,INDEX(QH_f2,0,$F$4),1)</f>
        <v/>
      </c>
      <c r="P30" s="51">
        <f>(F30-INDEX(QH_f2,O30,$F$4))/(INDEX(QH_f2,O30+1,$F$4)-INDEX(QH_f2,O30,$F$4))</f>
        <v/>
      </c>
    </row>
    <row r="31">
      <c r="A31" s="44" t="n">
        <v>15</v>
      </c>
      <c r="B31" s="39">
        <f>IFERROR(INDEX(Lu_Q,MATCH(A31,Lu_t,0),$C$4),0)</f>
        <v/>
      </c>
      <c r="C31" s="39">
        <f>(B30+B31)/2</f>
        <v/>
      </c>
      <c r="D31" s="39">
        <f>G30</f>
        <v/>
      </c>
      <c r="E31" s="45">
        <f>INDEX(QH_f1,M31,$F$4)+N31*(INDEX(QH_f1,M31+1,$F$4)-INDEX(QH_f1,M31,$F$4))</f>
        <v/>
      </c>
      <c r="F31" s="45">
        <f>E31+C31</f>
        <v/>
      </c>
      <c r="G31" s="46">
        <f>INDEX(QH_q,O31,$F$4)+P31*(INDEX(QH_q,O31+1,$F$4)-INDEX(QH_q,O31,$F$4))</f>
        <v/>
      </c>
      <c r="H31" s="47">
        <f>INDEX(QH_Z,O31)+P31*(INDEX(QH_Z,O31+1)-INDEX(QH_Z,O31))</f>
        <v/>
      </c>
      <c r="I31" s="48">
        <f>INDEX(QH_qtc,O31,$F$4)+P31*(INDEX(QH_qtc,O31+1,$F$4)-INDEX(QH_qtc,O31,$F$4))</f>
        <v/>
      </c>
      <c r="J31" s="49">
        <f>INDEX(QH_qsc,O31)+P31*(INDEX(QH_qsc,O31+1)-INDEX(QH_qsc,O31))</f>
        <v/>
      </c>
      <c r="K31" s="25">
        <f>INDEX(QH_V,O31)+P31*(INDEX(QH_V,O31+1)-INDEX(QH_V,O31))</f>
        <v/>
      </c>
      <c r="L31" s="39">
        <f>K31*1000000/dt_s+G31/2</f>
        <v/>
      </c>
      <c r="M31" s="50">
        <f>MATCH(D31,INDEX(QH_q,0,$F$4),1)</f>
        <v/>
      </c>
      <c r="N31" s="51">
        <f>(D31-INDEX(QH_q,M31,$F$4))/(INDEX(QH_q,M31+1,$F$4)-INDEX(QH_q,M31,$F$4))</f>
        <v/>
      </c>
      <c r="O31" s="50">
        <f>MATCH(F31,INDEX(QH_f2,0,$F$4),1)</f>
        <v/>
      </c>
      <c r="P31" s="51">
        <f>(F31-INDEX(QH_f2,O31,$F$4))/(INDEX(QH_f2,O31+1,$F$4)-INDEX(QH_f2,O31,$F$4))</f>
        <v/>
      </c>
    </row>
    <row r="32">
      <c r="A32" s="44" t="n">
        <v>16</v>
      </c>
      <c r="B32" s="39">
        <f>IFERROR(INDEX(Lu_Q,MATCH(A32,Lu_t,0),$C$4),0)</f>
        <v/>
      </c>
      <c r="C32" s="39">
        <f>(B31+B32)/2</f>
        <v/>
      </c>
      <c r="D32" s="39">
        <f>G31</f>
        <v/>
      </c>
      <c r="E32" s="45">
        <f>INDEX(QH_f1,M32,$F$4)+N32*(INDEX(QH_f1,M32+1,$F$4)-INDEX(QH_f1,M32,$F$4))</f>
        <v/>
      </c>
      <c r="F32" s="45">
        <f>E32+C32</f>
        <v/>
      </c>
      <c r="G32" s="46">
        <f>INDEX(QH_q,O32,$F$4)+P32*(INDEX(QH_q,O32+1,$F$4)-INDEX(QH_q,O32,$F$4))</f>
        <v/>
      </c>
      <c r="H32" s="47">
        <f>INDEX(QH_Z,O32)+P32*(INDEX(QH_Z,O32+1)-INDEX(QH_Z,O32))</f>
        <v/>
      </c>
      <c r="I32" s="48">
        <f>INDEX(QH_qtc,O32,$F$4)+P32*(INDEX(QH_qtc,O32+1,$F$4)-INDEX(QH_qtc,O32,$F$4))</f>
        <v/>
      </c>
      <c r="J32" s="49">
        <f>INDEX(QH_qsc,O32)+P32*(INDEX(QH_qsc,O32+1)-INDEX(QH_qsc,O32))</f>
        <v/>
      </c>
      <c r="K32" s="25">
        <f>INDEX(QH_V,O32)+P32*(INDEX(QH_V,O32+1)-INDEX(QH_V,O32))</f>
        <v/>
      </c>
      <c r="L32" s="39">
        <f>K32*1000000/dt_s+G32/2</f>
        <v/>
      </c>
      <c r="M32" s="50">
        <f>MATCH(D32,INDEX(QH_q,0,$F$4),1)</f>
        <v/>
      </c>
      <c r="N32" s="51">
        <f>(D32-INDEX(QH_q,M32,$F$4))/(INDEX(QH_q,M32+1,$F$4)-INDEX(QH_q,M32,$F$4))</f>
        <v/>
      </c>
      <c r="O32" s="50">
        <f>MATCH(F32,INDEX(QH_f2,0,$F$4),1)</f>
        <v/>
      </c>
      <c r="P32" s="51">
        <f>(F32-INDEX(QH_f2,O32,$F$4))/(INDEX(QH_f2,O32+1,$F$4)-INDEX(QH_f2,O32,$F$4))</f>
        <v/>
      </c>
    </row>
    <row r="33">
      <c r="A33" s="44" t="n">
        <v>17</v>
      </c>
      <c r="B33" s="39">
        <f>IFERROR(INDEX(Lu_Q,MATCH(A33,Lu_t,0),$C$4),0)</f>
        <v/>
      </c>
      <c r="C33" s="39">
        <f>(B32+B33)/2</f>
        <v/>
      </c>
      <c r="D33" s="39">
        <f>G32</f>
        <v/>
      </c>
      <c r="E33" s="45">
        <f>INDEX(QH_f1,M33,$F$4)+N33*(INDEX(QH_f1,M33+1,$F$4)-INDEX(QH_f1,M33,$F$4))</f>
        <v/>
      </c>
      <c r="F33" s="45">
        <f>E33+C33</f>
        <v/>
      </c>
      <c r="G33" s="46">
        <f>INDEX(QH_q,O33,$F$4)+P33*(INDEX(QH_q,O33+1,$F$4)-INDEX(QH_q,O33,$F$4))</f>
        <v/>
      </c>
      <c r="H33" s="47">
        <f>INDEX(QH_Z,O33)+P33*(INDEX(QH_Z,O33+1)-INDEX(QH_Z,O33))</f>
        <v/>
      </c>
      <c r="I33" s="48">
        <f>INDEX(QH_qtc,O33,$F$4)+P33*(INDEX(QH_qtc,O33+1,$F$4)-INDEX(QH_qtc,O33,$F$4))</f>
        <v/>
      </c>
      <c r="J33" s="49">
        <f>INDEX(QH_qsc,O33)+P33*(INDEX(QH_qsc,O33+1)-INDEX(QH_qsc,O33))</f>
        <v/>
      </c>
      <c r="K33" s="25">
        <f>INDEX(QH_V,O33)+P33*(INDEX(QH_V,O33+1)-INDEX(QH_V,O33))</f>
        <v/>
      </c>
      <c r="L33" s="39">
        <f>K33*1000000/dt_s+G33/2</f>
        <v/>
      </c>
      <c r="M33" s="50">
        <f>MATCH(D33,INDEX(QH_q,0,$F$4),1)</f>
        <v/>
      </c>
      <c r="N33" s="51">
        <f>(D33-INDEX(QH_q,M33,$F$4))/(INDEX(QH_q,M33+1,$F$4)-INDEX(QH_q,M33,$F$4))</f>
        <v/>
      </c>
      <c r="O33" s="50">
        <f>MATCH(F33,INDEX(QH_f2,0,$F$4),1)</f>
        <v/>
      </c>
      <c r="P33" s="51">
        <f>(F33-INDEX(QH_f2,O33,$F$4))/(INDEX(QH_f2,O33+1,$F$4)-INDEX(QH_f2,O33,$F$4))</f>
        <v/>
      </c>
    </row>
    <row r="34">
      <c r="A34" s="44" t="n">
        <v>18</v>
      </c>
      <c r="B34" s="39">
        <f>IFERROR(INDEX(Lu_Q,MATCH(A34,Lu_t,0),$C$4),0)</f>
        <v/>
      </c>
      <c r="C34" s="39">
        <f>(B33+B34)/2</f>
        <v/>
      </c>
      <c r="D34" s="39">
        <f>G33</f>
        <v/>
      </c>
      <c r="E34" s="45">
        <f>INDEX(QH_f1,M34,$F$4)+N34*(INDEX(QH_f1,M34+1,$F$4)-INDEX(QH_f1,M34,$F$4))</f>
        <v/>
      </c>
      <c r="F34" s="45">
        <f>E34+C34</f>
        <v/>
      </c>
      <c r="G34" s="46">
        <f>INDEX(QH_q,O34,$F$4)+P34*(INDEX(QH_q,O34+1,$F$4)-INDEX(QH_q,O34,$F$4))</f>
        <v/>
      </c>
      <c r="H34" s="47">
        <f>INDEX(QH_Z,O34)+P34*(INDEX(QH_Z,O34+1)-INDEX(QH_Z,O34))</f>
        <v/>
      </c>
      <c r="I34" s="48">
        <f>INDEX(QH_qtc,O34,$F$4)+P34*(INDEX(QH_qtc,O34+1,$F$4)-INDEX(QH_qtc,O34,$F$4))</f>
        <v/>
      </c>
      <c r="J34" s="49">
        <f>INDEX(QH_qsc,O34)+P34*(INDEX(QH_qsc,O34+1)-INDEX(QH_qsc,O34))</f>
        <v/>
      </c>
      <c r="K34" s="25">
        <f>INDEX(QH_V,O34)+P34*(INDEX(QH_V,O34+1)-INDEX(QH_V,O34))</f>
        <v/>
      </c>
      <c r="L34" s="39">
        <f>K34*1000000/dt_s+G34/2</f>
        <v/>
      </c>
      <c r="M34" s="50">
        <f>MATCH(D34,INDEX(QH_q,0,$F$4),1)</f>
        <v/>
      </c>
      <c r="N34" s="51">
        <f>(D34-INDEX(QH_q,M34,$F$4))/(INDEX(QH_q,M34+1,$F$4)-INDEX(QH_q,M34,$F$4))</f>
        <v/>
      </c>
      <c r="O34" s="50">
        <f>MATCH(F34,INDEX(QH_f2,0,$F$4),1)</f>
        <v/>
      </c>
      <c r="P34" s="51">
        <f>(F34-INDEX(QH_f2,O34,$F$4))/(INDEX(QH_f2,O34+1,$F$4)-INDEX(QH_f2,O34,$F$4))</f>
        <v/>
      </c>
    </row>
    <row r="35">
      <c r="A35" s="44" t="n">
        <v>19</v>
      </c>
      <c r="B35" s="39">
        <f>IFERROR(INDEX(Lu_Q,MATCH(A35,Lu_t,0),$C$4),0)</f>
        <v/>
      </c>
      <c r="C35" s="39">
        <f>(B34+B35)/2</f>
        <v/>
      </c>
      <c r="D35" s="39">
        <f>G34</f>
        <v/>
      </c>
      <c r="E35" s="45">
        <f>INDEX(QH_f1,M35,$F$4)+N35*(INDEX(QH_f1,M35+1,$F$4)-INDEX(QH_f1,M35,$F$4))</f>
        <v/>
      </c>
      <c r="F35" s="45">
        <f>E35+C35</f>
        <v/>
      </c>
      <c r="G35" s="46">
        <f>INDEX(QH_q,O35,$F$4)+P35*(INDEX(QH_q,O35+1,$F$4)-INDEX(QH_q,O35,$F$4))</f>
        <v/>
      </c>
      <c r="H35" s="47">
        <f>INDEX(QH_Z,O35)+P35*(INDEX(QH_Z,O35+1)-INDEX(QH_Z,O35))</f>
        <v/>
      </c>
      <c r="I35" s="48">
        <f>INDEX(QH_qtc,O35,$F$4)+P35*(INDEX(QH_qtc,O35+1,$F$4)-INDEX(QH_qtc,O35,$F$4))</f>
        <v/>
      </c>
      <c r="J35" s="49">
        <f>INDEX(QH_qsc,O35)+P35*(INDEX(QH_qsc,O35+1)-INDEX(QH_qsc,O35))</f>
        <v/>
      </c>
      <c r="K35" s="25">
        <f>INDEX(QH_V,O35)+P35*(INDEX(QH_V,O35+1)-INDEX(QH_V,O35))</f>
        <v/>
      </c>
      <c r="L35" s="39">
        <f>K35*1000000/dt_s+G35/2</f>
        <v/>
      </c>
      <c r="M35" s="50">
        <f>MATCH(D35,INDEX(QH_q,0,$F$4),1)</f>
        <v/>
      </c>
      <c r="N35" s="51">
        <f>(D35-INDEX(QH_q,M35,$F$4))/(INDEX(QH_q,M35+1,$F$4)-INDEX(QH_q,M35,$F$4))</f>
        <v/>
      </c>
      <c r="O35" s="50">
        <f>MATCH(F35,INDEX(QH_f2,0,$F$4),1)</f>
        <v/>
      </c>
      <c r="P35" s="51">
        <f>(F35-INDEX(QH_f2,O35,$F$4))/(INDEX(QH_f2,O35+1,$F$4)-INDEX(QH_f2,O35,$F$4))</f>
        <v/>
      </c>
    </row>
    <row r="36">
      <c r="A36" s="44" t="n">
        <v>20</v>
      </c>
      <c r="B36" s="39">
        <f>IFERROR(INDEX(Lu_Q,MATCH(A36,Lu_t,0),$C$4),0)</f>
        <v/>
      </c>
      <c r="C36" s="39">
        <f>(B35+B36)/2</f>
        <v/>
      </c>
      <c r="D36" s="39">
        <f>G35</f>
        <v/>
      </c>
      <c r="E36" s="45">
        <f>INDEX(QH_f1,M36,$F$4)+N36*(INDEX(QH_f1,M36+1,$F$4)-INDEX(QH_f1,M36,$F$4))</f>
        <v/>
      </c>
      <c r="F36" s="45">
        <f>E36+C36</f>
        <v/>
      </c>
      <c r="G36" s="46">
        <f>INDEX(QH_q,O36,$F$4)+P36*(INDEX(QH_q,O36+1,$F$4)-INDEX(QH_q,O36,$F$4))</f>
        <v/>
      </c>
      <c r="H36" s="47">
        <f>INDEX(QH_Z,O36)+P36*(INDEX(QH_Z,O36+1)-INDEX(QH_Z,O36))</f>
        <v/>
      </c>
      <c r="I36" s="48">
        <f>INDEX(QH_qtc,O36,$F$4)+P36*(INDEX(QH_qtc,O36+1,$F$4)-INDEX(QH_qtc,O36,$F$4))</f>
        <v/>
      </c>
      <c r="J36" s="49">
        <f>INDEX(QH_qsc,O36)+P36*(INDEX(QH_qsc,O36+1)-INDEX(QH_qsc,O36))</f>
        <v/>
      </c>
      <c r="K36" s="25">
        <f>INDEX(QH_V,O36)+P36*(INDEX(QH_V,O36+1)-INDEX(QH_V,O36))</f>
        <v/>
      </c>
      <c r="L36" s="39">
        <f>K36*1000000/dt_s+G36/2</f>
        <v/>
      </c>
      <c r="M36" s="50">
        <f>MATCH(D36,INDEX(QH_q,0,$F$4),1)</f>
        <v/>
      </c>
      <c r="N36" s="51">
        <f>(D36-INDEX(QH_q,M36,$F$4))/(INDEX(QH_q,M36+1,$F$4)-INDEX(QH_q,M36,$F$4))</f>
        <v/>
      </c>
      <c r="O36" s="50">
        <f>MATCH(F36,INDEX(QH_f2,0,$F$4),1)</f>
        <v/>
      </c>
      <c r="P36" s="51">
        <f>(F36-INDEX(QH_f2,O36,$F$4))/(INDEX(QH_f2,O36+1,$F$4)-INDEX(QH_f2,O36,$F$4))</f>
        <v/>
      </c>
    </row>
    <row r="37">
      <c r="A37" s="44" t="n">
        <v>21</v>
      </c>
      <c r="B37" s="39">
        <f>IFERROR(INDEX(Lu_Q,MATCH(A37,Lu_t,0),$C$4),0)</f>
        <v/>
      </c>
      <c r="C37" s="39">
        <f>(B36+B37)/2</f>
        <v/>
      </c>
      <c r="D37" s="39">
        <f>G36</f>
        <v/>
      </c>
      <c r="E37" s="45">
        <f>INDEX(QH_f1,M37,$F$4)+N37*(INDEX(QH_f1,M37+1,$F$4)-INDEX(QH_f1,M37,$F$4))</f>
        <v/>
      </c>
      <c r="F37" s="45">
        <f>E37+C37</f>
        <v/>
      </c>
      <c r="G37" s="46">
        <f>INDEX(QH_q,O37,$F$4)+P37*(INDEX(QH_q,O37+1,$F$4)-INDEX(QH_q,O37,$F$4))</f>
        <v/>
      </c>
      <c r="H37" s="47">
        <f>INDEX(QH_Z,O37)+P37*(INDEX(QH_Z,O37+1)-INDEX(QH_Z,O37))</f>
        <v/>
      </c>
      <c r="I37" s="48">
        <f>INDEX(QH_qtc,O37,$F$4)+P37*(INDEX(QH_qtc,O37+1,$F$4)-INDEX(QH_qtc,O37,$F$4))</f>
        <v/>
      </c>
      <c r="J37" s="49">
        <f>INDEX(QH_qsc,O37)+P37*(INDEX(QH_qsc,O37+1)-INDEX(QH_qsc,O37))</f>
        <v/>
      </c>
      <c r="K37" s="25">
        <f>INDEX(QH_V,O37)+P37*(INDEX(QH_V,O37+1)-INDEX(QH_V,O37))</f>
        <v/>
      </c>
      <c r="L37" s="39">
        <f>K37*1000000/dt_s+G37/2</f>
        <v/>
      </c>
      <c r="M37" s="50">
        <f>MATCH(D37,INDEX(QH_q,0,$F$4),1)</f>
        <v/>
      </c>
      <c r="N37" s="51">
        <f>(D37-INDEX(QH_q,M37,$F$4))/(INDEX(QH_q,M37+1,$F$4)-INDEX(QH_q,M37,$F$4))</f>
        <v/>
      </c>
      <c r="O37" s="50">
        <f>MATCH(F37,INDEX(QH_f2,0,$F$4),1)</f>
        <v/>
      </c>
      <c r="P37" s="51">
        <f>(F37-INDEX(QH_f2,O37,$F$4))/(INDEX(QH_f2,O37+1,$F$4)-INDEX(QH_f2,O37,$F$4))</f>
        <v/>
      </c>
    </row>
    <row r="38">
      <c r="A38" s="44" t="n">
        <v>22</v>
      </c>
      <c r="B38" s="39">
        <f>IFERROR(INDEX(Lu_Q,MATCH(A38,Lu_t,0),$C$4),0)</f>
        <v/>
      </c>
      <c r="C38" s="39">
        <f>(B37+B38)/2</f>
        <v/>
      </c>
      <c r="D38" s="39">
        <f>G37</f>
        <v/>
      </c>
      <c r="E38" s="45">
        <f>INDEX(QH_f1,M38,$F$4)+N38*(INDEX(QH_f1,M38+1,$F$4)-INDEX(QH_f1,M38,$F$4))</f>
        <v/>
      </c>
      <c r="F38" s="45">
        <f>E38+C38</f>
        <v/>
      </c>
      <c r="G38" s="46">
        <f>INDEX(QH_q,O38,$F$4)+P38*(INDEX(QH_q,O38+1,$F$4)-INDEX(QH_q,O38,$F$4))</f>
        <v/>
      </c>
      <c r="H38" s="47">
        <f>INDEX(QH_Z,O38)+P38*(INDEX(QH_Z,O38+1)-INDEX(QH_Z,O38))</f>
        <v/>
      </c>
      <c r="I38" s="48">
        <f>INDEX(QH_qtc,O38,$F$4)+P38*(INDEX(QH_qtc,O38+1,$F$4)-INDEX(QH_qtc,O38,$F$4))</f>
        <v/>
      </c>
      <c r="J38" s="49">
        <f>INDEX(QH_qsc,O38)+P38*(INDEX(QH_qsc,O38+1)-INDEX(QH_qsc,O38))</f>
        <v/>
      </c>
      <c r="K38" s="25">
        <f>INDEX(QH_V,O38)+P38*(INDEX(QH_V,O38+1)-INDEX(QH_V,O38))</f>
        <v/>
      </c>
      <c r="L38" s="39">
        <f>K38*1000000/dt_s+G38/2</f>
        <v/>
      </c>
      <c r="M38" s="50">
        <f>MATCH(D38,INDEX(QH_q,0,$F$4),1)</f>
        <v/>
      </c>
      <c r="N38" s="51">
        <f>(D38-INDEX(QH_q,M38,$F$4))/(INDEX(QH_q,M38+1,$F$4)-INDEX(QH_q,M38,$F$4))</f>
        <v/>
      </c>
      <c r="O38" s="50">
        <f>MATCH(F38,INDEX(QH_f2,0,$F$4),1)</f>
        <v/>
      </c>
      <c r="P38" s="51">
        <f>(F38-INDEX(QH_f2,O38,$F$4))/(INDEX(QH_f2,O38+1,$F$4)-INDEX(QH_f2,O38,$F$4))</f>
        <v/>
      </c>
    </row>
    <row r="39">
      <c r="A39" s="44" t="n">
        <v>23</v>
      </c>
      <c r="B39" s="39">
        <f>IFERROR(INDEX(Lu_Q,MATCH(A39,Lu_t,0),$C$4),0)</f>
        <v/>
      </c>
      <c r="C39" s="39">
        <f>(B38+B39)/2</f>
        <v/>
      </c>
      <c r="D39" s="39">
        <f>G38</f>
        <v/>
      </c>
      <c r="E39" s="45">
        <f>INDEX(QH_f1,M39,$F$4)+N39*(INDEX(QH_f1,M39+1,$F$4)-INDEX(QH_f1,M39,$F$4))</f>
        <v/>
      </c>
      <c r="F39" s="45">
        <f>E39+C39</f>
        <v/>
      </c>
      <c r="G39" s="46">
        <f>INDEX(QH_q,O39,$F$4)+P39*(INDEX(QH_q,O39+1,$F$4)-INDEX(QH_q,O39,$F$4))</f>
        <v/>
      </c>
      <c r="H39" s="47">
        <f>INDEX(QH_Z,O39)+P39*(INDEX(QH_Z,O39+1)-INDEX(QH_Z,O39))</f>
        <v/>
      </c>
      <c r="I39" s="48">
        <f>INDEX(QH_qtc,O39,$F$4)+P39*(INDEX(QH_qtc,O39+1,$F$4)-INDEX(QH_qtc,O39,$F$4))</f>
        <v/>
      </c>
      <c r="J39" s="49">
        <f>INDEX(QH_qsc,O39)+P39*(INDEX(QH_qsc,O39+1)-INDEX(QH_qsc,O39))</f>
        <v/>
      </c>
      <c r="K39" s="25">
        <f>INDEX(QH_V,O39)+P39*(INDEX(QH_V,O39+1)-INDEX(QH_V,O39))</f>
        <v/>
      </c>
      <c r="L39" s="39">
        <f>K39*1000000/dt_s+G39/2</f>
        <v/>
      </c>
      <c r="M39" s="50">
        <f>MATCH(D39,INDEX(QH_q,0,$F$4),1)</f>
        <v/>
      </c>
      <c r="N39" s="51">
        <f>(D39-INDEX(QH_q,M39,$F$4))/(INDEX(QH_q,M39+1,$F$4)-INDEX(QH_q,M39,$F$4))</f>
        <v/>
      </c>
      <c r="O39" s="50">
        <f>MATCH(F39,INDEX(QH_f2,0,$F$4),1)</f>
        <v/>
      </c>
      <c r="P39" s="51">
        <f>(F39-INDEX(QH_f2,O39,$F$4))/(INDEX(QH_f2,O39+1,$F$4)-INDEX(QH_f2,O39,$F$4))</f>
        <v/>
      </c>
    </row>
    <row r="40">
      <c r="A40" s="44" t="n">
        <v>24</v>
      </c>
      <c r="B40" s="39">
        <f>IFERROR(INDEX(Lu_Q,MATCH(A40,Lu_t,0),$C$4),0)</f>
        <v/>
      </c>
      <c r="C40" s="39">
        <f>(B39+B40)/2</f>
        <v/>
      </c>
      <c r="D40" s="39">
        <f>G39</f>
        <v/>
      </c>
      <c r="E40" s="45">
        <f>INDEX(QH_f1,M40,$F$4)+N40*(INDEX(QH_f1,M40+1,$F$4)-INDEX(QH_f1,M40,$F$4))</f>
        <v/>
      </c>
      <c r="F40" s="45">
        <f>E40+C40</f>
        <v/>
      </c>
      <c r="G40" s="46">
        <f>INDEX(QH_q,O40,$F$4)+P40*(INDEX(QH_q,O40+1,$F$4)-INDEX(QH_q,O40,$F$4))</f>
        <v/>
      </c>
      <c r="H40" s="47">
        <f>INDEX(QH_Z,O40)+P40*(INDEX(QH_Z,O40+1)-INDEX(QH_Z,O40))</f>
        <v/>
      </c>
      <c r="I40" s="48">
        <f>INDEX(QH_qtc,O40,$F$4)+P40*(INDEX(QH_qtc,O40+1,$F$4)-INDEX(QH_qtc,O40,$F$4))</f>
        <v/>
      </c>
      <c r="J40" s="49">
        <f>INDEX(QH_qsc,O40)+P40*(INDEX(QH_qsc,O40+1)-INDEX(QH_qsc,O40))</f>
        <v/>
      </c>
      <c r="K40" s="25">
        <f>INDEX(QH_V,O40)+P40*(INDEX(QH_V,O40+1)-INDEX(QH_V,O40))</f>
        <v/>
      </c>
      <c r="L40" s="39">
        <f>K40*1000000/dt_s+G40/2</f>
        <v/>
      </c>
      <c r="M40" s="50">
        <f>MATCH(D40,INDEX(QH_q,0,$F$4),1)</f>
        <v/>
      </c>
      <c r="N40" s="51">
        <f>(D40-INDEX(QH_q,M40,$F$4))/(INDEX(QH_q,M40+1,$F$4)-INDEX(QH_q,M40,$F$4))</f>
        <v/>
      </c>
      <c r="O40" s="50">
        <f>MATCH(F40,INDEX(QH_f2,0,$F$4),1)</f>
        <v/>
      </c>
      <c r="P40" s="51">
        <f>(F40-INDEX(QH_f2,O40,$F$4))/(INDEX(QH_f2,O40+1,$F$4)-INDEX(QH_f2,O40,$F$4))</f>
        <v/>
      </c>
    </row>
    <row r="41">
      <c r="A41" s="44" t="n">
        <v>25</v>
      </c>
      <c r="B41" s="39">
        <f>IFERROR(INDEX(Lu_Q,MATCH(A41,Lu_t,0),$C$4),0)</f>
        <v/>
      </c>
      <c r="C41" s="39">
        <f>(B40+B41)/2</f>
        <v/>
      </c>
      <c r="D41" s="39">
        <f>G40</f>
        <v/>
      </c>
      <c r="E41" s="45">
        <f>INDEX(QH_f1,M41,$F$4)+N41*(INDEX(QH_f1,M41+1,$F$4)-INDEX(QH_f1,M41,$F$4))</f>
        <v/>
      </c>
      <c r="F41" s="45">
        <f>E41+C41</f>
        <v/>
      </c>
      <c r="G41" s="46">
        <f>INDEX(QH_q,O41,$F$4)+P41*(INDEX(QH_q,O41+1,$F$4)-INDEX(QH_q,O41,$F$4))</f>
        <v/>
      </c>
      <c r="H41" s="47">
        <f>INDEX(QH_Z,O41)+P41*(INDEX(QH_Z,O41+1)-INDEX(QH_Z,O41))</f>
        <v/>
      </c>
      <c r="I41" s="48">
        <f>INDEX(QH_qtc,O41,$F$4)+P41*(INDEX(QH_qtc,O41+1,$F$4)-INDEX(QH_qtc,O41,$F$4))</f>
        <v/>
      </c>
      <c r="J41" s="49">
        <f>INDEX(QH_qsc,O41)+P41*(INDEX(QH_qsc,O41+1)-INDEX(QH_qsc,O41))</f>
        <v/>
      </c>
      <c r="K41" s="25">
        <f>INDEX(QH_V,O41)+P41*(INDEX(QH_V,O41+1)-INDEX(QH_V,O41))</f>
        <v/>
      </c>
      <c r="L41" s="39">
        <f>K41*1000000/dt_s+G41/2</f>
        <v/>
      </c>
      <c r="M41" s="50">
        <f>MATCH(D41,INDEX(QH_q,0,$F$4),1)</f>
        <v/>
      </c>
      <c r="N41" s="51">
        <f>(D41-INDEX(QH_q,M41,$F$4))/(INDEX(QH_q,M41+1,$F$4)-INDEX(QH_q,M41,$F$4))</f>
        <v/>
      </c>
      <c r="O41" s="50">
        <f>MATCH(F41,INDEX(QH_f2,0,$F$4),1)</f>
        <v/>
      </c>
      <c r="P41" s="51">
        <f>(F41-INDEX(QH_f2,O41,$F$4))/(INDEX(QH_f2,O41+1,$F$4)-INDEX(QH_f2,O41,$F$4))</f>
        <v/>
      </c>
    </row>
    <row r="42">
      <c r="A42" s="44" t="n">
        <v>26</v>
      </c>
      <c r="B42" s="39">
        <f>IFERROR(INDEX(Lu_Q,MATCH(A42,Lu_t,0),$C$4),0)</f>
        <v/>
      </c>
      <c r="C42" s="39">
        <f>(B41+B42)/2</f>
        <v/>
      </c>
      <c r="D42" s="39">
        <f>G41</f>
        <v/>
      </c>
      <c r="E42" s="45">
        <f>INDEX(QH_f1,M42,$F$4)+N42*(INDEX(QH_f1,M42+1,$F$4)-INDEX(QH_f1,M42,$F$4))</f>
        <v/>
      </c>
      <c r="F42" s="45">
        <f>E42+C42</f>
        <v/>
      </c>
      <c r="G42" s="46">
        <f>INDEX(QH_q,O42,$F$4)+P42*(INDEX(QH_q,O42+1,$F$4)-INDEX(QH_q,O42,$F$4))</f>
        <v/>
      </c>
      <c r="H42" s="47">
        <f>INDEX(QH_Z,O42)+P42*(INDEX(QH_Z,O42+1)-INDEX(QH_Z,O42))</f>
        <v/>
      </c>
      <c r="I42" s="48">
        <f>INDEX(QH_qtc,O42,$F$4)+P42*(INDEX(QH_qtc,O42+1,$F$4)-INDEX(QH_qtc,O42,$F$4))</f>
        <v/>
      </c>
      <c r="J42" s="49">
        <f>INDEX(QH_qsc,O42)+P42*(INDEX(QH_qsc,O42+1)-INDEX(QH_qsc,O42))</f>
        <v/>
      </c>
      <c r="K42" s="25">
        <f>INDEX(QH_V,O42)+P42*(INDEX(QH_V,O42+1)-INDEX(QH_V,O42))</f>
        <v/>
      </c>
      <c r="L42" s="39">
        <f>K42*1000000/dt_s+G42/2</f>
        <v/>
      </c>
      <c r="M42" s="50">
        <f>MATCH(D42,INDEX(QH_q,0,$F$4),1)</f>
        <v/>
      </c>
      <c r="N42" s="51">
        <f>(D42-INDEX(QH_q,M42,$F$4))/(INDEX(QH_q,M42+1,$F$4)-INDEX(QH_q,M42,$F$4))</f>
        <v/>
      </c>
      <c r="O42" s="50">
        <f>MATCH(F42,INDEX(QH_f2,0,$F$4),1)</f>
        <v/>
      </c>
      <c r="P42" s="51">
        <f>(F42-INDEX(QH_f2,O42,$F$4))/(INDEX(QH_f2,O42+1,$F$4)-INDEX(QH_f2,O42,$F$4))</f>
        <v/>
      </c>
    </row>
    <row r="43">
      <c r="A43" s="44" t="n">
        <v>27</v>
      </c>
      <c r="B43" s="39">
        <f>IFERROR(INDEX(Lu_Q,MATCH(A43,Lu_t,0),$C$4),0)</f>
        <v/>
      </c>
      <c r="C43" s="39">
        <f>(B42+B43)/2</f>
        <v/>
      </c>
      <c r="D43" s="39">
        <f>G42</f>
        <v/>
      </c>
      <c r="E43" s="45">
        <f>INDEX(QH_f1,M43,$F$4)+N43*(INDEX(QH_f1,M43+1,$F$4)-INDEX(QH_f1,M43,$F$4))</f>
        <v/>
      </c>
      <c r="F43" s="45">
        <f>E43+C43</f>
        <v/>
      </c>
      <c r="G43" s="46">
        <f>INDEX(QH_q,O43,$F$4)+P43*(INDEX(QH_q,O43+1,$F$4)-INDEX(QH_q,O43,$F$4))</f>
        <v/>
      </c>
      <c r="H43" s="47">
        <f>INDEX(QH_Z,O43)+P43*(INDEX(QH_Z,O43+1)-INDEX(QH_Z,O43))</f>
        <v/>
      </c>
      <c r="I43" s="48">
        <f>INDEX(QH_qtc,O43,$F$4)+P43*(INDEX(QH_qtc,O43+1,$F$4)-INDEX(QH_qtc,O43,$F$4))</f>
        <v/>
      </c>
      <c r="J43" s="49">
        <f>INDEX(QH_qsc,O43)+P43*(INDEX(QH_qsc,O43+1)-INDEX(QH_qsc,O43))</f>
        <v/>
      </c>
      <c r="K43" s="25">
        <f>INDEX(QH_V,O43)+P43*(INDEX(QH_V,O43+1)-INDEX(QH_V,O43))</f>
        <v/>
      </c>
      <c r="L43" s="39">
        <f>K43*1000000/dt_s+G43/2</f>
        <v/>
      </c>
      <c r="M43" s="50">
        <f>MATCH(D43,INDEX(QH_q,0,$F$4),1)</f>
        <v/>
      </c>
      <c r="N43" s="51">
        <f>(D43-INDEX(QH_q,M43,$F$4))/(INDEX(QH_q,M43+1,$F$4)-INDEX(QH_q,M43,$F$4))</f>
        <v/>
      </c>
      <c r="O43" s="50">
        <f>MATCH(F43,INDEX(QH_f2,0,$F$4),1)</f>
        <v/>
      </c>
      <c r="P43" s="51">
        <f>(F43-INDEX(QH_f2,O43,$F$4))/(INDEX(QH_f2,O43+1,$F$4)-INDEX(QH_f2,O43,$F$4))</f>
        <v/>
      </c>
    </row>
    <row r="44">
      <c r="A44" s="44" t="n">
        <v>28</v>
      </c>
      <c r="B44" s="39">
        <f>IFERROR(INDEX(Lu_Q,MATCH(A44,Lu_t,0),$C$4),0)</f>
        <v/>
      </c>
      <c r="C44" s="39">
        <f>(B43+B44)/2</f>
        <v/>
      </c>
      <c r="D44" s="39">
        <f>G43</f>
        <v/>
      </c>
      <c r="E44" s="45">
        <f>INDEX(QH_f1,M44,$F$4)+N44*(INDEX(QH_f1,M44+1,$F$4)-INDEX(QH_f1,M44,$F$4))</f>
        <v/>
      </c>
      <c r="F44" s="45">
        <f>E44+C44</f>
        <v/>
      </c>
      <c r="G44" s="46">
        <f>INDEX(QH_q,O44,$F$4)+P44*(INDEX(QH_q,O44+1,$F$4)-INDEX(QH_q,O44,$F$4))</f>
        <v/>
      </c>
      <c r="H44" s="47">
        <f>INDEX(QH_Z,O44)+P44*(INDEX(QH_Z,O44+1)-INDEX(QH_Z,O44))</f>
        <v/>
      </c>
      <c r="I44" s="48">
        <f>INDEX(QH_qtc,O44,$F$4)+P44*(INDEX(QH_qtc,O44+1,$F$4)-INDEX(QH_qtc,O44,$F$4))</f>
        <v/>
      </c>
      <c r="J44" s="49">
        <f>INDEX(QH_qsc,O44)+P44*(INDEX(QH_qsc,O44+1)-INDEX(QH_qsc,O44))</f>
        <v/>
      </c>
      <c r="K44" s="25">
        <f>INDEX(QH_V,O44)+P44*(INDEX(QH_V,O44+1)-INDEX(QH_V,O44))</f>
        <v/>
      </c>
      <c r="L44" s="39">
        <f>K44*1000000/dt_s+G44/2</f>
        <v/>
      </c>
      <c r="M44" s="50">
        <f>MATCH(D44,INDEX(QH_q,0,$F$4),1)</f>
        <v/>
      </c>
      <c r="N44" s="51">
        <f>(D44-INDEX(QH_q,M44,$F$4))/(INDEX(QH_q,M44+1,$F$4)-INDEX(QH_q,M44,$F$4))</f>
        <v/>
      </c>
      <c r="O44" s="50">
        <f>MATCH(F44,INDEX(QH_f2,0,$F$4),1)</f>
        <v/>
      </c>
      <c r="P44" s="51">
        <f>(F44-INDEX(QH_f2,O44,$F$4))/(INDEX(QH_f2,O44+1,$F$4)-INDEX(QH_f2,O44,$F$4))</f>
        <v/>
      </c>
    </row>
    <row r="45">
      <c r="A45" s="44" t="n">
        <v>29</v>
      </c>
      <c r="B45" s="39">
        <f>IFERROR(INDEX(Lu_Q,MATCH(A45,Lu_t,0),$C$4),0)</f>
        <v/>
      </c>
      <c r="C45" s="39">
        <f>(B44+B45)/2</f>
        <v/>
      </c>
      <c r="D45" s="39">
        <f>G44</f>
        <v/>
      </c>
      <c r="E45" s="45">
        <f>INDEX(QH_f1,M45,$F$4)+N45*(INDEX(QH_f1,M45+1,$F$4)-INDEX(QH_f1,M45,$F$4))</f>
        <v/>
      </c>
      <c r="F45" s="45">
        <f>E45+C45</f>
        <v/>
      </c>
      <c r="G45" s="46">
        <f>INDEX(QH_q,O45,$F$4)+P45*(INDEX(QH_q,O45+1,$F$4)-INDEX(QH_q,O45,$F$4))</f>
        <v/>
      </c>
      <c r="H45" s="47">
        <f>INDEX(QH_Z,O45)+P45*(INDEX(QH_Z,O45+1)-INDEX(QH_Z,O45))</f>
        <v/>
      </c>
      <c r="I45" s="48">
        <f>INDEX(QH_qtc,O45,$F$4)+P45*(INDEX(QH_qtc,O45+1,$F$4)-INDEX(QH_qtc,O45,$F$4))</f>
        <v/>
      </c>
      <c r="J45" s="49">
        <f>INDEX(QH_qsc,O45)+P45*(INDEX(QH_qsc,O45+1)-INDEX(QH_qsc,O45))</f>
        <v/>
      </c>
      <c r="K45" s="25">
        <f>INDEX(QH_V,O45)+P45*(INDEX(QH_V,O45+1)-INDEX(QH_V,O45))</f>
        <v/>
      </c>
      <c r="L45" s="39">
        <f>K45*1000000/dt_s+G45/2</f>
        <v/>
      </c>
      <c r="M45" s="50">
        <f>MATCH(D45,INDEX(QH_q,0,$F$4),1)</f>
        <v/>
      </c>
      <c r="N45" s="51">
        <f>(D45-INDEX(QH_q,M45,$F$4))/(INDEX(QH_q,M45+1,$F$4)-INDEX(QH_q,M45,$F$4))</f>
        <v/>
      </c>
      <c r="O45" s="50">
        <f>MATCH(F45,INDEX(QH_f2,0,$F$4),1)</f>
        <v/>
      </c>
      <c r="P45" s="51">
        <f>(F45-INDEX(QH_f2,O45,$F$4))/(INDEX(QH_f2,O45+1,$F$4)-INDEX(QH_f2,O45,$F$4))</f>
        <v/>
      </c>
    </row>
    <row r="46">
      <c r="A46" s="44" t="n">
        <v>30</v>
      </c>
      <c r="B46" s="39">
        <f>IFERROR(INDEX(Lu_Q,MATCH(A46,Lu_t,0),$C$4),0)</f>
        <v/>
      </c>
      <c r="C46" s="39">
        <f>(B45+B46)/2</f>
        <v/>
      </c>
      <c r="D46" s="39">
        <f>G45</f>
        <v/>
      </c>
      <c r="E46" s="45">
        <f>INDEX(QH_f1,M46,$F$4)+N46*(INDEX(QH_f1,M46+1,$F$4)-INDEX(QH_f1,M46,$F$4))</f>
        <v/>
      </c>
      <c r="F46" s="45">
        <f>E46+C46</f>
        <v/>
      </c>
      <c r="G46" s="46">
        <f>INDEX(QH_q,O46,$F$4)+P46*(INDEX(QH_q,O46+1,$F$4)-INDEX(QH_q,O46,$F$4))</f>
        <v/>
      </c>
      <c r="H46" s="47">
        <f>INDEX(QH_Z,O46)+P46*(INDEX(QH_Z,O46+1)-INDEX(QH_Z,O46))</f>
        <v/>
      </c>
      <c r="I46" s="48">
        <f>INDEX(QH_qtc,O46,$F$4)+P46*(INDEX(QH_qtc,O46+1,$F$4)-INDEX(QH_qtc,O46,$F$4))</f>
        <v/>
      </c>
      <c r="J46" s="49">
        <f>INDEX(QH_qsc,O46)+P46*(INDEX(QH_qsc,O46+1)-INDEX(QH_qsc,O46))</f>
        <v/>
      </c>
      <c r="K46" s="25">
        <f>INDEX(QH_V,O46)+P46*(INDEX(QH_V,O46+1)-INDEX(QH_V,O46))</f>
        <v/>
      </c>
      <c r="L46" s="39">
        <f>K46*1000000/dt_s+G46/2</f>
        <v/>
      </c>
      <c r="M46" s="50">
        <f>MATCH(D46,INDEX(QH_q,0,$F$4),1)</f>
        <v/>
      </c>
      <c r="N46" s="51">
        <f>(D46-INDEX(QH_q,M46,$F$4))/(INDEX(QH_q,M46+1,$F$4)-INDEX(QH_q,M46,$F$4))</f>
        <v/>
      </c>
      <c r="O46" s="50">
        <f>MATCH(F46,INDEX(QH_f2,0,$F$4),1)</f>
        <v/>
      </c>
      <c r="P46" s="51">
        <f>(F46-INDEX(QH_f2,O46,$F$4))/(INDEX(QH_f2,O46+1,$F$4)-INDEX(QH_f2,O46,$F$4))</f>
        <v/>
      </c>
    </row>
    <row r="47">
      <c r="A47" s="44" t="n">
        <v>31</v>
      </c>
      <c r="B47" s="39">
        <f>IFERROR(INDEX(Lu_Q,MATCH(A47,Lu_t,0),$C$4),0)</f>
        <v/>
      </c>
      <c r="C47" s="39">
        <f>(B46+B47)/2</f>
        <v/>
      </c>
      <c r="D47" s="39">
        <f>G46</f>
        <v/>
      </c>
      <c r="E47" s="45">
        <f>INDEX(QH_f1,M47,$F$4)+N47*(INDEX(QH_f1,M47+1,$F$4)-INDEX(QH_f1,M47,$F$4))</f>
        <v/>
      </c>
      <c r="F47" s="45">
        <f>E47+C47</f>
        <v/>
      </c>
      <c r="G47" s="46">
        <f>INDEX(QH_q,O47,$F$4)+P47*(INDEX(QH_q,O47+1,$F$4)-INDEX(QH_q,O47,$F$4))</f>
        <v/>
      </c>
      <c r="H47" s="47">
        <f>INDEX(QH_Z,O47)+P47*(INDEX(QH_Z,O47+1)-INDEX(QH_Z,O47))</f>
        <v/>
      </c>
      <c r="I47" s="48">
        <f>INDEX(QH_qtc,O47,$F$4)+P47*(INDEX(QH_qtc,O47+1,$F$4)-INDEX(QH_qtc,O47,$F$4))</f>
        <v/>
      </c>
      <c r="J47" s="49">
        <f>INDEX(QH_qsc,O47)+P47*(INDEX(QH_qsc,O47+1)-INDEX(QH_qsc,O47))</f>
        <v/>
      </c>
      <c r="K47" s="25">
        <f>INDEX(QH_V,O47)+P47*(INDEX(QH_V,O47+1)-INDEX(QH_V,O47))</f>
        <v/>
      </c>
      <c r="L47" s="39">
        <f>K47*1000000/dt_s+G47/2</f>
        <v/>
      </c>
      <c r="M47" s="50">
        <f>MATCH(D47,INDEX(QH_q,0,$F$4),1)</f>
        <v/>
      </c>
      <c r="N47" s="51">
        <f>(D47-INDEX(QH_q,M47,$F$4))/(INDEX(QH_q,M47+1,$F$4)-INDEX(QH_q,M47,$F$4))</f>
        <v/>
      </c>
      <c r="O47" s="50">
        <f>MATCH(F47,INDEX(QH_f2,0,$F$4),1)</f>
        <v/>
      </c>
      <c r="P47" s="51">
        <f>(F47-INDEX(QH_f2,O47,$F$4))/(INDEX(QH_f2,O47+1,$F$4)-INDEX(QH_f2,O47,$F$4))</f>
        <v/>
      </c>
    </row>
    <row r="48">
      <c r="A48" s="44" t="n">
        <v>32</v>
      </c>
      <c r="B48" s="39">
        <f>IFERROR(INDEX(Lu_Q,MATCH(A48,Lu_t,0),$C$4),0)</f>
        <v/>
      </c>
      <c r="C48" s="39">
        <f>(B47+B48)/2</f>
        <v/>
      </c>
      <c r="D48" s="39">
        <f>G47</f>
        <v/>
      </c>
      <c r="E48" s="45">
        <f>INDEX(QH_f1,M48,$F$4)+N48*(INDEX(QH_f1,M48+1,$F$4)-INDEX(QH_f1,M48,$F$4))</f>
        <v/>
      </c>
      <c r="F48" s="45">
        <f>E48+C48</f>
        <v/>
      </c>
      <c r="G48" s="46">
        <f>INDEX(QH_q,O48,$F$4)+P48*(INDEX(QH_q,O48+1,$F$4)-INDEX(QH_q,O48,$F$4))</f>
        <v/>
      </c>
      <c r="H48" s="47">
        <f>INDEX(QH_Z,O48)+P48*(INDEX(QH_Z,O48+1)-INDEX(QH_Z,O48))</f>
        <v/>
      </c>
      <c r="I48" s="48">
        <f>INDEX(QH_qtc,O48,$F$4)+P48*(INDEX(QH_qtc,O48+1,$F$4)-INDEX(QH_qtc,O48,$F$4))</f>
        <v/>
      </c>
      <c r="J48" s="49">
        <f>INDEX(QH_qsc,O48)+P48*(INDEX(QH_qsc,O48+1)-INDEX(QH_qsc,O48))</f>
        <v/>
      </c>
      <c r="K48" s="25">
        <f>INDEX(QH_V,O48)+P48*(INDEX(QH_V,O48+1)-INDEX(QH_V,O48))</f>
        <v/>
      </c>
      <c r="L48" s="39">
        <f>K48*1000000/dt_s+G48/2</f>
        <v/>
      </c>
      <c r="M48" s="50">
        <f>MATCH(D48,INDEX(QH_q,0,$F$4),1)</f>
        <v/>
      </c>
      <c r="N48" s="51">
        <f>(D48-INDEX(QH_q,M48,$F$4))/(INDEX(QH_q,M48+1,$F$4)-INDEX(QH_q,M48,$F$4))</f>
        <v/>
      </c>
      <c r="O48" s="50">
        <f>MATCH(F48,INDEX(QH_f2,0,$F$4),1)</f>
        <v/>
      </c>
      <c r="P48" s="51">
        <f>(F48-INDEX(QH_f2,O48,$F$4))/(INDEX(QH_f2,O48+1,$F$4)-INDEX(QH_f2,O48,$F$4))</f>
        <v/>
      </c>
    </row>
    <row r="49">
      <c r="A49" s="44" t="n">
        <v>33</v>
      </c>
      <c r="B49" s="39">
        <f>IFERROR(INDEX(Lu_Q,MATCH(A49,Lu_t,0),$C$4),0)</f>
        <v/>
      </c>
      <c r="C49" s="39">
        <f>(B48+B49)/2</f>
        <v/>
      </c>
      <c r="D49" s="39">
        <f>G48</f>
        <v/>
      </c>
      <c r="E49" s="45">
        <f>INDEX(QH_f1,M49,$F$4)+N49*(INDEX(QH_f1,M49+1,$F$4)-INDEX(QH_f1,M49,$F$4))</f>
        <v/>
      </c>
      <c r="F49" s="45">
        <f>E49+C49</f>
        <v/>
      </c>
      <c r="G49" s="46">
        <f>INDEX(QH_q,O49,$F$4)+P49*(INDEX(QH_q,O49+1,$F$4)-INDEX(QH_q,O49,$F$4))</f>
        <v/>
      </c>
      <c r="H49" s="47">
        <f>INDEX(QH_Z,O49)+P49*(INDEX(QH_Z,O49+1)-INDEX(QH_Z,O49))</f>
        <v/>
      </c>
      <c r="I49" s="48">
        <f>INDEX(QH_qtc,O49,$F$4)+P49*(INDEX(QH_qtc,O49+1,$F$4)-INDEX(QH_qtc,O49,$F$4))</f>
        <v/>
      </c>
      <c r="J49" s="49">
        <f>INDEX(QH_qsc,O49)+P49*(INDEX(QH_qsc,O49+1)-INDEX(QH_qsc,O49))</f>
        <v/>
      </c>
      <c r="K49" s="25">
        <f>INDEX(QH_V,O49)+P49*(INDEX(QH_V,O49+1)-INDEX(QH_V,O49))</f>
        <v/>
      </c>
      <c r="L49" s="39">
        <f>K49*1000000/dt_s+G49/2</f>
        <v/>
      </c>
      <c r="M49" s="50">
        <f>MATCH(D49,INDEX(QH_q,0,$F$4),1)</f>
        <v/>
      </c>
      <c r="N49" s="51">
        <f>(D49-INDEX(QH_q,M49,$F$4))/(INDEX(QH_q,M49+1,$F$4)-INDEX(QH_q,M49,$F$4))</f>
        <v/>
      </c>
      <c r="O49" s="50">
        <f>MATCH(F49,INDEX(QH_f2,0,$F$4),1)</f>
        <v/>
      </c>
      <c r="P49" s="51">
        <f>(F49-INDEX(QH_f2,O49,$F$4))/(INDEX(QH_f2,O49+1,$F$4)-INDEX(QH_f2,O49,$F$4))</f>
        <v/>
      </c>
    </row>
    <row r="50">
      <c r="A50" s="44" t="n">
        <v>34</v>
      </c>
      <c r="B50" s="39">
        <f>IFERROR(INDEX(Lu_Q,MATCH(A50,Lu_t,0),$C$4),0)</f>
        <v/>
      </c>
      <c r="C50" s="39">
        <f>(B49+B50)/2</f>
        <v/>
      </c>
      <c r="D50" s="39">
        <f>G49</f>
        <v/>
      </c>
      <c r="E50" s="45">
        <f>INDEX(QH_f1,M50,$F$4)+N50*(INDEX(QH_f1,M50+1,$F$4)-INDEX(QH_f1,M50,$F$4))</f>
        <v/>
      </c>
      <c r="F50" s="45">
        <f>E50+C50</f>
        <v/>
      </c>
      <c r="G50" s="46">
        <f>INDEX(QH_q,O50,$F$4)+P50*(INDEX(QH_q,O50+1,$F$4)-INDEX(QH_q,O50,$F$4))</f>
        <v/>
      </c>
      <c r="H50" s="47">
        <f>INDEX(QH_Z,O50)+P50*(INDEX(QH_Z,O50+1)-INDEX(QH_Z,O50))</f>
        <v/>
      </c>
      <c r="I50" s="48">
        <f>INDEX(QH_qtc,O50,$F$4)+P50*(INDEX(QH_qtc,O50+1,$F$4)-INDEX(QH_qtc,O50,$F$4))</f>
        <v/>
      </c>
      <c r="J50" s="49">
        <f>INDEX(QH_qsc,O50)+P50*(INDEX(QH_qsc,O50+1)-INDEX(QH_qsc,O50))</f>
        <v/>
      </c>
      <c r="K50" s="25">
        <f>INDEX(QH_V,O50)+P50*(INDEX(QH_V,O50+1)-INDEX(QH_V,O50))</f>
        <v/>
      </c>
      <c r="L50" s="39">
        <f>K50*1000000/dt_s+G50/2</f>
        <v/>
      </c>
      <c r="M50" s="50">
        <f>MATCH(D50,INDEX(QH_q,0,$F$4),1)</f>
        <v/>
      </c>
      <c r="N50" s="51">
        <f>(D50-INDEX(QH_q,M50,$F$4))/(INDEX(QH_q,M50+1,$F$4)-INDEX(QH_q,M50,$F$4))</f>
        <v/>
      </c>
      <c r="O50" s="50">
        <f>MATCH(F50,INDEX(QH_f2,0,$F$4),1)</f>
        <v/>
      </c>
      <c r="P50" s="51">
        <f>(F50-INDEX(QH_f2,O50,$F$4))/(INDEX(QH_f2,O50+1,$F$4)-INDEX(QH_f2,O50,$F$4))</f>
        <v/>
      </c>
    </row>
    <row r="51">
      <c r="A51" s="44" t="n">
        <v>35</v>
      </c>
      <c r="B51" s="39">
        <f>IFERROR(INDEX(Lu_Q,MATCH(A51,Lu_t,0),$C$4),0)</f>
        <v/>
      </c>
      <c r="C51" s="39">
        <f>(B50+B51)/2</f>
        <v/>
      </c>
      <c r="D51" s="39">
        <f>G50</f>
        <v/>
      </c>
      <c r="E51" s="45">
        <f>INDEX(QH_f1,M51,$F$4)+N51*(INDEX(QH_f1,M51+1,$F$4)-INDEX(QH_f1,M51,$F$4))</f>
        <v/>
      </c>
      <c r="F51" s="45">
        <f>E51+C51</f>
        <v/>
      </c>
      <c r="G51" s="46">
        <f>INDEX(QH_q,O51,$F$4)+P51*(INDEX(QH_q,O51+1,$F$4)-INDEX(QH_q,O51,$F$4))</f>
        <v/>
      </c>
      <c r="H51" s="47">
        <f>INDEX(QH_Z,O51)+P51*(INDEX(QH_Z,O51+1)-INDEX(QH_Z,O51))</f>
        <v/>
      </c>
      <c r="I51" s="48">
        <f>INDEX(QH_qtc,O51,$F$4)+P51*(INDEX(QH_qtc,O51+1,$F$4)-INDEX(QH_qtc,O51,$F$4))</f>
        <v/>
      </c>
      <c r="J51" s="49">
        <f>INDEX(QH_qsc,O51)+P51*(INDEX(QH_qsc,O51+1)-INDEX(QH_qsc,O51))</f>
        <v/>
      </c>
      <c r="K51" s="25">
        <f>INDEX(QH_V,O51)+P51*(INDEX(QH_V,O51+1)-INDEX(QH_V,O51))</f>
        <v/>
      </c>
      <c r="L51" s="39">
        <f>K51*1000000/dt_s+G51/2</f>
        <v/>
      </c>
      <c r="M51" s="50">
        <f>MATCH(D51,INDEX(QH_q,0,$F$4),1)</f>
        <v/>
      </c>
      <c r="N51" s="51">
        <f>(D51-INDEX(QH_q,M51,$F$4))/(INDEX(QH_q,M51+1,$F$4)-INDEX(QH_q,M51,$F$4))</f>
        <v/>
      </c>
      <c r="O51" s="50">
        <f>MATCH(F51,INDEX(QH_f2,0,$F$4),1)</f>
        <v/>
      </c>
      <c r="P51" s="51">
        <f>(F51-INDEX(QH_f2,O51,$F$4))/(INDEX(QH_f2,O51+1,$F$4)-INDEX(QH_f2,O51,$F$4))</f>
        <v/>
      </c>
    </row>
    <row r="52">
      <c r="A52" s="44" t="n">
        <v>36</v>
      </c>
      <c r="B52" s="39">
        <f>IFERROR(INDEX(Lu_Q,MATCH(A52,Lu_t,0),$C$4),0)</f>
        <v/>
      </c>
      <c r="C52" s="39">
        <f>(B51+B52)/2</f>
        <v/>
      </c>
      <c r="D52" s="39">
        <f>G51</f>
        <v/>
      </c>
      <c r="E52" s="45">
        <f>INDEX(QH_f1,M52,$F$4)+N52*(INDEX(QH_f1,M52+1,$F$4)-INDEX(QH_f1,M52,$F$4))</f>
        <v/>
      </c>
      <c r="F52" s="45">
        <f>E52+C52</f>
        <v/>
      </c>
      <c r="G52" s="46">
        <f>INDEX(QH_q,O52,$F$4)+P52*(INDEX(QH_q,O52+1,$F$4)-INDEX(QH_q,O52,$F$4))</f>
        <v/>
      </c>
      <c r="H52" s="47">
        <f>INDEX(QH_Z,O52)+P52*(INDEX(QH_Z,O52+1)-INDEX(QH_Z,O52))</f>
        <v/>
      </c>
      <c r="I52" s="48">
        <f>INDEX(QH_qtc,O52,$F$4)+P52*(INDEX(QH_qtc,O52+1,$F$4)-INDEX(QH_qtc,O52,$F$4))</f>
        <v/>
      </c>
      <c r="J52" s="49">
        <f>INDEX(QH_qsc,O52)+P52*(INDEX(QH_qsc,O52+1)-INDEX(QH_qsc,O52))</f>
        <v/>
      </c>
      <c r="K52" s="25">
        <f>INDEX(QH_V,O52)+P52*(INDEX(QH_V,O52+1)-INDEX(QH_V,O52))</f>
        <v/>
      </c>
      <c r="L52" s="39">
        <f>K52*1000000/dt_s+G52/2</f>
        <v/>
      </c>
      <c r="M52" s="50">
        <f>MATCH(D52,INDEX(QH_q,0,$F$4),1)</f>
        <v/>
      </c>
      <c r="N52" s="51">
        <f>(D52-INDEX(QH_q,M52,$F$4))/(INDEX(QH_q,M52+1,$F$4)-INDEX(QH_q,M52,$F$4))</f>
        <v/>
      </c>
      <c r="O52" s="50">
        <f>MATCH(F52,INDEX(QH_f2,0,$F$4),1)</f>
        <v/>
      </c>
      <c r="P52" s="51">
        <f>(F52-INDEX(QH_f2,O52,$F$4))/(INDEX(QH_f2,O52+1,$F$4)-INDEX(QH_f2,O52,$F$4))</f>
        <v/>
      </c>
    </row>
    <row r="53">
      <c r="A53" s="44" t="n">
        <v>37</v>
      </c>
      <c r="B53" s="39">
        <f>IFERROR(INDEX(Lu_Q,MATCH(A53,Lu_t,0),$C$4),0)</f>
        <v/>
      </c>
      <c r="C53" s="39">
        <f>(B52+B53)/2</f>
        <v/>
      </c>
      <c r="D53" s="39">
        <f>G52</f>
        <v/>
      </c>
      <c r="E53" s="45">
        <f>INDEX(QH_f1,M53,$F$4)+N53*(INDEX(QH_f1,M53+1,$F$4)-INDEX(QH_f1,M53,$F$4))</f>
        <v/>
      </c>
      <c r="F53" s="45">
        <f>E53+C53</f>
        <v/>
      </c>
      <c r="G53" s="46">
        <f>INDEX(QH_q,O53,$F$4)+P53*(INDEX(QH_q,O53+1,$F$4)-INDEX(QH_q,O53,$F$4))</f>
        <v/>
      </c>
      <c r="H53" s="47">
        <f>INDEX(QH_Z,O53)+P53*(INDEX(QH_Z,O53+1)-INDEX(QH_Z,O53))</f>
        <v/>
      </c>
      <c r="I53" s="48">
        <f>INDEX(QH_qtc,O53,$F$4)+P53*(INDEX(QH_qtc,O53+1,$F$4)-INDEX(QH_qtc,O53,$F$4))</f>
        <v/>
      </c>
      <c r="J53" s="49">
        <f>INDEX(QH_qsc,O53)+P53*(INDEX(QH_qsc,O53+1)-INDEX(QH_qsc,O53))</f>
        <v/>
      </c>
      <c r="K53" s="25">
        <f>INDEX(QH_V,O53)+P53*(INDEX(QH_V,O53+1)-INDEX(QH_V,O53))</f>
        <v/>
      </c>
      <c r="L53" s="39">
        <f>K53*1000000/dt_s+G53/2</f>
        <v/>
      </c>
      <c r="M53" s="50">
        <f>MATCH(D53,INDEX(QH_q,0,$F$4),1)</f>
        <v/>
      </c>
      <c r="N53" s="51">
        <f>(D53-INDEX(QH_q,M53,$F$4))/(INDEX(QH_q,M53+1,$F$4)-INDEX(QH_q,M53,$F$4))</f>
        <v/>
      </c>
      <c r="O53" s="50">
        <f>MATCH(F53,INDEX(QH_f2,0,$F$4),1)</f>
        <v/>
      </c>
      <c r="P53" s="51">
        <f>(F53-INDEX(QH_f2,O53,$F$4))/(INDEX(QH_f2,O53+1,$F$4)-INDEX(QH_f2,O53,$F$4))</f>
        <v/>
      </c>
    </row>
    <row r="54">
      <c r="A54" s="44" t="n">
        <v>38</v>
      </c>
      <c r="B54" s="39">
        <f>IFERROR(INDEX(Lu_Q,MATCH(A54,Lu_t,0),$C$4),0)</f>
        <v/>
      </c>
      <c r="C54" s="39">
        <f>(B53+B54)/2</f>
        <v/>
      </c>
      <c r="D54" s="39">
        <f>G53</f>
        <v/>
      </c>
      <c r="E54" s="45">
        <f>INDEX(QH_f1,M54,$F$4)+N54*(INDEX(QH_f1,M54+1,$F$4)-INDEX(QH_f1,M54,$F$4))</f>
        <v/>
      </c>
      <c r="F54" s="45">
        <f>E54+C54</f>
        <v/>
      </c>
      <c r="G54" s="46">
        <f>INDEX(QH_q,O54,$F$4)+P54*(INDEX(QH_q,O54+1,$F$4)-INDEX(QH_q,O54,$F$4))</f>
        <v/>
      </c>
      <c r="H54" s="47">
        <f>INDEX(QH_Z,O54)+P54*(INDEX(QH_Z,O54+1)-INDEX(QH_Z,O54))</f>
        <v/>
      </c>
      <c r="I54" s="48">
        <f>INDEX(QH_qtc,O54,$F$4)+P54*(INDEX(QH_qtc,O54+1,$F$4)-INDEX(QH_qtc,O54,$F$4))</f>
        <v/>
      </c>
      <c r="J54" s="49">
        <f>INDEX(QH_qsc,O54)+P54*(INDEX(QH_qsc,O54+1)-INDEX(QH_qsc,O54))</f>
        <v/>
      </c>
      <c r="K54" s="25">
        <f>INDEX(QH_V,O54)+P54*(INDEX(QH_V,O54+1)-INDEX(QH_V,O54))</f>
        <v/>
      </c>
      <c r="L54" s="39">
        <f>K54*1000000/dt_s+G54/2</f>
        <v/>
      </c>
      <c r="M54" s="50">
        <f>MATCH(D54,INDEX(QH_q,0,$F$4),1)</f>
        <v/>
      </c>
      <c r="N54" s="51">
        <f>(D54-INDEX(QH_q,M54,$F$4))/(INDEX(QH_q,M54+1,$F$4)-INDEX(QH_q,M54,$F$4))</f>
        <v/>
      </c>
      <c r="O54" s="50">
        <f>MATCH(F54,INDEX(QH_f2,0,$F$4),1)</f>
        <v/>
      </c>
      <c r="P54" s="51">
        <f>(F54-INDEX(QH_f2,O54,$F$4))/(INDEX(QH_f2,O54+1,$F$4)-INDEX(QH_f2,O54,$F$4))</f>
        <v/>
      </c>
    </row>
    <row r="55">
      <c r="A55" s="44" t="n">
        <v>39</v>
      </c>
      <c r="B55" s="39">
        <f>IFERROR(INDEX(Lu_Q,MATCH(A55,Lu_t,0),$C$4),0)</f>
        <v/>
      </c>
      <c r="C55" s="39">
        <f>(B54+B55)/2</f>
        <v/>
      </c>
      <c r="D55" s="39">
        <f>G54</f>
        <v/>
      </c>
      <c r="E55" s="45">
        <f>INDEX(QH_f1,M55,$F$4)+N55*(INDEX(QH_f1,M55+1,$F$4)-INDEX(QH_f1,M55,$F$4))</f>
        <v/>
      </c>
      <c r="F55" s="45">
        <f>E55+C55</f>
        <v/>
      </c>
      <c r="G55" s="46">
        <f>INDEX(QH_q,O55,$F$4)+P55*(INDEX(QH_q,O55+1,$F$4)-INDEX(QH_q,O55,$F$4))</f>
        <v/>
      </c>
      <c r="H55" s="47">
        <f>INDEX(QH_Z,O55)+P55*(INDEX(QH_Z,O55+1)-INDEX(QH_Z,O55))</f>
        <v/>
      </c>
      <c r="I55" s="48">
        <f>INDEX(QH_qtc,O55,$F$4)+P55*(INDEX(QH_qtc,O55+1,$F$4)-INDEX(QH_qtc,O55,$F$4))</f>
        <v/>
      </c>
      <c r="J55" s="49">
        <f>INDEX(QH_qsc,O55)+P55*(INDEX(QH_qsc,O55+1)-INDEX(QH_qsc,O55))</f>
        <v/>
      </c>
      <c r="K55" s="25">
        <f>INDEX(QH_V,O55)+P55*(INDEX(QH_V,O55+1)-INDEX(QH_V,O55))</f>
        <v/>
      </c>
      <c r="L55" s="39">
        <f>K55*1000000/dt_s+G55/2</f>
        <v/>
      </c>
      <c r="M55" s="50">
        <f>MATCH(D55,INDEX(QH_q,0,$F$4),1)</f>
        <v/>
      </c>
      <c r="N55" s="51">
        <f>(D55-INDEX(QH_q,M55,$F$4))/(INDEX(QH_q,M55+1,$F$4)-INDEX(QH_q,M55,$F$4))</f>
        <v/>
      </c>
      <c r="O55" s="50">
        <f>MATCH(F55,INDEX(QH_f2,0,$F$4),1)</f>
        <v/>
      </c>
      <c r="P55" s="51">
        <f>(F55-INDEX(QH_f2,O55,$F$4))/(INDEX(QH_f2,O55+1,$F$4)-INDEX(QH_f2,O55,$F$4))</f>
        <v/>
      </c>
    </row>
    <row r="56">
      <c r="A56" s="44" t="n">
        <v>40</v>
      </c>
      <c r="B56" s="39">
        <f>IFERROR(INDEX(Lu_Q,MATCH(A56,Lu_t,0),$C$4),0)</f>
        <v/>
      </c>
      <c r="C56" s="39">
        <f>(B55+B56)/2</f>
        <v/>
      </c>
      <c r="D56" s="39">
        <f>G55</f>
        <v/>
      </c>
      <c r="E56" s="45">
        <f>INDEX(QH_f1,M56,$F$4)+N56*(INDEX(QH_f1,M56+1,$F$4)-INDEX(QH_f1,M56,$F$4))</f>
        <v/>
      </c>
      <c r="F56" s="45">
        <f>E56+C56</f>
        <v/>
      </c>
      <c r="G56" s="46">
        <f>INDEX(QH_q,O56,$F$4)+P56*(INDEX(QH_q,O56+1,$F$4)-INDEX(QH_q,O56,$F$4))</f>
        <v/>
      </c>
      <c r="H56" s="47">
        <f>INDEX(QH_Z,O56)+P56*(INDEX(QH_Z,O56+1)-INDEX(QH_Z,O56))</f>
        <v/>
      </c>
      <c r="I56" s="48">
        <f>INDEX(QH_qtc,O56,$F$4)+P56*(INDEX(QH_qtc,O56+1,$F$4)-INDEX(QH_qtc,O56,$F$4))</f>
        <v/>
      </c>
      <c r="J56" s="49">
        <f>INDEX(QH_qsc,O56)+P56*(INDEX(QH_qsc,O56+1)-INDEX(QH_qsc,O56))</f>
        <v/>
      </c>
      <c r="K56" s="25">
        <f>INDEX(QH_V,O56)+P56*(INDEX(QH_V,O56+1)-INDEX(QH_V,O56))</f>
        <v/>
      </c>
      <c r="L56" s="39">
        <f>K56*1000000/dt_s+G56/2</f>
        <v/>
      </c>
      <c r="M56" s="50">
        <f>MATCH(D56,INDEX(QH_q,0,$F$4),1)</f>
        <v/>
      </c>
      <c r="N56" s="51">
        <f>(D56-INDEX(QH_q,M56,$F$4))/(INDEX(QH_q,M56+1,$F$4)-INDEX(QH_q,M56,$F$4))</f>
        <v/>
      </c>
      <c r="O56" s="50">
        <f>MATCH(F56,INDEX(QH_f2,0,$F$4),1)</f>
        <v/>
      </c>
      <c r="P56" s="51">
        <f>(F56-INDEX(QH_f2,O56,$F$4))/(INDEX(QH_f2,O56+1,$F$4)-INDEX(QH_f2,O56,$F$4))</f>
        <v/>
      </c>
    </row>
    <row r="57">
      <c r="A57" s="44" t="n">
        <v>41</v>
      </c>
      <c r="B57" s="39">
        <f>IFERROR(INDEX(Lu_Q,MATCH(A57,Lu_t,0),$C$4),0)</f>
        <v/>
      </c>
      <c r="C57" s="39">
        <f>(B56+B57)/2</f>
        <v/>
      </c>
      <c r="D57" s="39">
        <f>G56</f>
        <v/>
      </c>
      <c r="E57" s="45">
        <f>INDEX(QH_f1,M57,$F$4)+N57*(INDEX(QH_f1,M57+1,$F$4)-INDEX(QH_f1,M57,$F$4))</f>
        <v/>
      </c>
      <c r="F57" s="45">
        <f>E57+C57</f>
        <v/>
      </c>
      <c r="G57" s="46">
        <f>INDEX(QH_q,O57,$F$4)+P57*(INDEX(QH_q,O57+1,$F$4)-INDEX(QH_q,O57,$F$4))</f>
        <v/>
      </c>
      <c r="H57" s="47">
        <f>INDEX(QH_Z,O57)+P57*(INDEX(QH_Z,O57+1)-INDEX(QH_Z,O57))</f>
        <v/>
      </c>
      <c r="I57" s="48">
        <f>INDEX(QH_qtc,O57,$F$4)+P57*(INDEX(QH_qtc,O57+1,$F$4)-INDEX(QH_qtc,O57,$F$4))</f>
        <v/>
      </c>
      <c r="J57" s="49">
        <f>INDEX(QH_qsc,O57)+P57*(INDEX(QH_qsc,O57+1)-INDEX(QH_qsc,O57))</f>
        <v/>
      </c>
      <c r="K57" s="25">
        <f>INDEX(QH_V,O57)+P57*(INDEX(QH_V,O57+1)-INDEX(QH_V,O57))</f>
        <v/>
      </c>
      <c r="L57" s="39">
        <f>K57*1000000/dt_s+G57/2</f>
        <v/>
      </c>
      <c r="M57" s="50">
        <f>MATCH(D57,INDEX(QH_q,0,$F$4),1)</f>
        <v/>
      </c>
      <c r="N57" s="51">
        <f>(D57-INDEX(QH_q,M57,$F$4))/(INDEX(QH_q,M57+1,$F$4)-INDEX(QH_q,M57,$F$4))</f>
        <v/>
      </c>
      <c r="O57" s="50">
        <f>MATCH(F57,INDEX(QH_f2,0,$F$4),1)</f>
        <v/>
      </c>
      <c r="P57" s="51">
        <f>(F57-INDEX(QH_f2,O57,$F$4))/(INDEX(QH_f2,O57+1,$F$4)-INDEX(QH_f2,O57,$F$4))</f>
        <v/>
      </c>
    </row>
    <row r="58">
      <c r="A58" s="44" t="n">
        <v>42</v>
      </c>
      <c r="B58" s="39">
        <f>IFERROR(INDEX(Lu_Q,MATCH(A58,Lu_t,0),$C$4),0)</f>
        <v/>
      </c>
      <c r="C58" s="39">
        <f>(B57+B58)/2</f>
        <v/>
      </c>
      <c r="D58" s="39">
        <f>G57</f>
        <v/>
      </c>
      <c r="E58" s="45">
        <f>INDEX(QH_f1,M58,$F$4)+N58*(INDEX(QH_f1,M58+1,$F$4)-INDEX(QH_f1,M58,$F$4))</f>
        <v/>
      </c>
      <c r="F58" s="45">
        <f>E58+C58</f>
        <v/>
      </c>
      <c r="G58" s="46">
        <f>INDEX(QH_q,O58,$F$4)+P58*(INDEX(QH_q,O58+1,$F$4)-INDEX(QH_q,O58,$F$4))</f>
        <v/>
      </c>
      <c r="H58" s="47">
        <f>INDEX(QH_Z,O58)+P58*(INDEX(QH_Z,O58+1)-INDEX(QH_Z,O58))</f>
        <v/>
      </c>
      <c r="I58" s="48">
        <f>INDEX(QH_qtc,O58,$F$4)+P58*(INDEX(QH_qtc,O58+1,$F$4)-INDEX(QH_qtc,O58,$F$4))</f>
        <v/>
      </c>
      <c r="J58" s="49">
        <f>INDEX(QH_qsc,O58)+P58*(INDEX(QH_qsc,O58+1)-INDEX(QH_qsc,O58))</f>
        <v/>
      </c>
      <c r="K58" s="25">
        <f>INDEX(QH_V,O58)+P58*(INDEX(QH_V,O58+1)-INDEX(QH_V,O58))</f>
        <v/>
      </c>
      <c r="L58" s="39">
        <f>K58*1000000/dt_s+G58/2</f>
        <v/>
      </c>
      <c r="M58" s="50">
        <f>MATCH(D58,INDEX(QH_q,0,$F$4),1)</f>
        <v/>
      </c>
      <c r="N58" s="51">
        <f>(D58-INDEX(QH_q,M58,$F$4))/(INDEX(QH_q,M58+1,$F$4)-INDEX(QH_q,M58,$F$4))</f>
        <v/>
      </c>
      <c r="O58" s="50">
        <f>MATCH(F58,INDEX(QH_f2,0,$F$4),1)</f>
        <v/>
      </c>
      <c r="P58" s="51">
        <f>(F58-INDEX(QH_f2,O58,$F$4))/(INDEX(QH_f2,O58+1,$F$4)-INDEX(QH_f2,O58,$F$4))</f>
        <v/>
      </c>
    </row>
    <row r="59">
      <c r="A59" s="44" t="n">
        <v>43</v>
      </c>
      <c r="B59" s="39">
        <f>IFERROR(INDEX(Lu_Q,MATCH(A59,Lu_t,0),$C$4),0)</f>
        <v/>
      </c>
      <c r="C59" s="39">
        <f>(B58+B59)/2</f>
        <v/>
      </c>
      <c r="D59" s="39">
        <f>G58</f>
        <v/>
      </c>
      <c r="E59" s="45">
        <f>INDEX(QH_f1,M59,$F$4)+N59*(INDEX(QH_f1,M59+1,$F$4)-INDEX(QH_f1,M59,$F$4))</f>
        <v/>
      </c>
      <c r="F59" s="45">
        <f>E59+C59</f>
        <v/>
      </c>
      <c r="G59" s="46">
        <f>INDEX(QH_q,O59,$F$4)+P59*(INDEX(QH_q,O59+1,$F$4)-INDEX(QH_q,O59,$F$4))</f>
        <v/>
      </c>
      <c r="H59" s="47">
        <f>INDEX(QH_Z,O59)+P59*(INDEX(QH_Z,O59+1)-INDEX(QH_Z,O59))</f>
        <v/>
      </c>
      <c r="I59" s="48">
        <f>INDEX(QH_qtc,O59,$F$4)+P59*(INDEX(QH_qtc,O59+1,$F$4)-INDEX(QH_qtc,O59,$F$4))</f>
        <v/>
      </c>
      <c r="J59" s="49">
        <f>INDEX(QH_qsc,O59)+P59*(INDEX(QH_qsc,O59+1)-INDEX(QH_qsc,O59))</f>
        <v/>
      </c>
      <c r="K59" s="25">
        <f>INDEX(QH_V,O59)+P59*(INDEX(QH_V,O59+1)-INDEX(QH_V,O59))</f>
        <v/>
      </c>
      <c r="L59" s="39">
        <f>K59*1000000/dt_s+G59/2</f>
        <v/>
      </c>
      <c r="M59" s="50">
        <f>MATCH(D59,INDEX(QH_q,0,$F$4),1)</f>
        <v/>
      </c>
      <c r="N59" s="51">
        <f>(D59-INDEX(QH_q,M59,$F$4))/(INDEX(QH_q,M59+1,$F$4)-INDEX(QH_q,M59,$F$4))</f>
        <v/>
      </c>
      <c r="O59" s="50">
        <f>MATCH(F59,INDEX(QH_f2,0,$F$4),1)</f>
        <v/>
      </c>
      <c r="P59" s="51">
        <f>(F59-INDEX(QH_f2,O59,$F$4))/(INDEX(QH_f2,O59+1,$F$4)-INDEX(QH_f2,O59,$F$4))</f>
        <v/>
      </c>
    </row>
    <row r="60">
      <c r="A60" s="44" t="n">
        <v>44</v>
      </c>
      <c r="B60" s="39">
        <f>IFERROR(INDEX(Lu_Q,MATCH(A60,Lu_t,0),$C$4),0)</f>
        <v/>
      </c>
      <c r="C60" s="39">
        <f>(B59+B60)/2</f>
        <v/>
      </c>
      <c r="D60" s="39">
        <f>G59</f>
        <v/>
      </c>
      <c r="E60" s="45">
        <f>INDEX(QH_f1,M60,$F$4)+N60*(INDEX(QH_f1,M60+1,$F$4)-INDEX(QH_f1,M60,$F$4))</f>
        <v/>
      </c>
      <c r="F60" s="45">
        <f>E60+C60</f>
        <v/>
      </c>
      <c r="G60" s="46">
        <f>INDEX(QH_q,O60,$F$4)+P60*(INDEX(QH_q,O60+1,$F$4)-INDEX(QH_q,O60,$F$4))</f>
        <v/>
      </c>
      <c r="H60" s="47">
        <f>INDEX(QH_Z,O60)+P60*(INDEX(QH_Z,O60+1)-INDEX(QH_Z,O60))</f>
        <v/>
      </c>
      <c r="I60" s="48">
        <f>INDEX(QH_qtc,O60,$F$4)+P60*(INDEX(QH_qtc,O60+1,$F$4)-INDEX(QH_qtc,O60,$F$4))</f>
        <v/>
      </c>
      <c r="J60" s="49">
        <f>INDEX(QH_qsc,O60)+P60*(INDEX(QH_qsc,O60+1)-INDEX(QH_qsc,O60))</f>
        <v/>
      </c>
      <c r="K60" s="25">
        <f>INDEX(QH_V,O60)+P60*(INDEX(QH_V,O60+1)-INDEX(QH_V,O60))</f>
        <v/>
      </c>
      <c r="L60" s="39">
        <f>K60*1000000/dt_s+G60/2</f>
        <v/>
      </c>
      <c r="M60" s="50">
        <f>MATCH(D60,INDEX(QH_q,0,$F$4),1)</f>
        <v/>
      </c>
      <c r="N60" s="51">
        <f>(D60-INDEX(QH_q,M60,$F$4))/(INDEX(QH_q,M60+1,$F$4)-INDEX(QH_q,M60,$F$4))</f>
        <v/>
      </c>
      <c r="O60" s="50">
        <f>MATCH(F60,INDEX(QH_f2,0,$F$4),1)</f>
        <v/>
      </c>
      <c r="P60" s="51">
        <f>(F60-INDEX(QH_f2,O60,$F$4))/(INDEX(QH_f2,O60+1,$F$4)-INDEX(QH_f2,O60,$F$4))</f>
        <v/>
      </c>
    </row>
    <row r="61">
      <c r="A61" s="44" t="n">
        <v>45</v>
      </c>
      <c r="B61" s="39">
        <f>IFERROR(INDEX(Lu_Q,MATCH(A61,Lu_t,0),$C$4),0)</f>
        <v/>
      </c>
      <c r="C61" s="39">
        <f>(B60+B61)/2</f>
        <v/>
      </c>
      <c r="D61" s="39">
        <f>G60</f>
        <v/>
      </c>
      <c r="E61" s="45">
        <f>INDEX(QH_f1,M61,$F$4)+N61*(INDEX(QH_f1,M61+1,$F$4)-INDEX(QH_f1,M61,$F$4))</f>
        <v/>
      </c>
      <c r="F61" s="45">
        <f>E61+C61</f>
        <v/>
      </c>
      <c r="G61" s="46">
        <f>INDEX(QH_q,O61,$F$4)+P61*(INDEX(QH_q,O61+1,$F$4)-INDEX(QH_q,O61,$F$4))</f>
        <v/>
      </c>
      <c r="H61" s="47">
        <f>INDEX(QH_Z,O61)+P61*(INDEX(QH_Z,O61+1)-INDEX(QH_Z,O61))</f>
        <v/>
      </c>
      <c r="I61" s="48">
        <f>INDEX(QH_qtc,O61,$F$4)+P61*(INDEX(QH_qtc,O61+1,$F$4)-INDEX(QH_qtc,O61,$F$4))</f>
        <v/>
      </c>
      <c r="J61" s="49">
        <f>INDEX(QH_qsc,O61)+P61*(INDEX(QH_qsc,O61+1)-INDEX(QH_qsc,O61))</f>
        <v/>
      </c>
      <c r="K61" s="25">
        <f>INDEX(QH_V,O61)+P61*(INDEX(QH_V,O61+1)-INDEX(QH_V,O61))</f>
        <v/>
      </c>
      <c r="L61" s="39">
        <f>K61*1000000/dt_s+G61/2</f>
        <v/>
      </c>
      <c r="M61" s="50">
        <f>MATCH(D61,INDEX(QH_q,0,$F$4),1)</f>
        <v/>
      </c>
      <c r="N61" s="51">
        <f>(D61-INDEX(QH_q,M61,$F$4))/(INDEX(QH_q,M61+1,$F$4)-INDEX(QH_q,M61,$F$4))</f>
        <v/>
      </c>
      <c r="O61" s="50">
        <f>MATCH(F61,INDEX(QH_f2,0,$F$4),1)</f>
        <v/>
      </c>
      <c r="P61" s="51">
        <f>(F61-INDEX(QH_f2,O61,$F$4))/(INDEX(QH_f2,O61+1,$F$4)-INDEX(QH_f2,O61,$F$4))</f>
        <v/>
      </c>
    </row>
    <row r="62">
      <c r="A62" s="44" t="n">
        <v>46</v>
      </c>
      <c r="B62" s="39">
        <f>IFERROR(INDEX(Lu_Q,MATCH(A62,Lu_t,0),$C$4),0)</f>
        <v/>
      </c>
      <c r="C62" s="39">
        <f>(B61+B62)/2</f>
        <v/>
      </c>
      <c r="D62" s="39">
        <f>G61</f>
        <v/>
      </c>
      <c r="E62" s="45">
        <f>INDEX(QH_f1,M62,$F$4)+N62*(INDEX(QH_f1,M62+1,$F$4)-INDEX(QH_f1,M62,$F$4))</f>
        <v/>
      </c>
      <c r="F62" s="45">
        <f>E62+C62</f>
        <v/>
      </c>
      <c r="G62" s="46">
        <f>INDEX(QH_q,O62,$F$4)+P62*(INDEX(QH_q,O62+1,$F$4)-INDEX(QH_q,O62,$F$4))</f>
        <v/>
      </c>
      <c r="H62" s="47">
        <f>INDEX(QH_Z,O62)+P62*(INDEX(QH_Z,O62+1)-INDEX(QH_Z,O62))</f>
        <v/>
      </c>
      <c r="I62" s="48">
        <f>INDEX(QH_qtc,O62,$F$4)+P62*(INDEX(QH_qtc,O62+1,$F$4)-INDEX(QH_qtc,O62,$F$4))</f>
        <v/>
      </c>
      <c r="J62" s="49">
        <f>INDEX(QH_qsc,O62)+P62*(INDEX(QH_qsc,O62+1)-INDEX(QH_qsc,O62))</f>
        <v/>
      </c>
      <c r="K62" s="25">
        <f>INDEX(QH_V,O62)+P62*(INDEX(QH_V,O62+1)-INDEX(QH_V,O62))</f>
        <v/>
      </c>
      <c r="L62" s="39">
        <f>K62*1000000/dt_s+G62/2</f>
        <v/>
      </c>
      <c r="M62" s="50">
        <f>MATCH(D62,INDEX(QH_q,0,$F$4),1)</f>
        <v/>
      </c>
      <c r="N62" s="51">
        <f>(D62-INDEX(QH_q,M62,$F$4))/(INDEX(QH_q,M62+1,$F$4)-INDEX(QH_q,M62,$F$4))</f>
        <v/>
      </c>
      <c r="O62" s="50">
        <f>MATCH(F62,INDEX(QH_f2,0,$F$4),1)</f>
        <v/>
      </c>
      <c r="P62" s="51">
        <f>(F62-INDEX(QH_f2,O62,$F$4))/(INDEX(QH_f2,O62+1,$F$4)-INDEX(QH_f2,O62,$F$4))</f>
        <v/>
      </c>
    </row>
    <row r="63">
      <c r="A63" s="44" t="n">
        <v>47</v>
      </c>
      <c r="B63" s="39">
        <f>IFERROR(INDEX(Lu_Q,MATCH(A63,Lu_t,0),$C$4),0)</f>
        <v/>
      </c>
      <c r="C63" s="39">
        <f>(B62+B63)/2</f>
        <v/>
      </c>
      <c r="D63" s="39">
        <f>G62</f>
        <v/>
      </c>
      <c r="E63" s="45">
        <f>INDEX(QH_f1,M63,$F$4)+N63*(INDEX(QH_f1,M63+1,$F$4)-INDEX(QH_f1,M63,$F$4))</f>
        <v/>
      </c>
      <c r="F63" s="45">
        <f>E63+C63</f>
        <v/>
      </c>
      <c r="G63" s="46">
        <f>INDEX(QH_q,O63,$F$4)+P63*(INDEX(QH_q,O63+1,$F$4)-INDEX(QH_q,O63,$F$4))</f>
        <v/>
      </c>
      <c r="H63" s="47">
        <f>INDEX(QH_Z,O63)+P63*(INDEX(QH_Z,O63+1)-INDEX(QH_Z,O63))</f>
        <v/>
      </c>
      <c r="I63" s="48">
        <f>INDEX(QH_qtc,O63,$F$4)+P63*(INDEX(QH_qtc,O63+1,$F$4)-INDEX(QH_qtc,O63,$F$4))</f>
        <v/>
      </c>
      <c r="J63" s="49">
        <f>INDEX(QH_qsc,O63)+P63*(INDEX(QH_qsc,O63+1)-INDEX(QH_qsc,O63))</f>
        <v/>
      </c>
      <c r="K63" s="25">
        <f>INDEX(QH_V,O63)+P63*(INDEX(QH_V,O63+1)-INDEX(QH_V,O63))</f>
        <v/>
      </c>
      <c r="L63" s="39">
        <f>K63*1000000/dt_s+G63/2</f>
        <v/>
      </c>
      <c r="M63" s="50">
        <f>MATCH(D63,INDEX(QH_q,0,$F$4),1)</f>
        <v/>
      </c>
      <c r="N63" s="51">
        <f>(D63-INDEX(QH_q,M63,$F$4))/(INDEX(QH_q,M63+1,$F$4)-INDEX(QH_q,M63,$F$4))</f>
        <v/>
      </c>
      <c r="O63" s="50">
        <f>MATCH(F63,INDEX(QH_f2,0,$F$4),1)</f>
        <v/>
      </c>
      <c r="P63" s="51">
        <f>(F63-INDEX(QH_f2,O63,$F$4))/(INDEX(QH_f2,O63+1,$F$4)-INDEX(QH_f2,O63,$F$4))</f>
        <v/>
      </c>
    </row>
    <row r="64">
      <c r="A64" s="44" t="n">
        <v>48</v>
      </c>
      <c r="B64" s="39">
        <f>IFERROR(INDEX(Lu_Q,MATCH(A64,Lu_t,0),$C$4),0)</f>
        <v/>
      </c>
      <c r="C64" s="39">
        <f>(B63+B64)/2</f>
        <v/>
      </c>
      <c r="D64" s="39">
        <f>G63</f>
        <v/>
      </c>
      <c r="E64" s="45">
        <f>INDEX(QH_f1,M64,$F$4)+N64*(INDEX(QH_f1,M64+1,$F$4)-INDEX(QH_f1,M64,$F$4))</f>
        <v/>
      </c>
      <c r="F64" s="45">
        <f>E64+C64</f>
        <v/>
      </c>
      <c r="G64" s="46">
        <f>INDEX(QH_q,O64,$F$4)+P64*(INDEX(QH_q,O64+1,$F$4)-INDEX(QH_q,O64,$F$4))</f>
        <v/>
      </c>
      <c r="H64" s="47">
        <f>INDEX(QH_Z,O64)+P64*(INDEX(QH_Z,O64+1)-INDEX(QH_Z,O64))</f>
        <v/>
      </c>
      <c r="I64" s="48">
        <f>INDEX(QH_qtc,O64,$F$4)+P64*(INDEX(QH_qtc,O64+1,$F$4)-INDEX(QH_qtc,O64,$F$4))</f>
        <v/>
      </c>
      <c r="J64" s="49">
        <f>INDEX(QH_qsc,O64)+P64*(INDEX(QH_qsc,O64+1)-INDEX(QH_qsc,O64))</f>
        <v/>
      </c>
      <c r="K64" s="25">
        <f>INDEX(QH_V,O64)+P64*(INDEX(QH_V,O64+1)-INDEX(QH_V,O64))</f>
        <v/>
      </c>
      <c r="L64" s="39">
        <f>K64*1000000/dt_s+G64/2</f>
        <v/>
      </c>
      <c r="M64" s="50">
        <f>MATCH(D64,INDEX(QH_q,0,$F$4),1)</f>
        <v/>
      </c>
      <c r="N64" s="51">
        <f>(D64-INDEX(QH_q,M64,$F$4))/(INDEX(QH_q,M64+1,$F$4)-INDEX(QH_q,M64,$F$4))</f>
        <v/>
      </c>
      <c r="O64" s="50">
        <f>MATCH(F64,INDEX(QH_f2,0,$F$4),1)</f>
        <v/>
      </c>
      <c r="P64" s="51">
        <f>(F64-INDEX(QH_f2,O64,$F$4))/(INDEX(QH_f2,O64+1,$F$4)-INDEX(QH_f2,O64,$F$4))</f>
        <v/>
      </c>
    </row>
  </sheetData>
  <mergeCells count="12">
    <mergeCell ref="F3:G3"/>
    <mergeCell ref="A4:B4"/>
    <mergeCell ref="A12:E12"/>
    <mergeCell ref="A7:E7"/>
    <mergeCell ref="A10:E10"/>
    <mergeCell ref="A11:E11"/>
    <mergeCell ref="D4:E4"/>
    <mergeCell ref="A8:E8"/>
    <mergeCell ref="A6:E6"/>
    <mergeCell ref="D3:E3"/>
    <mergeCell ref="A3:B3"/>
    <mergeCell ref="A9:E9"/>
  </mergeCells>
  <conditionalFormatting sqref="A16:P64">
    <cfRule type="expression" priority="1" dxfId="0">
      <formula>$H16=MAX($H$16:$H$64)</formula>
    </cfRule>
  </conditionalFormatting>
  <dataValidations count="2">
    <dataValidation sqref="C3" showDropDown="0" showInputMessage="0" showErrorMessage="0" allowBlank="0" type="list">
      <formula1>"1,0.2"</formula1>
    </dataValidation>
    <dataValidation sqref="F3" showDropDown="0" showInputMessage="0" showErrorMessage="0" allowBlank="0" type="list">
      <formula1>"Bình thường,Sự cố"</formula1>
    </dataValidation>
  </dataValidation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P64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6" t="inlineStr">
        <is>
          <t>ĐIỀU TIẾT LŨ – PHƯƠNG PHÁP PÔ-TA-PỐP, HAI ĐƯỜNG q ~ f₁, q ~ f₂ (Δt = 1 giờ)</t>
        </is>
      </c>
    </row>
    <row r="3">
      <c r="A3" s="12" t="inlineStr">
        <is>
          <t>Tần suất P (%)</t>
        </is>
      </c>
      <c r="B3" s="11" t="n"/>
      <c r="C3" s="41" t="n">
        <v>0.2</v>
      </c>
      <c r="D3" s="12" t="inlineStr">
        <is>
          <t>Trường hợp</t>
        </is>
      </c>
      <c r="E3" s="11" t="n"/>
      <c r="F3" s="42" t="inlineStr">
        <is>
          <t>Bình thường</t>
        </is>
      </c>
      <c r="G3" s="11" t="n"/>
      <c r="H3" s="7" t="inlineStr">
        <is>
          <t>← sửa ô vàng: P = 1 hoặc 0,2; trường hợp “Bình thường” hoặc “Sự cố” (1 cửa tràn chính không mở)</t>
        </is>
      </c>
    </row>
    <row r="4">
      <c r="A4" s="15" t="inlineStr">
        <is>
          <t>Cột lũ</t>
        </is>
      </c>
      <c r="B4" s="11" t="n"/>
      <c r="C4" s="38">
        <f>MATCH(C3,Lu_P,0)</f>
        <v/>
      </c>
      <c r="D4" s="15" t="inlineStr">
        <is>
          <t>Cột bảng tra</t>
        </is>
      </c>
      <c r="E4" s="11" t="n"/>
      <c r="F4" s="38">
        <f>IF(F3="Sự cố",2,1)</f>
        <v/>
      </c>
    </row>
    <row r="5">
      <c r="H5" s="7" t="inlineStr">
        <is>
          <t>Giờ 0: Z = MNDBT, q = q(MNDBT). Từ giờ 1: q₁ → tra đường q ~ f₁ được f₁ → f₂ = f₁ + Qtb → tra đường q ~ f₂ được q₂, Z₂, V₂.</t>
        </is>
      </c>
    </row>
    <row r="6">
      <c r="A6" s="12" t="inlineStr">
        <is>
          <t>Mực nước lớn nhất Zmax (m)</t>
        </is>
      </c>
      <c r="B6" s="10" t="n"/>
      <c r="C6" s="10" t="n"/>
      <c r="D6" s="10" t="n"/>
      <c r="E6" s="11" t="n"/>
      <c r="F6" s="18">
        <f>MAX(H16:H64)</f>
        <v/>
      </c>
      <c r="H6" s="7" t="inlineStr">
        <is>
          <t>Cột M, N: vị trí tra q₁; cột O, P: vị trí tra f₂ trong bảng QuanHe. Cột L kiểm tra V₂/Δt + q₂/2 = f₂.</t>
        </is>
      </c>
    </row>
    <row r="7">
      <c r="A7" s="12" t="inlineStr">
        <is>
          <t>Thời điểm xuất hiện (giờ)</t>
        </is>
      </c>
      <c r="B7" s="10" t="n"/>
      <c r="C7" s="10" t="n"/>
      <c r="D7" s="10" t="n"/>
      <c r="E7" s="11" t="n"/>
      <c r="F7" s="17">
        <f>INDEX(A16:A64,MATCH(MAX(H16:H64),H16:H64,0))</f>
        <v/>
      </c>
    </row>
    <row r="8">
      <c r="A8" s="12" t="inlineStr">
        <is>
          <t>Lưu lượng xả lớn nhất qmax (m³/s)</t>
        </is>
      </c>
      <c r="B8" s="10" t="n"/>
      <c r="C8" s="10" t="n"/>
      <c r="D8" s="10" t="n"/>
      <c r="E8" s="11" t="n"/>
      <c r="F8" s="37">
        <f>MAX(G16:G64)</f>
        <v/>
      </c>
    </row>
    <row r="9">
      <c r="A9" s="12" t="inlineStr">
        <is>
          <t>Lúc Zmax: q tràn chính / q tràn sự cố (m³/s)</t>
        </is>
      </c>
      <c r="B9" s="10" t="n"/>
      <c r="C9" s="10" t="n"/>
      <c r="D9" s="10" t="n"/>
      <c r="E9" s="11" t="n"/>
      <c r="F9" s="37">
        <f>INDEX(I16:I64,MATCH(MAX(H16:H64),H16:H64,0))</f>
        <v/>
      </c>
      <c r="G9" s="37">
        <f>INDEX(J16:J64,MATCH(MAX(H16:H64),H16:H64,0))</f>
        <v/>
      </c>
    </row>
    <row r="10">
      <c r="A10" s="12" t="inlineStr">
        <is>
          <t>Cột nước trên ngưỡng lúc Zmax: tràn chính / tràn sự cố (m)</t>
        </is>
      </c>
      <c r="B10" s="10" t="n"/>
      <c r="C10" s="10" t="n"/>
      <c r="D10" s="10" t="n"/>
      <c r="E10" s="11" t="n"/>
      <c r="F10" s="18">
        <f>F6-TC_Z</f>
        <v/>
      </c>
      <c r="G10" s="18">
        <f>F6-SC_Z</f>
        <v/>
      </c>
    </row>
    <row r="11">
      <c r="A11" s="12" t="inlineStr">
        <is>
          <t>Dung tích phòng lũ V(Zmax) − V(MNDBT) (10⁶ m³)</t>
        </is>
      </c>
      <c r="B11" s="10" t="n"/>
      <c r="C11" s="10" t="n"/>
      <c r="D11" s="10" t="n"/>
      <c r="E11" s="11" t="n"/>
      <c r="F11" s="40">
        <f>INDEX(K16:K64,MATCH(MAX(H16:H64),H16:H64,0))-K16</f>
        <v/>
      </c>
    </row>
    <row r="12">
      <c r="A12" s="12" t="inlineStr">
        <is>
          <t>Cân bằng nước: W đến − W xả − ΔV (10⁶ m³, phải ≈ 0)</t>
        </is>
      </c>
      <c r="B12" s="10" t="n"/>
      <c r="C12" s="10" t="n"/>
      <c r="D12" s="10" t="n"/>
      <c r="E12" s="11" t="n"/>
      <c r="F12" s="43">
        <f>SUMPRODUCT((B16:B63+B17:B64)/2)*dt_s/1000000-SUMPRODUCT((G16:G63+G17:G64)/2)*dt_s/1000000-(K64-K16)</f>
        <v/>
      </c>
    </row>
    <row r="15" ht="58" customHeight="1">
      <c r="A15" s="9" t="inlineStr">
        <is>
          <t>t (giờ)</t>
        </is>
      </c>
      <c r="B15" s="9" t="inlineStr">
        <is>
          <t>Q đến (m³/s)</t>
        </is>
      </c>
      <c r="C15" s="9" t="inlineStr">
        <is>
          <t>Qtb = (Q₁+Q₂)/2</t>
        </is>
      </c>
      <c r="D15" s="9" t="inlineStr">
        <is>
          <t>q₁ (cuối giờ trước)</t>
        </is>
      </c>
      <c r="E15" s="9" t="inlineStr">
        <is>
          <t>f₁ – tra đường q ~ f₁ với q₁</t>
        </is>
      </c>
      <c r="F15" s="9" t="inlineStr">
        <is>
          <t>f₂ = f₁ + Qtb</t>
        </is>
      </c>
      <c r="G15" s="9" t="inlineStr">
        <is>
          <t>q₂ – tra đường q ~ f₂ với f₂</t>
        </is>
      </c>
      <c r="H15" s="9" t="inlineStr">
        <is>
          <t>Z₂ (m)</t>
        </is>
      </c>
      <c r="I15" s="9" t="inlineStr">
        <is>
          <t>q tràn chính (m³/s)</t>
        </is>
      </c>
      <c r="J15" s="9" t="inlineStr">
        <is>
          <t>q tràn sự cố (m³/s)</t>
        </is>
      </c>
      <c r="K15" s="9" t="inlineStr">
        <is>
          <t>V₂ (10⁶ m³)</t>
        </is>
      </c>
      <c r="L15" s="9" t="inlineStr">
        <is>
          <t>Kiểm tra V₂/Δt + q₂/2 (= f₂)</t>
        </is>
      </c>
      <c r="M15" s="9" t="inlineStr">
        <is>
          <t>k₁ – dòng tra q₁</t>
        </is>
      </c>
      <c r="N15" s="9" t="inlineStr">
        <is>
          <t>w₁</t>
        </is>
      </c>
      <c r="O15" s="9" t="inlineStr">
        <is>
          <t>k – dòng tra f₂</t>
        </is>
      </c>
      <c r="P15" s="9" t="inlineStr">
        <is>
          <t>w</t>
        </is>
      </c>
    </row>
    <row r="16">
      <c r="A16" s="44" t="n">
        <v>0</v>
      </c>
      <c r="B16" s="39">
        <f>IFERROR(INDEX(Lu_Q,MATCH(A16,Lu_t,0),$C$4),0)</f>
        <v/>
      </c>
      <c r="C16" s="39" t="inlineStr"/>
      <c r="D16" s="39" t="inlineStr"/>
      <c r="E16" s="45" t="inlineStr"/>
      <c r="F16" s="45" t="inlineStr"/>
      <c r="G16" s="46">
        <f>INDEX(QH_q,O16,$F$4)+P16*(INDEX(QH_q,O16+1,$F$4)-INDEX(QH_q,O16,$F$4))</f>
        <v/>
      </c>
      <c r="H16" s="47">
        <f>INDEX(QH_Z,O16)+P16*(INDEX(QH_Z,O16+1)-INDEX(QH_Z,O16))</f>
        <v/>
      </c>
      <c r="I16" s="48">
        <f>INDEX(QH_qtc,O16,$F$4)+P16*(INDEX(QH_qtc,O16+1,$F$4)-INDEX(QH_qtc,O16,$F$4))</f>
        <v/>
      </c>
      <c r="J16" s="49">
        <f>INDEX(QH_qsc,O16)+P16*(INDEX(QH_qsc,O16+1)-INDEX(QH_qsc,O16))</f>
        <v/>
      </c>
      <c r="K16" s="25">
        <f>INDEX(QH_V,O16)+P16*(INDEX(QH_V,O16+1)-INDEX(QH_V,O16))</f>
        <v/>
      </c>
      <c r="L16" s="39">
        <f>K16*1000000/dt_s+G16/2</f>
        <v/>
      </c>
      <c r="M16" s="50" t="inlineStr"/>
      <c r="N16" s="51" t="inlineStr"/>
      <c r="O16" s="50">
        <f>MATCH(Z0,QH_Z,1)</f>
        <v/>
      </c>
      <c r="P16" s="51">
        <f>(Z0-INDEX(QH_Z,O16))/(INDEX(QH_Z,O16+1)-INDEX(QH_Z,O16))</f>
        <v/>
      </c>
    </row>
    <row r="17">
      <c r="A17" s="44" t="n">
        <v>1</v>
      </c>
      <c r="B17" s="39">
        <f>IFERROR(INDEX(Lu_Q,MATCH(A17,Lu_t,0),$C$4),0)</f>
        <v/>
      </c>
      <c r="C17" s="39">
        <f>(B16+B17)/2</f>
        <v/>
      </c>
      <c r="D17" s="39">
        <f>G16</f>
        <v/>
      </c>
      <c r="E17" s="45">
        <f>INDEX(QH_f1,M17,$F$4)+N17*(INDEX(QH_f1,M17+1,$F$4)-INDEX(QH_f1,M17,$F$4))</f>
        <v/>
      </c>
      <c r="F17" s="45">
        <f>E17+C17</f>
        <v/>
      </c>
      <c r="G17" s="46">
        <f>INDEX(QH_q,O17,$F$4)+P17*(INDEX(QH_q,O17+1,$F$4)-INDEX(QH_q,O17,$F$4))</f>
        <v/>
      </c>
      <c r="H17" s="47">
        <f>INDEX(QH_Z,O17)+P17*(INDEX(QH_Z,O17+1)-INDEX(QH_Z,O17))</f>
        <v/>
      </c>
      <c r="I17" s="48">
        <f>INDEX(QH_qtc,O17,$F$4)+P17*(INDEX(QH_qtc,O17+1,$F$4)-INDEX(QH_qtc,O17,$F$4))</f>
        <v/>
      </c>
      <c r="J17" s="49">
        <f>INDEX(QH_qsc,O17)+P17*(INDEX(QH_qsc,O17+1)-INDEX(QH_qsc,O17))</f>
        <v/>
      </c>
      <c r="K17" s="25">
        <f>INDEX(QH_V,O17)+P17*(INDEX(QH_V,O17+1)-INDEX(QH_V,O17))</f>
        <v/>
      </c>
      <c r="L17" s="39">
        <f>K17*1000000/dt_s+G17/2</f>
        <v/>
      </c>
      <c r="M17" s="50">
        <f>MATCH(D17,INDEX(QH_q,0,$F$4),1)</f>
        <v/>
      </c>
      <c r="N17" s="51">
        <f>(D17-INDEX(QH_q,M17,$F$4))/(INDEX(QH_q,M17+1,$F$4)-INDEX(QH_q,M17,$F$4))</f>
        <v/>
      </c>
      <c r="O17" s="50">
        <f>MATCH(F17,INDEX(QH_f2,0,$F$4),1)</f>
        <v/>
      </c>
      <c r="P17" s="51">
        <f>(F17-INDEX(QH_f2,O17,$F$4))/(INDEX(QH_f2,O17+1,$F$4)-INDEX(QH_f2,O17,$F$4))</f>
        <v/>
      </c>
    </row>
    <row r="18">
      <c r="A18" s="44" t="n">
        <v>2</v>
      </c>
      <c r="B18" s="39">
        <f>IFERROR(INDEX(Lu_Q,MATCH(A18,Lu_t,0),$C$4),0)</f>
        <v/>
      </c>
      <c r="C18" s="39">
        <f>(B17+B18)/2</f>
        <v/>
      </c>
      <c r="D18" s="39">
        <f>G17</f>
        <v/>
      </c>
      <c r="E18" s="45">
        <f>INDEX(QH_f1,M18,$F$4)+N18*(INDEX(QH_f1,M18+1,$F$4)-INDEX(QH_f1,M18,$F$4))</f>
        <v/>
      </c>
      <c r="F18" s="45">
        <f>E18+C18</f>
        <v/>
      </c>
      <c r="G18" s="46">
        <f>INDEX(QH_q,O18,$F$4)+P18*(INDEX(QH_q,O18+1,$F$4)-INDEX(QH_q,O18,$F$4))</f>
        <v/>
      </c>
      <c r="H18" s="47">
        <f>INDEX(QH_Z,O18)+P18*(INDEX(QH_Z,O18+1)-INDEX(QH_Z,O18))</f>
        <v/>
      </c>
      <c r="I18" s="48">
        <f>INDEX(QH_qtc,O18,$F$4)+P18*(INDEX(QH_qtc,O18+1,$F$4)-INDEX(QH_qtc,O18,$F$4))</f>
        <v/>
      </c>
      <c r="J18" s="49">
        <f>INDEX(QH_qsc,O18)+P18*(INDEX(QH_qsc,O18+1)-INDEX(QH_qsc,O18))</f>
        <v/>
      </c>
      <c r="K18" s="25">
        <f>INDEX(QH_V,O18)+P18*(INDEX(QH_V,O18+1)-INDEX(QH_V,O18))</f>
        <v/>
      </c>
      <c r="L18" s="39">
        <f>K18*1000000/dt_s+G18/2</f>
        <v/>
      </c>
      <c r="M18" s="50">
        <f>MATCH(D18,INDEX(QH_q,0,$F$4),1)</f>
        <v/>
      </c>
      <c r="N18" s="51">
        <f>(D18-INDEX(QH_q,M18,$F$4))/(INDEX(QH_q,M18+1,$F$4)-INDEX(QH_q,M18,$F$4))</f>
        <v/>
      </c>
      <c r="O18" s="50">
        <f>MATCH(F18,INDEX(QH_f2,0,$F$4),1)</f>
        <v/>
      </c>
      <c r="P18" s="51">
        <f>(F18-INDEX(QH_f2,O18,$F$4))/(INDEX(QH_f2,O18+1,$F$4)-INDEX(QH_f2,O18,$F$4))</f>
        <v/>
      </c>
    </row>
    <row r="19">
      <c r="A19" s="44" t="n">
        <v>3</v>
      </c>
      <c r="B19" s="39">
        <f>IFERROR(INDEX(Lu_Q,MATCH(A19,Lu_t,0),$C$4),0)</f>
        <v/>
      </c>
      <c r="C19" s="39">
        <f>(B18+B19)/2</f>
        <v/>
      </c>
      <c r="D19" s="39">
        <f>G18</f>
        <v/>
      </c>
      <c r="E19" s="45">
        <f>INDEX(QH_f1,M19,$F$4)+N19*(INDEX(QH_f1,M19+1,$F$4)-INDEX(QH_f1,M19,$F$4))</f>
        <v/>
      </c>
      <c r="F19" s="45">
        <f>E19+C19</f>
        <v/>
      </c>
      <c r="G19" s="46">
        <f>INDEX(QH_q,O19,$F$4)+P19*(INDEX(QH_q,O19+1,$F$4)-INDEX(QH_q,O19,$F$4))</f>
        <v/>
      </c>
      <c r="H19" s="47">
        <f>INDEX(QH_Z,O19)+P19*(INDEX(QH_Z,O19+1)-INDEX(QH_Z,O19))</f>
        <v/>
      </c>
      <c r="I19" s="48">
        <f>INDEX(QH_qtc,O19,$F$4)+P19*(INDEX(QH_qtc,O19+1,$F$4)-INDEX(QH_qtc,O19,$F$4))</f>
        <v/>
      </c>
      <c r="J19" s="49">
        <f>INDEX(QH_qsc,O19)+P19*(INDEX(QH_qsc,O19+1)-INDEX(QH_qsc,O19))</f>
        <v/>
      </c>
      <c r="K19" s="25">
        <f>INDEX(QH_V,O19)+P19*(INDEX(QH_V,O19+1)-INDEX(QH_V,O19))</f>
        <v/>
      </c>
      <c r="L19" s="39">
        <f>K19*1000000/dt_s+G19/2</f>
        <v/>
      </c>
      <c r="M19" s="50">
        <f>MATCH(D19,INDEX(QH_q,0,$F$4),1)</f>
        <v/>
      </c>
      <c r="N19" s="51">
        <f>(D19-INDEX(QH_q,M19,$F$4))/(INDEX(QH_q,M19+1,$F$4)-INDEX(QH_q,M19,$F$4))</f>
        <v/>
      </c>
      <c r="O19" s="50">
        <f>MATCH(F19,INDEX(QH_f2,0,$F$4),1)</f>
        <v/>
      </c>
      <c r="P19" s="51">
        <f>(F19-INDEX(QH_f2,O19,$F$4))/(INDEX(QH_f2,O19+1,$F$4)-INDEX(QH_f2,O19,$F$4))</f>
        <v/>
      </c>
    </row>
    <row r="20">
      <c r="A20" s="44" t="n">
        <v>4</v>
      </c>
      <c r="B20" s="39">
        <f>IFERROR(INDEX(Lu_Q,MATCH(A20,Lu_t,0),$C$4),0)</f>
        <v/>
      </c>
      <c r="C20" s="39">
        <f>(B19+B20)/2</f>
        <v/>
      </c>
      <c r="D20" s="39">
        <f>G19</f>
        <v/>
      </c>
      <c r="E20" s="45">
        <f>INDEX(QH_f1,M20,$F$4)+N20*(INDEX(QH_f1,M20+1,$F$4)-INDEX(QH_f1,M20,$F$4))</f>
        <v/>
      </c>
      <c r="F20" s="45">
        <f>E20+C20</f>
        <v/>
      </c>
      <c r="G20" s="46">
        <f>INDEX(QH_q,O20,$F$4)+P20*(INDEX(QH_q,O20+1,$F$4)-INDEX(QH_q,O20,$F$4))</f>
        <v/>
      </c>
      <c r="H20" s="47">
        <f>INDEX(QH_Z,O20)+P20*(INDEX(QH_Z,O20+1)-INDEX(QH_Z,O20))</f>
        <v/>
      </c>
      <c r="I20" s="48">
        <f>INDEX(QH_qtc,O20,$F$4)+P20*(INDEX(QH_qtc,O20+1,$F$4)-INDEX(QH_qtc,O20,$F$4))</f>
        <v/>
      </c>
      <c r="J20" s="49">
        <f>INDEX(QH_qsc,O20)+P20*(INDEX(QH_qsc,O20+1)-INDEX(QH_qsc,O20))</f>
        <v/>
      </c>
      <c r="K20" s="25">
        <f>INDEX(QH_V,O20)+P20*(INDEX(QH_V,O20+1)-INDEX(QH_V,O20))</f>
        <v/>
      </c>
      <c r="L20" s="39">
        <f>K20*1000000/dt_s+G20/2</f>
        <v/>
      </c>
      <c r="M20" s="50">
        <f>MATCH(D20,INDEX(QH_q,0,$F$4),1)</f>
        <v/>
      </c>
      <c r="N20" s="51">
        <f>(D20-INDEX(QH_q,M20,$F$4))/(INDEX(QH_q,M20+1,$F$4)-INDEX(QH_q,M20,$F$4))</f>
        <v/>
      </c>
      <c r="O20" s="50">
        <f>MATCH(F20,INDEX(QH_f2,0,$F$4),1)</f>
        <v/>
      </c>
      <c r="P20" s="51">
        <f>(F20-INDEX(QH_f2,O20,$F$4))/(INDEX(QH_f2,O20+1,$F$4)-INDEX(QH_f2,O20,$F$4))</f>
        <v/>
      </c>
    </row>
    <row r="21">
      <c r="A21" s="44" t="n">
        <v>5</v>
      </c>
      <c r="B21" s="39">
        <f>IFERROR(INDEX(Lu_Q,MATCH(A21,Lu_t,0),$C$4),0)</f>
        <v/>
      </c>
      <c r="C21" s="39">
        <f>(B20+B21)/2</f>
        <v/>
      </c>
      <c r="D21" s="39">
        <f>G20</f>
        <v/>
      </c>
      <c r="E21" s="45">
        <f>INDEX(QH_f1,M21,$F$4)+N21*(INDEX(QH_f1,M21+1,$F$4)-INDEX(QH_f1,M21,$F$4))</f>
        <v/>
      </c>
      <c r="F21" s="45">
        <f>E21+C21</f>
        <v/>
      </c>
      <c r="G21" s="46">
        <f>INDEX(QH_q,O21,$F$4)+P21*(INDEX(QH_q,O21+1,$F$4)-INDEX(QH_q,O21,$F$4))</f>
        <v/>
      </c>
      <c r="H21" s="47">
        <f>INDEX(QH_Z,O21)+P21*(INDEX(QH_Z,O21+1)-INDEX(QH_Z,O21))</f>
        <v/>
      </c>
      <c r="I21" s="48">
        <f>INDEX(QH_qtc,O21,$F$4)+P21*(INDEX(QH_qtc,O21+1,$F$4)-INDEX(QH_qtc,O21,$F$4))</f>
        <v/>
      </c>
      <c r="J21" s="49">
        <f>INDEX(QH_qsc,O21)+P21*(INDEX(QH_qsc,O21+1)-INDEX(QH_qsc,O21))</f>
        <v/>
      </c>
      <c r="K21" s="25">
        <f>INDEX(QH_V,O21)+P21*(INDEX(QH_V,O21+1)-INDEX(QH_V,O21))</f>
        <v/>
      </c>
      <c r="L21" s="39">
        <f>K21*1000000/dt_s+G21/2</f>
        <v/>
      </c>
      <c r="M21" s="50">
        <f>MATCH(D21,INDEX(QH_q,0,$F$4),1)</f>
        <v/>
      </c>
      <c r="N21" s="51">
        <f>(D21-INDEX(QH_q,M21,$F$4))/(INDEX(QH_q,M21+1,$F$4)-INDEX(QH_q,M21,$F$4))</f>
        <v/>
      </c>
      <c r="O21" s="50">
        <f>MATCH(F21,INDEX(QH_f2,0,$F$4),1)</f>
        <v/>
      </c>
      <c r="P21" s="51">
        <f>(F21-INDEX(QH_f2,O21,$F$4))/(INDEX(QH_f2,O21+1,$F$4)-INDEX(QH_f2,O21,$F$4))</f>
        <v/>
      </c>
    </row>
    <row r="22">
      <c r="A22" s="44" t="n">
        <v>6</v>
      </c>
      <c r="B22" s="39">
        <f>IFERROR(INDEX(Lu_Q,MATCH(A22,Lu_t,0),$C$4),0)</f>
        <v/>
      </c>
      <c r="C22" s="39">
        <f>(B21+B22)/2</f>
        <v/>
      </c>
      <c r="D22" s="39">
        <f>G21</f>
        <v/>
      </c>
      <c r="E22" s="45">
        <f>INDEX(QH_f1,M22,$F$4)+N22*(INDEX(QH_f1,M22+1,$F$4)-INDEX(QH_f1,M22,$F$4))</f>
        <v/>
      </c>
      <c r="F22" s="45">
        <f>E22+C22</f>
        <v/>
      </c>
      <c r="G22" s="46">
        <f>INDEX(QH_q,O22,$F$4)+P22*(INDEX(QH_q,O22+1,$F$4)-INDEX(QH_q,O22,$F$4))</f>
        <v/>
      </c>
      <c r="H22" s="47">
        <f>INDEX(QH_Z,O22)+P22*(INDEX(QH_Z,O22+1)-INDEX(QH_Z,O22))</f>
        <v/>
      </c>
      <c r="I22" s="48">
        <f>INDEX(QH_qtc,O22,$F$4)+P22*(INDEX(QH_qtc,O22+1,$F$4)-INDEX(QH_qtc,O22,$F$4))</f>
        <v/>
      </c>
      <c r="J22" s="49">
        <f>INDEX(QH_qsc,O22)+P22*(INDEX(QH_qsc,O22+1)-INDEX(QH_qsc,O22))</f>
        <v/>
      </c>
      <c r="K22" s="25">
        <f>INDEX(QH_V,O22)+P22*(INDEX(QH_V,O22+1)-INDEX(QH_V,O22))</f>
        <v/>
      </c>
      <c r="L22" s="39">
        <f>K22*1000000/dt_s+G22/2</f>
        <v/>
      </c>
      <c r="M22" s="50">
        <f>MATCH(D22,INDEX(QH_q,0,$F$4),1)</f>
        <v/>
      </c>
      <c r="N22" s="51">
        <f>(D22-INDEX(QH_q,M22,$F$4))/(INDEX(QH_q,M22+1,$F$4)-INDEX(QH_q,M22,$F$4))</f>
        <v/>
      </c>
      <c r="O22" s="50">
        <f>MATCH(F22,INDEX(QH_f2,0,$F$4),1)</f>
        <v/>
      </c>
      <c r="P22" s="51">
        <f>(F22-INDEX(QH_f2,O22,$F$4))/(INDEX(QH_f2,O22+1,$F$4)-INDEX(QH_f2,O22,$F$4))</f>
        <v/>
      </c>
    </row>
    <row r="23">
      <c r="A23" s="44" t="n">
        <v>7</v>
      </c>
      <c r="B23" s="39">
        <f>IFERROR(INDEX(Lu_Q,MATCH(A23,Lu_t,0),$C$4),0)</f>
        <v/>
      </c>
      <c r="C23" s="39">
        <f>(B22+B23)/2</f>
        <v/>
      </c>
      <c r="D23" s="39">
        <f>G22</f>
        <v/>
      </c>
      <c r="E23" s="45">
        <f>INDEX(QH_f1,M23,$F$4)+N23*(INDEX(QH_f1,M23+1,$F$4)-INDEX(QH_f1,M23,$F$4))</f>
        <v/>
      </c>
      <c r="F23" s="45">
        <f>E23+C23</f>
        <v/>
      </c>
      <c r="G23" s="46">
        <f>INDEX(QH_q,O23,$F$4)+P23*(INDEX(QH_q,O23+1,$F$4)-INDEX(QH_q,O23,$F$4))</f>
        <v/>
      </c>
      <c r="H23" s="47">
        <f>INDEX(QH_Z,O23)+P23*(INDEX(QH_Z,O23+1)-INDEX(QH_Z,O23))</f>
        <v/>
      </c>
      <c r="I23" s="48">
        <f>INDEX(QH_qtc,O23,$F$4)+P23*(INDEX(QH_qtc,O23+1,$F$4)-INDEX(QH_qtc,O23,$F$4))</f>
        <v/>
      </c>
      <c r="J23" s="49">
        <f>INDEX(QH_qsc,O23)+P23*(INDEX(QH_qsc,O23+1)-INDEX(QH_qsc,O23))</f>
        <v/>
      </c>
      <c r="K23" s="25">
        <f>INDEX(QH_V,O23)+P23*(INDEX(QH_V,O23+1)-INDEX(QH_V,O23))</f>
        <v/>
      </c>
      <c r="L23" s="39">
        <f>K23*1000000/dt_s+G23/2</f>
        <v/>
      </c>
      <c r="M23" s="50">
        <f>MATCH(D23,INDEX(QH_q,0,$F$4),1)</f>
        <v/>
      </c>
      <c r="N23" s="51">
        <f>(D23-INDEX(QH_q,M23,$F$4))/(INDEX(QH_q,M23+1,$F$4)-INDEX(QH_q,M23,$F$4))</f>
        <v/>
      </c>
      <c r="O23" s="50">
        <f>MATCH(F23,INDEX(QH_f2,0,$F$4),1)</f>
        <v/>
      </c>
      <c r="P23" s="51">
        <f>(F23-INDEX(QH_f2,O23,$F$4))/(INDEX(QH_f2,O23+1,$F$4)-INDEX(QH_f2,O23,$F$4))</f>
        <v/>
      </c>
    </row>
    <row r="24">
      <c r="A24" s="44" t="n">
        <v>8</v>
      </c>
      <c r="B24" s="39">
        <f>IFERROR(INDEX(Lu_Q,MATCH(A24,Lu_t,0),$C$4),0)</f>
        <v/>
      </c>
      <c r="C24" s="39">
        <f>(B23+B24)/2</f>
        <v/>
      </c>
      <c r="D24" s="39">
        <f>G23</f>
        <v/>
      </c>
      <c r="E24" s="45">
        <f>INDEX(QH_f1,M24,$F$4)+N24*(INDEX(QH_f1,M24+1,$F$4)-INDEX(QH_f1,M24,$F$4))</f>
        <v/>
      </c>
      <c r="F24" s="45">
        <f>E24+C24</f>
        <v/>
      </c>
      <c r="G24" s="46">
        <f>INDEX(QH_q,O24,$F$4)+P24*(INDEX(QH_q,O24+1,$F$4)-INDEX(QH_q,O24,$F$4))</f>
        <v/>
      </c>
      <c r="H24" s="47">
        <f>INDEX(QH_Z,O24)+P24*(INDEX(QH_Z,O24+1)-INDEX(QH_Z,O24))</f>
        <v/>
      </c>
      <c r="I24" s="48">
        <f>INDEX(QH_qtc,O24,$F$4)+P24*(INDEX(QH_qtc,O24+1,$F$4)-INDEX(QH_qtc,O24,$F$4))</f>
        <v/>
      </c>
      <c r="J24" s="49">
        <f>INDEX(QH_qsc,O24)+P24*(INDEX(QH_qsc,O24+1)-INDEX(QH_qsc,O24))</f>
        <v/>
      </c>
      <c r="K24" s="25">
        <f>INDEX(QH_V,O24)+P24*(INDEX(QH_V,O24+1)-INDEX(QH_V,O24))</f>
        <v/>
      </c>
      <c r="L24" s="39">
        <f>K24*1000000/dt_s+G24/2</f>
        <v/>
      </c>
      <c r="M24" s="50">
        <f>MATCH(D24,INDEX(QH_q,0,$F$4),1)</f>
        <v/>
      </c>
      <c r="N24" s="51">
        <f>(D24-INDEX(QH_q,M24,$F$4))/(INDEX(QH_q,M24+1,$F$4)-INDEX(QH_q,M24,$F$4))</f>
        <v/>
      </c>
      <c r="O24" s="50">
        <f>MATCH(F24,INDEX(QH_f2,0,$F$4),1)</f>
        <v/>
      </c>
      <c r="P24" s="51">
        <f>(F24-INDEX(QH_f2,O24,$F$4))/(INDEX(QH_f2,O24+1,$F$4)-INDEX(QH_f2,O24,$F$4))</f>
        <v/>
      </c>
    </row>
    <row r="25">
      <c r="A25" s="44" t="n">
        <v>9</v>
      </c>
      <c r="B25" s="39">
        <f>IFERROR(INDEX(Lu_Q,MATCH(A25,Lu_t,0),$C$4),0)</f>
        <v/>
      </c>
      <c r="C25" s="39">
        <f>(B24+B25)/2</f>
        <v/>
      </c>
      <c r="D25" s="39">
        <f>G24</f>
        <v/>
      </c>
      <c r="E25" s="45">
        <f>INDEX(QH_f1,M25,$F$4)+N25*(INDEX(QH_f1,M25+1,$F$4)-INDEX(QH_f1,M25,$F$4))</f>
        <v/>
      </c>
      <c r="F25" s="45">
        <f>E25+C25</f>
        <v/>
      </c>
      <c r="G25" s="46">
        <f>INDEX(QH_q,O25,$F$4)+P25*(INDEX(QH_q,O25+1,$F$4)-INDEX(QH_q,O25,$F$4))</f>
        <v/>
      </c>
      <c r="H25" s="47">
        <f>INDEX(QH_Z,O25)+P25*(INDEX(QH_Z,O25+1)-INDEX(QH_Z,O25))</f>
        <v/>
      </c>
      <c r="I25" s="48">
        <f>INDEX(QH_qtc,O25,$F$4)+P25*(INDEX(QH_qtc,O25+1,$F$4)-INDEX(QH_qtc,O25,$F$4))</f>
        <v/>
      </c>
      <c r="J25" s="49">
        <f>INDEX(QH_qsc,O25)+P25*(INDEX(QH_qsc,O25+1)-INDEX(QH_qsc,O25))</f>
        <v/>
      </c>
      <c r="K25" s="25">
        <f>INDEX(QH_V,O25)+P25*(INDEX(QH_V,O25+1)-INDEX(QH_V,O25))</f>
        <v/>
      </c>
      <c r="L25" s="39">
        <f>K25*1000000/dt_s+G25/2</f>
        <v/>
      </c>
      <c r="M25" s="50">
        <f>MATCH(D25,INDEX(QH_q,0,$F$4),1)</f>
        <v/>
      </c>
      <c r="N25" s="51">
        <f>(D25-INDEX(QH_q,M25,$F$4))/(INDEX(QH_q,M25+1,$F$4)-INDEX(QH_q,M25,$F$4))</f>
        <v/>
      </c>
      <c r="O25" s="50">
        <f>MATCH(F25,INDEX(QH_f2,0,$F$4),1)</f>
        <v/>
      </c>
      <c r="P25" s="51">
        <f>(F25-INDEX(QH_f2,O25,$F$4))/(INDEX(QH_f2,O25+1,$F$4)-INDEX(QH_f2,O25,$F$4))</f>
        <v/>
      </c>
    </row>
    <row r="26">
      <c r="A26" s="44" t="n">
        <v>10</v>
      </c>
      <c r="B26" s="39">
        <f>IFERROR(INDEX(Lu_Q,MATCH(A26,Lu_t,0),$C$4),0)</f>
        <v/>
      </c>
      <c r="C26" s="39">
        <f>(B25+B26)/2</f>
        <v/>
      </c>
      <c r="D26" s="39">
        <f>G25</f>
        <v/>
      </c>
      <c r="E26" s="45">
        <f>INDEX(QH_f1,M26,$F$4)+N26*(INDEX(QH_f1,M26+1,$F$4)-INDEX(QH_f1,M26,$F$4))</f>
        <v/>
      </c>
      <c r="F26" s="45">
        <f>E26+C26</f>
        <v/>
      </c>
      <c r="G26" s="46">
        <f>INDEX(QH_q,O26,$F$4)+P26*(INDEX(QH_q,O26+1,$F$4)-INDEX(QH_q,O26,$F$4))</f>
        <v/>
      </c>
      <c r="H26" s="47">
        <f>INDEX(QH_Z,O26)+P26*(INDEX(QH_Z,O26+1)-INDEX(QH_Z,O26))</f>
        <v/>
      </c>
      <c r="I26" s="48">
        <f>INDEX(QH_qtc,O26,$F$4)+P26*(INDEX(QH_qtc,O26+1,$F$4)-INDEX(QH_qtc,O26,$F$4))</f>
        <v/>
      </c>
      <c r="J26" s="49">
        <f>INDEX(QH_qsc,O26)+P26*(INDEX(QH_qsc,O26+1)-INDEX(QH_qsc,O26))</f>
        <v/>
      </c>
      <c r="K26" s="25">
        <f>INDEX(QH_V,O26)+P26*(INDEX(QH_V,O26+1)-INDEX(QH_V,O26))</f>
        <v/>
      </c>
      <c r="L26" s="39">
        <f>K26*1000000/dt_s+G26/2</f>
        <v/>
      </c>
      <c r="M26" s="50">
        <f>MATCH(D26,INDEX(QH_q,0,$F$4),1)</f>
        <v/>
      </c>
      <c r="N26" s="51">
        <f>(D26-INDEX(QH_q,M26,$F$4))/(INDEX(QH_q,M26+1,$F$4)-INDEX(QH_q,M26,$F$4))</f>
        <v/>
      </c>
      <c r="O26" s="50">
        <f>MATCH(F26,INDEX(QH_f2,0,$F$4),1)</f>
        <v/>
      </c>
      <c r="P26" s="51">
        <f>(F26-INDEX(QH_f2,O26,$F$4))/(INDEX(QH_f2,O26+1,$F$4)-INDEX(QH_f2,O26,$F$4))</f>
        <v/>
      </c>
    </row>
    <row r="27">
      <c r="A27" s="44" t="n">
        <v>11</v>
      </c>
      <c r="B27" s="39">
        <f>IFERROR(INDEX(Lu_Q,MATCH(A27,Lu_t,0),$C$4),0)</f>
        <v/>
      </c>
      <c r="C27" s="39">
        <f>(B26+B27)/2</f>
        <v/>
      </c>
      <c r="D27" s="39">
        <f>G26</f>
        <v/>
      </c>
      <c r="E27" s="45">
        <f>INDEX(QH_f1,M27,$F$4)+N27*(INDEX(QH_f1,M27+1,$F$4)-INDEX(QH_f1,M27,$F$4))</f>
        <v/>
      </c>
      <c r="F27" s="45">
        <f>E27+C27</f>
        <v/>
      </c>
      <c r="G27" s="46">
        <f>INDEX(QH_q,O27,$F$4)+P27*(INDEX(QH_q,O27+1,$F$4)-INDEX(QH_q,O27,$F$4))</f>
        <v/>
      </c>
      <c r="H27" s="47">
        <f>INDEX(QH_Z,O27)+P27*(INDEX(QH_Z,O27+1)-INDEX(QH_Z,O27))</f>
        <v/>
      </c>
      <c r="I27" s="48">
        <f>INDEX(QH_qtc,O27,$F$4)+P27*(INDEX(QH_qtc,O27+1,$F$4)-INDEX(QH_qtc,O27,$F$4))</f>
        <v/>
      </c>
      <c r="J27" s="49">
        <f>INDEX(QH_qsc,O27)+P27*(INDEX(QH_qsc,O27+1)-INDEX(QH_qsc,O27))</f>
        <v/>
      </c>
      <c r="K27" s="25">
        <f>INDEX(QH_V,O27)+P27*(INDEX(QH_V,O27+1)-INDEX(QH_V,O27))</f>
        <v/>
      </c>
      <c r="L27" s="39">
        <f>K27*1000000/dt_s+G27/2</f>
        <v/>
      </c>
      <c r="M27" s="50">
        <f>MATCH(D27,INDEX(QH_q,0,$F$4),1)</f>
        <v/>
      </c>
      <c r="N27" s="51">
        <f>(D27-INDEX(QH_q,M27,$F$4))/(INDEX(QH_q,M27+1,$F$4)-INDEX(QH_q,M27,$F$4))</f>
        <v/>
      </c>
      <c r="O27" s="50">
        <f>MATCH(F27,INDEX(QH_f2,0,$F$4),1)</f>
        <v/>
      </c>
      <c r="P27" s="51">
        <f>(F27-INDEX(QH_f2,O27,$F$4))/(INDEX(QH_f2,O27+1,$F$4)-INDEX(QH_f2,O27,$F$4))</f>
        <v/>
      </c>
    </row>
    <row r="28">
      <c r="A28" s="44" t="n">
        <v>12</v>
      </c>
      <c r="B28" s="39">
        <f>IFERROR(INDEX(Lu_Q,MATCH(A28,Lu_t,0),$C$4),0)</f>
        <v/>
      </c>
      <c r="C28" s="39">
        <f>(B27+B28)/2</f>
        <v/>
      </c>
      <c r="D28" s="39">
        <f>G27</f>
        <v/>
      </c>
      <c r="E28" s="45">
        <f>INDEX(QH_f1,M28,$F$4)+N28*(INDEX(QH_f1,M28+1,$F$4)-INDEX(QH_f1,M28,$F$4))</f>
        <v/>
      </c>
      <c r="F28" s="45">
        <f>E28+C28</f>
        <v/>
      </c>
      <c r="G28" s="46">
        <f>INDEX(QH_q,O28,$F$4)+P28*(INDEX(QH_q,O28+1,$F$4)-INDEX(QH_q,O28,$F$4))</f>
        <v/>
      </c>
      <c r="H28" s="47">
        <f>INDEX(QH_Z,O28)+P28*(INDEX(QH_Z,O28+1)-INDEX(QH_Z,O28))</f>
        <v/>
      </c>
      <c r="I28" s="48">
        <f>INDEX(QH_qtc,O28,$F$4)+P28*(INDEX(QH_qtc,O28+1,$F$4)-INDEX(QH_qtc,O28,$F$4))</f>
        <v/>
      </c>
      <c r="J28" s="49">
        <f>INDEX(QH_qsc,O28)+P28*(INDEX(QH_qsc,O28+1)-INDEX(QH_qsc,O28))</f>
        <v/>
      </c>
      <c r="K28" s="25">
        <f>INDEX(QH_V,O28)+P28*(INDEX(QH_V,O28+1)-INDEX(QH_V,O28))</f>
        <v/>
      </c>
      <c r="L28" s="39">
        <f>K28*1000000/dt_s+G28/2</f>
        <v/>
      </c>
      <c r="M28" s="50">
        <f>MATCH(D28,INDEX(QH_q,0,$F$4),1)</f>
        <v/>
      </c>
      <c r="N28" s="51">
        <f>(D28-INDEX(QH_q,M28,$F$4))/(INDEX(QH_q,M28+1,$F$4)-INDEX(QH_q,M28,$F$4))</f>
        <v/>
      </c>
      <c r="O28" s="50">
        <f>MATCH(F28,INDEX(QH_f2,0,$F$4),1)</f>
        <v/>
      </c>
      <c r="P28" s="51">
        <f>(F28-INDEX(QH_f2,O28,$F$4))/(INDEX(QH_f2,O28+1,$F$4)-INDEX(QH_f2,O28,$F$4))</f>
        <v/>
      </c>
    </row>
    <row r="29">
      <c r="A29" s="44" t="n">
        <v>13</v>
      </c>
      <c r="B29" s="39">
        <f>IFERROR(INDEX(Lu_Q,MATCH(A29,Lu_t,0),$C$4),0)</f>
        <v/>
      </c>
      <c r="C29" s="39">
        <f>(B28+B29)/2</f>
        <v/>
      </c>
      <c r="D29" s="39">
        <f>G28</f>
        <v/>
      </c>
      <c r="E29" s="45">
        <f>INDEX(QH_f1,M29,$F$4)+N29*(INDEX(QH_f1,M29+1,$F$4)-INDEX(QH_f1,M29,$F$4))</f>
        <v/>
      </c>
      <c r="F29" s="45">
        <f>E29+C29</f>
        <v/>
      </c>
      <c r="G29" s="46">
        <f>INDEX(QH_q,O29,$F$4)+P29*(INDEX(QH_q,O29+1,$F$4)-INDEX(QH_q,O29,$F$4))</f>
        <v/>
      </c>
      <c r="H29" s="47">
        <f>INDEX(QH_Z,O29)+P29*(INDEX(QH_Z,O29+1)-INDEX(QH_Z,O29))</f>
        <v/>
      </c>
      <c r="I29" s="48">
        <f>INDEX(QH_qtc,O29,$F$4)+P29*(INDEX(QH_qtc,O29+1,$F$4)-INDEX(QH_qtc,O29,$F$4))</f>
        <v/>
      </c>
      <c r="J29" s="49">
        <f>INDEX(QH_qsc,O29)+P29*(INDEX(QH_qsc,O29+1)-INDEX(QH_qsc,O29))</f>
        <v/>
      </c>
      <c r="K29" s="25">
        <f>INDEX(QH_V,O29)+P29*(INDEX(QH_V,O29+1)-INDEX(QH_V,O29))</f>
        <v/>
      </c>
      <c r="L29" s="39">
        <f>K29*1000000/dt_s+G29/2</f>
        <v/>
      </c>
      <c r="M29" s="50">
        <f>MATCH(D29,INDEX(QH_q,0,$F$4),1)</f>
        <v/>
      </c>
      <c r="N29" s="51">
        <f>(D29-INDEX(QH_q,M29,$F$4))/(INDEX(QH_q,M29+1,$F$4)-INDEX(QH_q,M29,$F$4))</f>
        <v/>
      </c>
      <c r="O29" s="50">
        <f>MATCH(F29,INDEX(QH_f2,0,$F$4),1)</f>
        <v/>
      </c>
      <c r="P29" s="51">
        <f>(F29-INDEX(QH_f2,O29,$F$4))/(INDEX(QH_f2,O29+1,$F$4)-INDEX(QH_f2,O29,$F$4))</f>
        <v/>
      </c>
    </row>
    <row r="30">
      <c r="A30" s="44" t="n">
        <v>14</v>
      </c>
      <c r="B30" s="39">
        <f>IFERROR(INDEX(Lu_Q,MATCH(A30,Lu_t,0),$C$4),0)</f>
        <v/>
      </c>
      <c r="C30" s="39">
        <f>(B29+B30)/2</f>
        <v/>
      </c>
      <c r="D30" s="39">
        <f>G29</f>
        <v/>
      </c>
      <c r="E30" s="45">
        <f>INDEX(QH_f1,M30,$F$4)+N30*(INDEX(QH_f1,M30+1,$F$4)-INDEX(QH_f1,M30,$F$4))</f>
        <v/>
      </c>
      <c r="F30" s="45">
        <f>E30+C30</f>
        <v/>
      </c>
      <c r="G30" s="46">
        <f>INDEX(QH_q,O30,$F$4)+P30*(INDEX(QH_q,O30+1,$F$4)-INDEX(QH_q,O30,$F$4))</f>
        <v/>
      </c>
      <c r="H30" s="47">
        <f>INDEX(QH_Z,O30)+P30*(INDEX(QH_Z,O30+1)-INDEX(QH_Z,O30))</f>
        <v/>
      </c>
      <c r="I30" s="48">
        <f>INDEX(QH_qtc,O30,$F$4)+P30*(INDEX(QH_qtc,O30+1,$F$4)-INDEX(QH_qtc,O30,$F$4))</f>
        <v/>
      </c>
      <c r="J30" s="49">
        <f>INDEX(QH_qsc,O30)+P30*(INDEX(QH_qsc,O30+1)-INDEX(QH_qsc,O30))</f>
        <v/>
      </c>
      <c r="K30" s="25">
        <f>INDEX(QH_V,O30)+P30*(INDEX(QH_V,O30+1)-INDEX(QH_V,O30))</f>
        <v/>
      </c>
      <c r="L30" s="39">
        <f>K30*1000000/dt_s+G30/2</f>
        <v/>
      </c>
      <c r="M30" s="50">
        <f>MATCH(D30,INDEX(QH_q,0,$F$4),1)</f>
        <v/>
      </c>
      <c r="N30" s="51">
        <f>(D30-INDEX(QH_q,M30,$F$4))/(INDEX(QH_q,M30+1,$F$4)-INDEX(QH_q,M30,$F$4))</f>
        <v/>
      </c>
      <c r="O30" s="50">
        <f>MATCH(F30,INDEX(QH_f2,0,$F$4),1)</f>
        <v/>
      </c>
      <c r="P30" s="51">
        <f>(F30-INDEX(QH_f2,O30,$F$4))/(INDEX(QH_f2,O30+1,$F$4)-INDEX(QH_f2,O30,$F$4))</f>
        <v/>
      </c>
    </row>
    <row r="31">
      <c r="A31" s="44" t="n">
        <v>15</v>
      </c>
      <c r="B31" s="39">
        <f>IFERROR(INDEX(Lu_Q,MATCH(A31,Lu_t,0),$C$4),0)</f>
        <v/>
      </c>
      <c r="C31" s="39">
        <f>(B30+B31)/2</f>
        <v/>
      </c>
      <c r="D31" s="39">
        <f>G30</f>
        <v/>
      </c>
      <c r="E31" s="45">
        <f>INDEX(QH_f1,M31,$F$4)+N31*(INDEX(QH_f1,M31+1,$F$4)-INDEX(QH_f1,M31,$F$4))</f>
        <v/>
      </c>
      <c r="F31" s="45">
        <f>E31+C31</f>
        <v/>
      </c>
      <c r="G31" s="46">
        <f>INDEX(QH_q,O31,$F$4)+P31*(INDEX(QH_q,O31+1,$F$4)-INDEX(QH_q,O31,$F$4))</f>
        <v/>
      </c>
      <c r="H31" s="47">
        <f>INDEX(QH_Z,O31)+P31*(INDEX(QH_Z,O31+1)-INDEX(QH_Z,O31))</f>
        <v/>
      </c>
      <c r="I31" s="48">
        <f>INDEX(QH_qtc,O31,$F$4)+P31*(INDEX(QH_qtc,O31+1,$F$4)-INDEX(QH_qtc,O31,$F$4))</f>
        <v/>
      </c>
      <c r="J31" s="49">
        <f>INDEX(QH_qsc,O31)+P31*(INDEX(QH_qsc,O31+1)-INDEX(QH_qsc,O31))</f>
        <v/>
      </c>
      <c r="K31" s="25">
        <f>INDEX(QH_V,O31)+P31*(INDEX(QH_V,O31+1)-INDEX(QH_V,O31))</f>
        <v/>
      </c>
      <c r="L31" s="39">
        <f>K31*1000000/dt_s+G31/2</f>
        <v/>
      </c>
      <c r="M31" s="50">
        <f>MATCH(D31,INDEX(QH_q,0,$F$4),1)</f>
        <v/>
      </c>
      <c r="N31" s="51">
        <f>(D31-INDEX(QH_q,M31,$F$4))/(INDEX(QH_q,M31+1,$F$4)-INDEX(QH_q,M31,$F$4))</f>
        <v/>
      </c>
      <c r="O31" s="50">
        <f>MATCH(F31,INDEX(QH_f2,0,$F$4),1)</f>
        <v/>
      </c>
      <c r="P31" s="51">
        <f>(F31-INDEX(QH_f2,O31,$F$4))/(INDEX(QH_f2,O31+1,$F$4)-INDEX(QH_f2,O31,$F$4))</f>
        <v/>
      </c>
    </row>
    <row r="32">
      <c r="A32" s="44" t="n">
        <v>16</v>
      </c>
      <c r="B32" s="39">
        <f>IFERROR(INDEX(Lu_Q,MATCH(A32,Lu_t,0),$C$4),0)</f>
        <v/>
      </c>
      <c r="C32" s="39">
        <f>(B31+B32)/2</f>
        <v/>
      </c>
      <c r="D32" s="39">
        <f>G31</f>
        <v/>
      </c>
      <c r="E32" s="45">
        <f>INDEX(QH_f1,M32,$F$4)+N32*(INDEX(QH_f1,M32+1,$F$4)-INDEX(QH_f1,M32,$F$4))</f>
        <v/>
      </c>
      <c r="F32" s="45">
        <f>E32+C32</f>
        <v/>
      </c>
      <c r="G32" s="46">
        <f>INDEX(QH_q,O32,$F$4)+P32*(INDEX(QH_q,O32+1,$F$4)-INDEX(QH_q,O32,$F$4))</f>
        <v/>
      </c>
      <c r="H32" s="47">
        <f>INDEX(QH_Z,O32)+P32*(INDEX(QH_Z,O32+1)-INDEX(QH_Z,O32))</f>
        <v/>
      </c>
      <c r="I32" s="48">
        <f>INDEX(QH_qtc,O32,$F$4)+P32*(INDEX(QH_qtc,O32+1,$F$4)-INDEX(QH_qtc,O32,$F$4))</f>
        <v/>
      </c>
      <c r="J32" s="49">
        <f>INDEX(QH_qsc,O32)+P32*(INDEX(QH_qsc,O32+1)-INDEX(QH_qsc,O32))</f>
        <v/>
      </c>
      <c r="K32" s="25">
        <f>INDEX(QH_V,O32)+P32*(INDEX(QH_V,O32+1)-INDEX(QH_V,O32))</f>
        <v/>
      </c>
      <c r="L32" s="39">
        <f>K32*1000000/dt_s+G32/2</f>
        <v/>
      </c>
      <c r="M32" s="50">
        <f>MATCH(D32,INDEX(QH_q,0,$F$4),1)</f>
        <v/>
      </c>
      <c r="N32" s="51">
        <f>(D32-INDEX(QH_q,M32,$F$4))/(INDEX(QH_q,M32+1,$F$4)-INDEX(QH_q,M32,$F$4))</f>
        <v/>
      </c>
      <c r="O32" s="50">
        <f>MATCH(F32,INDEX(QH_f2,0,$F$4),1)</f>
        <v/>
      </c>
      <c r="P32" s="51">
        <f>(F32-INDEX(QH_f2,O32,$F$4))/(INDEX(QH_f2,O32+1,$F$4)-INDEX(QH_f2,O32,$F$4))</f>
        <v/>
      </c>
    </row>
    <row r="33">
      <c r="A33" s="44" t="n">
        <v>17</v>
      </c>
      <c r="B33" s="39">
        <f>IFERROR(INDEX(Lu_Q,MATCH(A33,Lu_t,0),$C$4),0)</f>
        <v/>
      </c>
      <c r="C33" s="39">
        <f>(B32+B33)/2</f>
        <v/>
      </c>
      <c r="D33" s="39">
        <f>G32</f>
        <v/>
      </c>
      <c r="E33" s="45">
        <f>INDEX(QH_f1,M33,$F$4)+N33*(INDEX(QH_f1,M33+1,$F$4)-INDEX(QH_f1,M33,$F$4))</f>
        <v/>
      </c>
      <c r="F33" s="45">
        <f>E33+C33</f>
        <v/>
      </c>
      <c r="G33" s="46">
        <f>INDEX(QH_q,O33,$F$4)+P33*(INDEX(QH_q,O33+1,$F$4)-INDEX(QH_q,O33,$F$4))</f>
        <v/>
      </c>
      <c r="H33" s="47">
        <f>INDEX(QH_Z,O33)+P33*(INDEX(QH_Z,O33+1)-INDEX(QH_Z,O33))</f>
        <v/>
      </c>
      <c r="I33" s="48">
        <f>INDEX(QH_qtc,O33,$F$4)+P33*(INDEX(QH_qtc,O33+1,$F$4)-INDEX(QH_qtc,O33,$F$4))</f>
        <v/>
      </c>
      <c r="J33" s="49">
        <f>INDEX(QH_qsc,O33)+P33*(INDEX(QH_qsc,O33+1)-INDEX(QH_qsc,O33))</f>
        <v/>
      </c>
      <c r="K33" s="25">
        <f>INDEX(QH_V,O33)+P33*(INDEX(QH_V,O33+1)-INDEX(QH_V,O33))</f>
        <v/>
      </c>
      <c r="L33" s="39">
        <f>K33*1000000/dt_s+G33/2</f>
        <v/>
      </c>
      <c r="M33" s="50">
        <f>MATCH(D33,INDEX(QH_q,0,$F$4),1)</f>
        <v/>
      </c>
      <c r="N33" s="51">
        <f>(D33-INDEX(QH_q,M33,$F$4))/(INDEX(QH_q,M33+1,$F$4)-INDEX(QH_q,M33,$F$4))</f>
        <v/>
      </c>
      <c r="O33" s="50">
        <f>MATCH(F33,INDEX(QH_f2,0,$F$4),1)</f>
        <v/>
      </c>
      <c r="P33" s="51">
        <f>(F33-INDEX(QH_f2,O33,$F$4))/(INDEX(QH_f2,O33+1,$F$4)-INDEX(QH_f2,O33,$F$4))</f>
        <v/>
      </c>
    </row>
    <row r="34">
      <c r="A34" s="44" t="n">
        <v>18</v>
      </c>
      <c r="B34" s="39">
        <f>IFERROR(INDEX(Lu_Q,MATCH(A34,Lu_t,0),$C$4),0)</f>
        <v/>
      </c>
      <c r="C34" s="39">
        <f>(B33+B34)/2</f>
        <v/>
      </c>
      <c r="D34" s="39">
        <f>G33</f>
        <v/>
      </c>
      <c r="E34" s="45">
        <f>INDEX(QH_f1,M34,$F$4)+N34*(INDEX(QH_f1,M34+1,$F$4)-INDEX(QH_f1,M34,$F$4))</f>
        <v/>
      </c>
      <c r="F34" s="45">
        <f>E34+C34</f>
        <v/>
      </c>
      <c r="G34" s="46">
        <f>INDEX(QH_q,O34,$F$4)+P34*(INDEX(QH_q,O34+1,$F$4)-INDEX(QH_q,O34,$F$4))</f>
        <v/>
      </c>
      <c r="H34" s="47">
        <f>INDEX(QH_Z,O34)+P34*(INDEX(QH_Z,O34+1)-INDEX(QH_Z,O34))</f>
        <v/>
      </c>
      <c r="I34" s="48">
        <f>INDEX(QH_qtc,O34,$F$4)+P34*(INDEX(QH_qtc,O34+1,$F$4)-INDEX(QH_qtc,O34,$F$4))</f>
        <v/>
      </c>
      <c r="J34" s="49">
        <f>INDEX(QH_qsc,O34)+P34*(INDEX(QH_qsc,O34+1)-INDEX(QH_qsc,O34))</f>
        <v/>
      </c>
      <c r="K34" s="25">
        <f>INDEX(QH_V,O34)+P34*(INDEX(QH_V,O34+1)-INDEX(QH_V,O34))</f>
        <v/>
      </c>
      <c r="L34" s="39">
        <f>K34*1000000/dt_s+G34/2</f>
        <v/>
      </c>
      <c r="M34" s="50">
        <f>MATCH(D34,INDEX(QH_q,0,$F$4),1)</f>
        <v/>
      </c>
      <c r="N34" s="51">
        <f>(D34-INDEX(QH_q,M34,$F$4))/(INDEX(QH_q,M34+1,$F$4)-INDEX(QH_q,M34,$F$4))</f>
        <v/>
      </c>
      <c r="O34" s="50">
        <f>MATCH(F34,INDEX(QH_f2,0,$F$4),1)</f>
        <v/>
      </c>
      <c r="P34" s="51">
        <f>(F34-INDEX(QH_f2,O34,$F$4))/(INDEX(QH_f2,O34+1,$F$4)-INDEX(QH_f2,O34,$F$4))</f>
        <v/>
      </c>
    </row>
    <row r="35">
      <c r="A35" s="44" t="n">
        <v>19</v>
      </c>
      <c r="B35" s="39">
        <f>IFERROR(INDEX(Lu_Q,MATCH(A35,Lu_t,0),$C$4),0)</f>
        <v/>
      </c>
      <c r="C35" s="39">
        <f>(B34+B35)/2</f>
        <v/>
      </c>
      <c r="D35" s="39">
        <f>G34</f>
        <v/>
      </c>
      <c r="E35" s="45">
        <f>INDEX(QH_f1,M35,$F$4)+N35*(INDEX(QH_f1,M35+1,$F$4)-INDEX(QH_f1,M35,$F$4))</f>
        <v/>
      </c>
      <c r="F35" s="45">
        <f>E35+C35</f>
        <v/>
      </c>
      <c r="G35" s="46">
        <f>INDEX(QH_q,O35,$F$4)+P35*(INDEX(QH_q,O35+1,$F$4)-INDEX(QH_q,O35,$F$4))</f>
        <v/>
      </c>
      <c r="H35" s="47">
        <f>INDEX(QH_Z,O35)+P35*(INDEX(QH_Z,O35+1)-INDEX(QH_Z,O35))</f>
        <v/>
      </c>
      <c r="I35" s="48">
        <f>INDEX(QH_qtc,O35,$F$4)+P35*(INDEX(QH_qtc,O35+1,$F$4)-INDEX(QH_qtc,O35,$F$4))</f>
        <v/>
      </c>
      <c r="J35" s="49">
        <f>INDEX(QH_qsc,O35)+P35*(INDEX(QH_qsc,O35+1)-INDEX(QH_qsc,O35))</f>
        <v/>
      </c>
      <c r="K35" s="25">
        <f>INDEX(QH_V,O35)+P35*(INDEX(QH_V,O35+1)-INDEX(QH_V,O35))</f>
        <v/>
      </c>
      <c r="L35" s="39">
        <f>K35*1000000/dt_s+G35/2</f>
        <v/>
      </c>
      <c r="M35" s="50">
        <f>MATCH(D35,INDEX(QH_q,0,$F$4),1)</f>
        <v/>
      </c>
      <c r="N35" s="51">
        <f>(D35-INDEX(QH_q,M35,$F$4))/(INDEX(QH_q,M35+1,$F$4)-INDEX(QH_q,M35,$F$4))</f>
        <v/>
      </c>
      <c r="O35" s="50">
        <f>MATCH(F35,INDEX(QH_f2,0,$F$4),1)</f>
        <v/>
      </c>
      <c r="P35" s="51">
        <f>(F35-INDEX(QH_f2,O35,$F$4))/(INDEX(QH_f2,O35+1,$F$4)-INDEX(QH_f2,O35,$F$4))</f>
        <v/>
      </c>
    </row>
    <row r="36">
      <c r="A36" s="44" t="n">
        <v>20</v>
      </c>
      <c r="B36" s="39">
        <f>IFERROR(INDEX(Lu_Q,MATCH(A36,Lu_t,0),$C$4),0)</f>
        <v/>
      </c>
      <c r="C36" s="39">
        <f>(B35+B36)/2</f>
        <v/>
      </c>
      <c r="D36" s="39">
        <f>G35</f>
        <v/>
      </c>
      <c r="E36" s="45">
        <f>INDEX(QH_f1,M36,$F$4)+N36*(INDEX(QH_f1,M36+1,$F$4)-INDEX(QH_f1,M36,$F$4))</f>
        <v/>
      </c>
      <c r="F36" s="45">
        <f>E36+C36</f>
        <v/>
      </c>
      <c r="G36" s="46">
        <f>INDEX(QH_q,O36,$F$4)+P36*(INDEX(QH_q,O36+1,$F$4)-INDEX(QH_q,O36,$F$4))</f>
        <v/>
      </c>
      <c r="H36" s="47">
        <f>INDEX(QH_Z,O36)+P36*(INDEX(QH_Z,O36+1)-INDEX(QH_Z,O36))</f>
        <v/>
      </c>
      <c r="I36" s="48">
        <f>INDEX(QH_qtc,O36,$F$4)+P36*(INDEX(QH_qtc,O36+1,$F$4)-INDEX(QH_qtc,O36,$F$4))</f>
        <v/>
      </c>
      <c r="J36" s="49">
        <f>INDEX(QH_qsc,O36)+P36*(INDEX(QH_qsc,O36+1)-INDEX(QH_qsc,O36))</f>
        <v/>
      </c>
      <c r="K36" s="25">
        <f>INDEX(QH_V,O36)+P36*(INDEX(QH_V,O36+1)-INDEX(QH_V,O36))</f>
        <v/>
      </c>
      <c r="L36" s="39">
        <f>K36*1000000/dt_s+G36/2</f>
        <v/>
      </c>
      <c r="M36" s="50">
        <f>MATCH(D36,INDEX(QH_q,0,$F$4),1)</f>
        <v/>
      </c>
      <c r="N36" s="51">
        <f>(D36-INDEX(QH_q,M36,$F$4))/(INDEX(QH_q,M36+1,$F$4)-INDEX(QH_q,M36,$F$4))</f>
        <v/>
      </c>
      <c r="O36" s="50">
        <f>MATCH(F36,INDEX(QH_f2,0,$F$4),1)</f>
        <v/>
      </c>
      <c r="P36" s="51">
        <f>(F36-INDEX(QH_f2,O36,$F$4))/(INDEX(QH_f2,O36+1,$F$4)-INDEX(QH_f2,O36,$F$4))</f>
        <v/>
      </c>
    </row>
    <row r="37">
      <c r="A37" s="44" t="n">
        <v>21</v>
      </c>
      <c r="B37" s="39">
        <f>IFERROR(INDEX(Lu_Q,MATCH(A37,Lu_t,0),$C$4),0)</f>
        <v/>
      </c>
      <c r="C37" s="39">
        <f>(B36+B37)/2</f>
        <v/>
      </c>
      <c r="D37" s="39">
        <f>G36</f>
        <v/>
      </c>
      <c r="E37" s="45">
        <f>INDEX(QH_f1,M37,$F$4)+N37*(INDEX(QH_f1,M37+1,$F$4)-INDEX(QH_f1,M37,$F$4))</f>
        <v/>
      </c>
      <c r="F37" s="45">
        <f>E37+C37</f>
        <v/>
      </c>
      <c r="G37" s="46">
        <f>INDEX(QH_q,O37,$F$4)+P37*(INDEX(QH_q,O37+1,$F$4)-INDEX(QH_q,O37,$F$4))</f>
        <v/>
      </c>
      <c r="H37" s="47">
        <f>INDEX(QH_Z,O37)+P37*(INDEX(QH_Z,O37+1)-INDEX(QH_Z,O37))</f>
        <v/>
      </c>
      <c r="I37" s="48">
        <f>INDEX(QH_qtc,O37,$F$4)+P37*(INDEX(QH_qtc,O37+1,$F$4)-INDEX(QH_qtc,O37,$F$4))</f>
        <v/>
      </c>
      <c r="J37" s="49">
        <f>INDEX(QH_qsc,O37)+P37*(INDEX(QH_qsc,O37+1)-INDEX(QH_qsc,O37))</f>
        <v/>
      </c>
      <c r="K37" s="25">
        <f>INDEX(QH_V,O37)+P37*(INDEX(QH_V,O37+1)-INDEX(QH_V,O37))</f>
        <v/>
      </c>
      <c r="L37" s="39">
        <f>K37*1000000/dt_s+G37/2</f>
        <v/>
      </c>
      <c r="M37" s="50">
        <f>MATCH(D37,INDEX(QH_q,0,$F$4),1)</f>
        <v/>
      </c>
      <c r="N37" s="51">
        <f>(D37-INDEX(QH_q,M37,$F$4))/(INDEX(QH_q,M37+1,$F$4)-INDEX(QH_q,M37,$F$4))</f>
        <v/>
      </c>
      <c r="O37" s="50">
        <f>MATCH(F37,INDEX(QH_f2,0,$F$4),1)</f>
        <v/>
      </c>
      <c r="P37" s="51">
        <f>(F37-INDEX(QH_f2,O37,$F$4))/(INDEX(QH_f2,O37+1,$F$4)-INDEX(QH_f2,O37,$F$4))</f>
        <v/>
      </c>
    </row>
    <row r="38">
      <c r="A38" s="44" t="n">
        <v>22</v>
      </c>
      <c r="B38" s="39">
        <f>IFERROR(INDEX(Lu_Q,MATCH(A38,Lu_t,0),$C$4),0)</f>
        <v/>
      </c>
      <c r="C38" s="39">
        <f>(B37+B38)/2</f>
        <v/>
      </c>
      <c r="D38" s="39">
        <f>G37</f>
        <v/>
      </c>
      <c r="E38" s="45">
        <f>INDEX(QH_f1,M38,$F$4)+N38*(INDEX(QH_f1,M38+1,$F$4)-INDEX(QH_f1,M38,$F$4))</f>
        <v/>
      </c>
      <c r="F38" s="45">
        <f>E38+C38</f>
        <v/>
      </c>
      <c r="G38" s="46">
        <f>INDEX(QH_q,O38,$F$4)+P38*(INDEX(QH_q,O38+1,$F$4)-INDEX(QH_q,O38,$F$4))</f>
        <v/>
      </c>
      <c r="H38" s="47">
        <f>INDEX(QH_Z,O38)+P38*(INDEX(QH_Z,O38+1)-INDEX(QH_Z,O38))</f>
        <v/>
      </c>
      <c r="I38" s="48">
        <f>INDEX(QH_qtc,O38,$F$4)+P38*(INDEX(QH_qtc,O38+1,$F$4)-INDEX(QH_qtc,O38,$F$4))</f>
        <v/>
      </c>
      <c r="J38" s="49">
        <f>INDEX(QH_qsc,O38)+P38*(INDEX(QH_qsc,O38+1)-INDEX(QH_qsc,O38))</f>
        <v/>
      </c>
      <c r="K38" s="25">
        <f>INDEX(QH_V,O38)+P38*(INDEX(QH_V,O38+1)-INDEX(QH_V,O38))</f>
        <v/>
      </c>
      <c r="L38" s="39">
        <f>K38*1000000/dt_s+G38/2</f>
        <v/>
      </c>
      <c r="M38" s="50">
        <f>MATCH(D38,INDEX(QH_q,0,$F$4),1)</f>
        <v/>
      </c>
      <c r="N38" s="51">
        <f>(D38-INDEX(QH_q,M38,$F$4))/(INDEX(QH_q,M38+1,$F$4)-INDEX(QH_q,M38,$F$4))</f>
        <v/>
      </c>
      <c r="O38" s="50">
        <f>MATCH(F38,INDEX(QH_f2,0,$F$4),1)</f>
        <v/>
      </c>
      <c r="P38" s="51">
        <f>(F38-INDEX(QH_f2,O38,$F$4))/(INDEX(QH_f2,O38+1,$F$4)-INDEX(QH_f2,O38,$F$4))</f>
        <v/>
      </c>
    </row>
    <row r="39">
      <c r="A39" s="44" t="n">
        <v>23</v>
      </c>
      <c r="B39" s="39">
        <f>IFERROR(INDEX(Lu_Q,MATCH(A39,Lu_t,0),$C$4),0)</f>
        <v/>
      </c>
      <c r="C39" s="39">
        <f>(B38+B39)/2</f>
        <v/>
      </c>
      <c r="D39" s="39">
        <f>G38</f>
        <v/>
      </c>
      <c r="E39" s="45">
        <f>INDEX(QH_f1,M39,$F$4)+N39*(INDEX(QH_f1,M39+1,$F$4)-INDEX(QH_f1,M39,$F$4))</f>
        <v/>
      </c>
      <c r="F39" s="45">
        <f>E39+C39</f>
        <v/>
      </c>
      <c r="G39" s="46">
        <f>INDEX(QH_q,O39,$F$4)+P39*(INDEX(QH_q,O39+1,$F$4)-INDEX(QH_q,O39,$F$4))</f>
        <v/>
      </c>
      <c r="H39" s="47">
        <f>INDEX(QH_Z,O39)+P39*(INDEX(QH_Z,O39+1)-INDEX(QH_Z,O39))</f>
        <v/>
      </c>
      <c r="I39" s="48">
        <f>INDEX(QH_qtc,O39,$F$4)+P39*(INDEX(QH_qtc,O39+1,$F$4)-INDEX(QH_qtc,O39,$F$4))</f>
        <v/>
      </c>
      <c r="J39" s="49">
        <f>INDEX(QH_qsc,O39)+P39*(INDEX(QH_qsc,O39+1)-INDEX(QH_qsc,O39))</f>
        <v/>
      </c>
      <c r="K39" s="25">
        <f>INDEX(QH_V,O39)+P39*(INDEX(QH_V,O39+1)-INDEX(QH_V,O39))</f>
        <v/>
      </c>
      <c r="L39" s="39">
        <f>K39*1000000/dt_s+G39/2</f>
        <v/>
      </c>
      <c r="M39" s="50">
        <f>MATCH(D39,INDEX(QH_q,0,$F$4),1)</f>
        <v/>
      </c>
      <c r="N39" s="51">
        <f>(D39-INDEX(QH_q,M39,$F$4))/(INDEX(QH_q,M39+1,$F$4)-INDEX(QH_q,M39,$F$4))</f>
        <v/>
      </c>
      <c r="O39" s="50">
        <f>MATCH(F39,INDEX(QH_f2,0,$F$4),1)</f>
        <v/>
      </c>
      <c r="P39" s="51">
        <f>(F39-INDEX(QH_f2,O39,$F$4))/(INDEX(QH_f2,O39+1,$F$4)-INDEX(QH_f2,O39,$F$4))</f>
        <v/>
      </c>
    </row>
    <row r="40">
      <c r="A40" s="44" t="n">
        <v>24</v>
      </c>
      <c r="B40" s="39">
        <f>IFERROR(INDEX(Lu_Q,MATCH(A40,Lu_t,0),$C$4),0)</f>
        <v/>
      </c>
      <c r="C40" s="39">
        <f>(B39+B40)/2</f>
        <v/>
      </c>
      <c r="D40" s="39">
        <f>G39</f>
        <v/>
      </c>
      <c r="E40" s="45">
        <f>INDEX(QH_f1,M40,$F$4)+N40*(INDEX(QH_f1,M40+1,$F$4)-INDEX(QH_f1,M40,$F$4))</f>
        <v/>
      </c>
      <c r="F40" s="45">
        <f>E40+C40</f>
        <v/>
      </c>
      <c r="G40" s="46">
        <f>INDEX(QH_q,O40,$F$4)+P40*(INDEX(QH_q,O40+1,$F$4)-INDEX(QH_q,O40,$F$4))</f>
        <v/>
      </c>
      <c r="H40" s="47">
        <f>INDEX(QH_Z,O40)+P40*(INDEX(QH_Z,O40+1)-INDEX(QH_Z,O40))</f>
        <v/>
      </c>
      <c r="I40" s="48">
        <f>INDEX(QH_qtc,O40,$F$4)+P40*(INDEX(QH_qtc,O40+1,$F$4)-INDEX(QH_qtc,O40,$F$4))</f>
        <v/>
      </c>
      <c r="J40" s="49">
        <f>INDEX(QH_qsc,O40)+P40*(INDEX(QH_qsc,O40+1)-INDEX(QH_qsc,O40))</f>
        <v/>
      </c>
      <c r="K40" s="25">
        <f>INDEX(QH_V,O40)+P40*(INDEX(QH_V,O40+1)-INDEX(QH_V,O40))</f>
        <v/>
      </c>
      <c r="L40" s="39">
        <f>K40*1000000/dt_s+G40/2</f>
        <v/>
      </c>
      <c r="M40" s="50">
        <f>MATCH(D40,INDEX(QH_q,0,$F$4),1)</f>
        <v/>
      </c>
      <c r="N40" s="51">
        <f>(D40-INDEX(QH_q,M40,$F$4))/(INDEX(QH_q,M40+1,$F$4)-INDEX(QH_q,M40,$F$4))</f>
        <v/>
      </c>
      <c r="O40" s="50">
        <f>MATCH(F40,INDEX(QH_f2,0,$F$4),1)</f>
        <v/>
      </c>
      <c r="P40" s="51">
        <f>(F40-INDEX(QH_f2,O40,$F$4))/(INDEX(QH_f2,O40+1,$F$4)-INDEX(QH_f2,O40,$F$4))</f>
        <v/>
      </c>
    </row>
    <row r="41">
      <c r="A41" s="44" t="n">
        <v>25</v>
      </c>
      <c r="B41" s="39">
        <f>IFERROR(INDEX(Lu_Q,MATCH(A41,Lu_t,0),$C$4),0)</f>
        <v/>
      </c>
      <c r="C41" s="39">
        <f>(B40+B41)/2</f>
        <v/>
      </c>
      <c r="D41" s="39">
        <f>G40</f>
        <v/>
      </c>
      <c r="E41" s="45">
        <f>INDEX(QH_f1,M41,$F$4)+N41*(INDEX(QH_f1,M41+1,$F$4)-INDEX(QH_f1,M41,$F$4))</f>
        <v/>
      </c>
      <c r="F41" s="45">
        <f>E41+C41</f>
        <v/>
      </c>
      <c r="G41" s="46">
        <f>INDEX(QH_q,O41,$F$4)+P41*(INDEX(QH_q,O41+1,$F$4)-INDEX(QH_q,O41,$F$4))</f>
        <v/>
      </c>
      <c r="H41" s="47">
        <f>INDEX(QH_Z,O41)+P41*(INDEX(QH_Z,O41+1)-INDEX(QH_Z,O41))</f>
        <v/>
      </c>
      <c r="I41" s="48">
        <f>INDEX(QH_qtc,O41,$F$4)+P41*(INDEX(QH_qtc,O41+1,$F$4)-INDEX(QH_qtc,O41,$F$4))</f>
        <v/>
      </c>
      <c r="J41" s="49">
        <f>INDEX(QH_qsc,O41)+P41*(INDEX(QH_qsc,O41+1)-INDEX(QH_qsc,O41))</f>
        <v/>
      </c>
      <c r="K41" s="25">
        <f>INDEX(QH_V,O41)+P41*(INDEX(QH_V,O41+1)-INDEX(QH_V,O41))</f>
        <v/>
      </c>
      <c r="L41" s="39">
        <f>K41*1000000/dt_s+G41/2</f>
        <v/>
      </c>
      <c r="M41" s="50">
        <f>MATCH(D41,INDEX(QH_q,0,$F$4),1)</f>
        <v/>
      </c>
      <c r="N41" s="51">
        <f>(D41-INDEX(QH_q,M41,$F$4))/(INDEX(QH_q,M41+1,$F$4)-INDEX(QH_q,M41,$F$4))</f>
        <v/>
      </c>
      <c r="O41" s="50">
        <f>MATCH(F41,INDEX(QH_f2,0,$F$4),1)</f>
        <v/>
      </c>
      <c r="P41" s="51">
        <f>(F41-INDEX(QH_f2,O41,$F$4))/(INDEX(QH_f2,O41+1,$F$4)-INDEX(QH_f2,O41,$F$4))</f>
        <v/>
      </c>
    </row>
    <row r="42">
      <c r="A42" s="44" t="n">
        <v>26</v>
      </c>
      <c r="B42" s="39">
        <f>IFERROR(INDEX(Lu_Q,MATCH(A42,Lu_t,0),$C$4),0)</f>
        <v/>
      </c>
      <c r="C42" s="39">
        <f>(B41+B42)/2</f>
        <v/>
      </c>
      <c r="D42" s="39">
        <f>G41</f>
        <v/>
      </c>
      <c r="E42" s="45">
        <f>INDEX(QH_f1,M42,$F$4)+N42*(INDEX(QH_f1,M42+1,$F$4)-INDEX(QH_f1,M42,$F$4))</f>
        <v/>
      </c>
      <c r="F42" s="45">
        <f>E42+C42</f>
        <v/>
      </c>
      <c r="G42" s="46">
        <f>INDEX(QH_q,O42,$F$4)+P42*(INDEX(QH_q,O42+1,$F$4)-INDEX(QH_q,O42,$F$4))</f>
        <v/>
      </c>
      <c r="H42" s="47">
        <f>INDEX(QH_Z,O42)+P42*(INDEX(QH_Z,O42+1)-INDEX(QH_Z,O42))</f>
        <v/>
      </c>
      <c r="I42" s="48">
        <f>INDEX(QH_qtc,O42,$F$4)+P42*(INDEX(QH_qtc,O42+1,$F$4)-INDEX(QH_qtc,O42,$F$4))</f>
        <v/>
      </c>
      <c r="J42" s="49">
        <f>INDEX(QH_qsc,O42)+P42*(INDEX(QH_qsc,O42+1)-INDEX(QH_qsc,O42))</f>
        <v/>
      </c>
      <c r="K42" s="25">
        <f>INDEX(QH_V,O42)+P42*(INDEX(QH_V,O42+1)-INDEX(QH_V,O42))</f>
        <v/>
      </c>
      <c r="L42" s="39">
        <f>K42*1000000/dt_s+G42/2</f>
        <v/>
      </c>
      <c r="M42" s="50">
        <f>MATCH(D42,INDEX(QH_q,0,$F$4),1)</f>
        <v/>
      </c>
      <c r="N42" s="51">
        <f>(D42-INDEX(QH_q,M42,$F$4))/(INDEX(QH_q,M42+1,$F$4)-INDEX(QH_q,M42,$F$4))</f>
        <v/>
      </c>
      <c r="O42" s="50">
        <f>MATCH(F42,INDEX(QH_f2,0,$F$4),1)</f>
        <v/>
      </c>
      <c r="P42" s="51">
        <f>(F42-INDEX(QH_f2,O42,$F$4))/(INDEX(QH_f2,O42+1,$F$4)-INDEX(QH_f2,O42,$F$4))</f>
        <v/>
      </c>
    </row>
    <row r="43">
      <c r="A43" s="44" t="n">
        <v>27</v>
      </c>
      <c r="B43" s="39">
        <f>IFERROR(INDEX(Lu_Q,MATCH(A43,Lu_t,0),$C$4),0)</f>
        <v/>
      </c>
      <c r="C43" s="39">
        <f>(B42+B43)/2</f>
        <v/>
      </c>
      <c r="D43" s="39">
        <f>G42</f>
        <v/>
      </c>
      <c r="E43" s="45">
        <f>INDEX(QH_f1,M43,$F$4)+N43*(INDEX(QH_f1,M43+1,$F$4)-INDEX(QH_f1,M43,$F$4))</f>
        <v/>
      </c>
      <c r="F43" s="45">
        <f>E43+C43</f>
        <v/>
      </c>
      <c r="G43" s="46">
        <f>INDEX(QH_q,O43,$F$4)+P43*(INDEX(QH_q,O43+1,$F$4)-INDEX(QH_q,O43,$F$4))</f>
        <v/>
      </c>
      <c r="H43" s="47">
        <f>INDEX(QH_Z,O43)+P43*(INDEX(QH_Z,O43+1)-INDEX(QH_Z,O43))</f>
        <v/>
      </c>
      <c r="I43" s="48">
        <f>INDEX(QH_qtc,O43,$F$4)+P43*(INDEX(QH_qtc,O43+1,$F$4)-INDEX(QH_qtc,O43,$F$4))</f>
        <v/>
      </c>
      <c r="J43" s="49">
        <f>INDEX(QH_qsc,O43)+P43*(INDEX(QH_qsc,O43+1)-INDEX(QH_qsc,O43))</f>
        <v/>
      </c>
      <c r="K43" s="25">
        <f>INDEX(QH_V,O43)+P43*(INDEX(QH_V,O43+1)-INDEX(QH_V,O43))</f>
        <v/>
      </c>
      <c r="L43" s="39">
        <f>K43*1000000/dt_s+G43/2</f>
        <v/>
      </c>
      <c r="M43" s="50">
        <f>MATCH(D43,INDEX(QH_q,0,$F$4),1)</f>
        <v/>
      </c>
      <c r="N43" s="51">
        <f>(D43-INDEX(QH_q,M43,$F$4))/(INDEX(QH_q,M43+1,$F$4)-INDEX(QH_q,M43,$F$4))</f>
        <v/>
      </c>
      <c r="O43" s="50">
        <f>MATCH(F43,INDEX(QH_f2,0,$F$4),1)</f>
        <v/>
      </c>
      <c r="P43" s="51">
        <f>(F43-INDEX(QH_f2,O43,$F$4))/(INDEX(QH_f2,O43+1,$F$4)-INDEX(QH_f2,O43,$F$4))</f>
        <v/>
      </c>
    </row>
    <row r="44">
      <c r="A44" s="44" t="n">
        <v>28</v>
      </c>
      <c r="B44" s="39">
        <f>IFERROR(INDEX(Lu_Q,MATCH(A44,Lu_t,0),$C$4),0)</f>
        <v/>
      </c>
      <c r="C44" s="39">
        <f>(B43+B44)/2</f>
        <v/>
      </c>
      <c r="D44" s="39">
        <f>G43</f>
        <v/>
      </c>
      <c r="E44" s="45">
        <f>INDEX(QH_f1,M44,$F$4)+N44*(INDEX(QH_f1,M44+1,$F$4)-INDEX(QH_f1,M44,$F$4))</f>
        <v/>
      </c>
      <c r="F44" s="45">
        <f>E44+C44</f>
        <v/>
      </c>
      <c r="G44" s="46">
        <f>INDEX(QH_q,O44,$F$4)+P44*(INDEX(QH_q,O44+1,$F$4)-INDEX(QH_q,O44,$F$4))</f>
        <v/>
      </c>
      <c r="H44" s="47">
        <f>INDEX(QH_Z,O44)+P44*(INDEX(QH_Z,O44+1)-INDEX(QH_Z,O44))</f>
        <v/>
      </c>
      <c r="I44" s="48">
        <f>INDEX(QH_qtc,O44,$F$4)+P44*(INDEX(QH_qtc,O44+1,$F$4)-INDEX(QH_qtc,O44,$F$4))</f>
        <v/>
      </c>
      <c r="J44" s="49">
        <f>INDEX(QH_qsc,O44)+P44*(INDEX(QH_qsc,O44+1)-INDEX(QH_qsc,O44))</f>
        <v/>
      </c>
      <c r="K44" s="25">
        <f>INDEX(QH_V,O44)+P44*(INDEX(QH_V,O44+1)-INDEX(QH_V,O44))</f>
        <v/>
      </c>
      <c r="L44" s="39">
        <f>K44*1000000/dt_s+G44/2</f>
        <v/>
      </c>
      <c r="M44" s="50">
        <f>MATCH(D44,INDEX(QH_q,0,$F$4),1)</f>
        <v/>
      </c>
      <c r="N44" s="51">
        <f>(D44-INDEX(QH_q,M44,$F$4))/(INDEX(QH_q,M44+1,$F$4)-INDEX(QH_q,M44,$F$4))</f>
        <v/>
      </c>
      <c r="O44" s="50">
        <f>MATCH(F44,INDEX(QH_f2,0,$F$4),1)</f>
        <v/>
      </c>
      <c r="P44" s="51">
        <f>(F44-INDEX(QH_f2,O44,$F$4))/(INDEX(QH_f2,O44+1,$F$4)-INDEX(QH_f2,O44,$F$4))</f>
        <v/>
      </c>
    </row>
    <row r="45">
      <c r="A45" s="44" t="n">
        <v>29</v>
      </c>
      <c r="B45" s="39">
        <f>IFERROR(INDEX(Lu_Q,MATCH(A45,Lu_t,0),$C$4),0)</f>
        <v/>
      </c>
      <c r="C45" s="39">
        <f>(B44+B45)/2</f>
        <v/>
      </c>
      <c r="D45" s="39">
        <f>G44</f>
        <v/>
      </c>
      <c r="E45" s="45">
        <f>INDEX(QH_f1,M45,$F$4)+N45*(INDEX(QH_f1,M45+1,$F$4)-INDEX(QH_f1,M45,$F$4))</f>
        <v/>
      </c>
      <c r="F45" s="45">
        <f>E45+C45</f>
        <v/>
      </c>
      <c r="G45" s="46">
        <f>INDEX(QH_q,O45,$F$4)+P45*(INDEX(QH_q,O45+1,$F$4)-INDEX(QH_q,O45,$F$4))</f>
        <v/>
      </c>
      <c r="H45" s="47">
        <f>INDEX(QH_Z,O45)+P45*(INDEX(QH_Z,O45+1)-INDEX(QH_Z,O45))</f>
        <v/>
      </c>
      <c r="I45" s="48">
        <f>INDEX(QH_qtc,O45,$F$4)+P45*(INDEX(QH_qtc,O45+1,$F$4)-INDEX(QH_qtc,O45,$F$4))</f>
        <v/>
      </c>
      <c r="J45" s="49">
        <f>INDEX(QH_qsc,O45)+P45*(INDEX(QH_qsc,O45+1)-INDEX(QH_qsc,O45))</f>
        <v/>
      </c>
      <c r="K45" s="25">
        <f>INDEX(QH_V,O45)+P45*(INDEX(QH_V,O45+1)-INDEX(QH_V,O45))</f>
        <v/>
      </c>
      <c r="L45" s="39">
        <f>K45*1000000/dt_s+G45/2</f>
        <v/>
      </c>
      <c r="M45" s="50">
        <f>MATCH(D45,INDEX(QH_q,0,$F$4),1)</f>
        <v/>
      </c>
      <c r="N45" s="51">
        <f>(D45-INDEX(QH_q,M45,$F$4))/(INDEX(QH_q,M45+1,$F$4)-INDEX(QH_q,M45,$F$4))</f>
        <v/>
      </c>
      <c r="O45" s="50">
        <f>MATCH(F45,INDEX(QH_f2,0,$F$4),1)</f>
        <v/>
      </c>
      <c r="P45" s="51">
        <f>(F45-INDEX(QH_f2,O45,$F$4))/(INDEX(QH_f2,O45+1,$F$4)-INDEX(QH_f2,O45,$F$4))</f>
        <v/>
      </c>
    </row>
    <row r="46">
      <c r="A46" s="44" t="n">
        <v>30</v>
      </c>
      <c r="B46" s="39">
        <f>IFERROR(INDEX(Lu_Q,MATCH(A46,Lu_t,0),$C$4),0)</f>
        <v/>
      </c>
      <c r="C46" s="39">
        <f>(B45+B46)/2</f>
        <v/>
      </c>
      <c r="D46" s="39">
        <f>G45</f>
        <v/>
      </c>
      <c r="E46" s="45">
        <f>INDEX(QH_f1,M46,$F$4)+N46*(INDEX(QH_f1,M46+1,$F$4)-INDEX(QH_f1,M46,$F$4))</f>
        <v/>
      </c>
      <c r="F46" s="45">
        <f>E46+C46</f>
        <v/>
      </c>
      <c r="G46" s="46">
        <f>INDEX(QH_q,O46,$F$4)+P46*(INDEX(QH_q,O46+1,$F$4)-INDEX(QH_q,O46,$F$4))</f>
        <v/>
      </c>
      <c r="H46" s="47">
        <f>INDEX(QH_Z,O46)+P46*(INDEX(QH_Z,O46+1)-INDEX(QH_Z,O46))</f>
        <v/>
      </c>
      <c r="I46" s="48">
        <f>INDEX(QH_qtc,O46,$F$4)+P46*(INDEX(QH_qtc,O46+1,$F$4)-INDEX(QH_qtc,O46,$F$4))</f>
        <v/>
      </c>
      <c r="J46" s="49">
        <f>INDEX(QH_qsc,O46)+P46*(INDEX(QH_qsc,O46+1)-INDEX(QH_qsc,O46))</f>
        <v/>
      </c>
      <c r="K46" s="25">
        <f>INDEX(QH_V,O46)+P46*(INDEX(QH_V,O46+1)-INDEX(QH_V,O46))</f>
        <v/>
      </c>
      <c r="L46" s="39">
        <f>K46*1000000/dt_s+G46/2</f>
        <v/>
      </c>
      <c r="M46" s="50">
        <f>MATCH(D46,INDEX(QH_q,0,$F$4),1)</f>
        <v/>
      </c>
      <c r="N46" s="51">
        <f>(D46-INDEX(QH_q,M46,$F$4))/(INDEX(QH_q,M46+1,$F$4)-INDEX(QH_q,M46,$F$4))</f>
        <v/>
      </c>
      <c r="O46" s="50">
        <f>MATCH(F46,INDEX(QH_f2,0,$F$4),1)</f>
        <v/>
      </c>
      <c r="P46" s="51">
        <f>(F46-INDEX(QH_f2,O46,$F$4))/(INDEX(QH_f2,O46+1,$F$4)-INDEX(QH_f2,O46,$F$4))</f>
        <v/>
      </c>
    </row>
    <row r="47">
      <c r="A47" s="44" t="n">
        <v>31</v>
      </c>
      <c r="B47" s="39">
        <f>IFERROR(INDEX(Lu_Q,MATCH(A47,Lu_t,0),$C$4),0)</f>
        <v/>
      </c>
      <c r="C47" s="39">
        <f>(B46+B47)/2</f>
        <v/>
      </c>
      <c r="D47" s="39">
        <f>G46</f>
        <v/>
      </c>
      <c r="E47" s="45">
        <f>INDEX(QH_f1,M47,$F$4)+N47*(INDEX(QH_f1,M47+1,$F$4)-INDEX(QH_f1,M47,$F$4))</f>
        <v/>
      </c>
      <c r="F47" s="45">
        <f>E47+C47</f>
        <v/>
      </c>
      <c r="G47" s="46">
        <f>INDEX(QH_q,O47,$F$4)+P47*(INDEX(QH_q,O47+1,$F$4)-INDEX(QH_q,O47,$F$4))</f>
        <v/>
      </c>
      <c r="H47" s="47">
        <f>INDEX(QH_Z,O47)+P47*(INDEX(QH_Z,O47+1)-INDEX(QH_Z,O47))</f>
        <v/>
      </c>
      <c r="I47" s="48">
        <f>INDEX(QH_qtc,O47,$F$4)+P47*(INDEX(QH_qtc,O47+1,$F$4)-INDEX(QH_qtc,O47,$F$4))</f>
        <v/>
      </c>
      <c r="J47" s="49">
        <f>INDEX(QH_qsc,O47)+P47*(INDEX(QH_qsc,O47+1)-INDEX(QH_qsc,O47))</f>
        <v/>
      </c>
      <c r="K47" s="25">
        <f>INDEX(QH_V,O47)+P47*(INDEX(QH_V,O47+1)-INDEX(QH_V,O47))</f>
        <v/>
      </c>
      <c r="L47" s="39">
        <f>K47*1000000/dt_s+G47/2</f>
        <v/>
      </c>
      <c r="M47" s="50">
        <f>MATCH(D47,INDEX(QH_q,0,$F$4),1)</f>
        <v/>
      </c>
      <c r="N47" s="51">
        <f>(D47-INDEX(QH_q,M47,$F$4))/(INDEX(QH_q,M47+1,$F$4)-INDEX(QH_q,M47,$F$4))</f>
        <v/>
      </c>
      <c r="O47" s="50">
        <f>MATCH(F47,INDEX(QH_f2,0,$F$4),1)</f>
        <v/>
      </c>
      <c r="P47" s="51">
        <f>(F47-INDEX(QH_f2,O47,$F$4))/(INDEX(QH_f2,O47+1,$F$4)-INDEX(QH_f2,O47,$F$4))</f>
        <v/>
      </c>
    </row>
    <row r="48">
      <c r="A48" s="44" t="n">
        <v>32</v>
      </c>
      <c r="B48" s="39">
        <f>IFERROR(INDEX(Lu_Q,MATCH(A48,Lu_t,0),$C$4),0)</f>
        <v/>
      </c>
      <c r="C48" s="39">
        <f>(B47+B48)/2</f>
        <v/>
      </c>
      <c r="D48" s="39">
        <f>G47</f>
        <v/>
      </c>
      <c r="E48" s="45">
        <f>INDEX(QH_f1,M48,$F$4)+N48*(INDEX(QH_f1,M48+1,$F$4)-INDEX(QH_f1,M48,$F$4))</f>
        <v/>
      </c>
      <c r="F48" s="45">
        <f>E48+C48</f>
        <v/>
      </c>
      <c r="G48" s="46">
        <f>INDEX(QH_q,O48,$F$4)+P48*(INDEX(QH_q,O48+1,$F$4)-INDEX(QH_q,O48,$F$4))</f>
        <v/>
      </c>
      <c r="H48" s="47">
        <f>INDEX(QH_Z,O48)+P48*(INDEX(QH_Z,O48+1)-INDEX(QH_Z,O48))</f>
        <v/>
      </c>
      <c r="I48" s="48">
        <f>INDEX(QH_qtc,O48,$F$4)+P48*(INDEX(QH_qtc,O48+1,$F$4)-INDEX(QH_qtc,O48,$F$4))</f>
        <v/>
      </c>
      <c r="J48" s="49">
        <f>INDEX(QH_qsc,O48)+P48*(INDEX(QH_qsc,O48+1)-INDEX(QH_qsc,O48))</f>
        <v/>
      </c>
      <c r="K48" s="25">
        <f>INDEX(QH_V,O48)+P48*(INDEX(QH_V,O48+1)-INDEX(QH_V,O48))</f>
        <v/>
      </c>
      <c r="L48" s="39">
        <f>K48*1000000/dt_s+G48/2</f>
        <v/>
      </c>
      <c r="M48" s="50">
        <f>MATCH(D48,INDEX(QH_q,0,$F$4),1)</f>
        <v/>
      </c>
      <c r="N48" s="51">
        <f>(D48-INDEX(QH_q,M48,$F$4))/(INDEX(QH_q,M48+1,$F$4)-INDEX(QH_q,M48,$F$4))</f>
        <v/>
      </c>
      <c r="O48" s="50">
        <f>MATCH(F48,INDEX(QH_f2,0,$F$4),1)</f>
        <v/>
      </c>
      <c r="P48" s="51">
        <f>(F48-INDEX(QH_f2,O48,$F$4))/(INDEX(QH_f2,O48+1,$F$4)-INDEX(QH_f2,O48,$F$4))</f>
        <v/>
      </c>
    </row>
    <row r="49">
      <c r="A49" s="44" t="n">
        <v>33</v>
      </c>
      <c r="B49" s="39">
        <f>IFERROR(INDEX(Lu_Q,MATCH(A49,Lu_t,0),$C$4),0)</f>
        <v/>
      </c>
      <c r="C49" s="39">
        <f>(B48+B49)/2</f>
        <v/>
      </c>
      <c r="D49" s="39">
        <f>G48</f>
        <v/>
      </c>
      <c r="E49" s="45">
        <f>INDEX(QH_f1,M49,$F$4)+N49*(INDEX(QH_f1,M49+1,$F$4)-INDEX(QH_f1,M49,$F$4))</f>
        <v/>
      </c>
      <c r="F49" s="45">
        <f>E49+C49</f>
        <v/>
      </c>
      <c r="G49" s="46">
        <f>INDEX(QH_q,O49,$F$4)+P49*(INDEX(QH_q,O49+1,$F$4)-INDEX(QH_q,O49,$F$4))</f>
        <v/>
      </c>
      <c r="H49" s="47">
        <f>INDEX(QH_Z,O49)+P49*(INDEX(QH_Z,O49+1)-INDEX(QH_Z,O49))</f>
        <v/>
      </c>
      <c r="I49" s="48">
        <f>INDEX(QH_qtc,O49,$F$4)+P49*(INDEX(QH_qtc,O49+1,$F$4)-INDEX(QH_qtc,O49,$F$4))</f>
        <v/>
      </c>
      <c r="J49" s="49">
        <f>INDEX(QH_qsc,O49)+P49*(INDEX(QH_qsc,O49+1)-INDEX(QH_qsc,O49))</f>
        <v/>
      </c>
      <c r="K49" s="25">
        <f>INDEX(QH_V,O49)+P49*(INDEX(QH_V,O49+1)-INDEX(QH_V,O49))</f>
        <v/>
      </c>
      <c r="L49" s="39">
        <f>K49*1000000/dt_s+G49/2</f>
        <v/>
      </c>
      <c r="M49" s="50">
        <f>MATCH(D49,INDEX(QH_q,0,$F$4),1)</f>
        <v/>
      </c>
      <c r="N49" s="51">
        <f>(D49-INDEX(QH_q,M49,$F$4))/(INDEX(QH_q,M49+1,$F$4)-INDEX(QH_q,M49,$F$4))</f>
        <v/>
      </c>
      <c r="O49" s="50">
        <f>MATCH(F49,INDEX(QH_f2,0,$F$4),1)</f>
        <v/>
      </c>
      <c r="P49" s="51">
        <f>(F49-INDEX(QH_f2,O49,$F$4))/(INDEX(QH_f2,O49+1,$F$4)-INDEX(QH_f2,O49,$F$4))</f>
        <v/>
      </c>
    </row>
    <row r="50">
      <c r="A50" s="44" t="n">
        <v>34</v>
      </c>
      <c r="B50" s="39">
        <f>IFERROR(INDEX(Lu_Q,MATCH(A50,Lu_t,0),$C$4),0)</f>
        <v/>
      </c>
      <c r="C50" s="39">
        <f>(B49+B50)/2</f>
        <v/>
      </c>
      <c r="D50" s="39">
        <f>G49</f>
        <v/>
      </c>
      <c r="E50" s="45">
        <f>INDEX(QH_f1,M50,$F$4)+N50*(INDEX(QH_f1,M50+1,$F$4)-INDEX(QH_f1,M50,$F$4))</f>
        <v/>
      </c>
      <c r="F50" s="45">
        <f>E50+C50</f>
        <v/>
      </c>
      <c r="G50" s="46">
        <f>INDEX(QH_q,O50,$F$4)+P50*(INDEX(QH_q,O50+1,$F$4)-INDEX(QH_q,O50,$F$4))</f>
        <v/>
      </c>
      <c r="H50" s="47">
        <f>INDEX(QH_Z,O50)+P50*(INDEX(QH_Z,O50+1)-INDEX(QH_Z,O50))</f>
        <v/>
      </c>
      <c r="I50" s="48">
        <f>INDEX(QH_qtc,O50,$F$4)+P50*(INDEX(QH_qtc,O50+1,$F$4)-INDEX(QH_qtc,O50,$F$4))</f>
        <v/>
      </c>
      <c r="J50" s="49">
        <f>INDEX(QH_qsc,O50)+P50*(INDEX(QH_qsc,O50+1)-INDEX(QH_qsc,O50))</f>
        <v/>
      </c>
      <c r="K50" s="25">
        <f>INDEX(QH_V,O50)+P50*(INDEX(QH_V,O50+1)-INDEX(QH_V,O50))</f>
        <v/>
      </c>
      <c r="L50" s="39">
        <f>K50*1000000/dt_s+G50/2</f>
        <v/>
      </c>
      <c r="M50" s="50">
        <f>MATCH(D50,INDEX(QH_q,0,$F$4),1)</f>
        <v/>
      </c>
      <c r="N50" s="51">
        <f>(D50-INDEX(QH_q,M50,$F$4))/(INDEX(QH_q,M50+1,$F$4)-INDEX(QH_q,M50,$F$4))</f>
        <v/>
      </c>
      <c r="O50" s="50">
        <f>MATCH(F50,INDEX(QH_f2,0,$F$4),1)</f>
        <v/>
      </c>
      <c r="P50" s="51">
        <f>(F50-INDEX(QH_f2,O50,$F$4))/(INDEX(QH_f2,O50+1,$F$4)-INDEX(QH_f2,O50,$F$4))</f>
        <v/>
      </c>
    </row>
    <row r="51">
      <c r="A51" s="44" t="n">
        <v>35</v>
      </c>
      <c r="B51" s="39">
        <f>IFERROR(INDEX(Lu_Q,MATCH(A51,Lu_t,0),$C$4),0)</f>
        <v/>
      </c>
      <c r="C51" s="39">
        <f>(B50+B51)/2</f>
        <v/>
      </c>
      <c r="D51" s="39">
        <f>G50</f>
        <v/>
      </c>
      <c r="E51" s="45">
        <f>INDEX(QH_f1,M51,$F$4)+N51*(INDEX(QH_f1,M51+1,$F$4)-INDEX(QH_f1,M51,$F$4))</f>
        <v/>
      </c>
      <c r="F51" s="45">
        <f>E51+C51</f>
        <v/>
      </c>
      <c r="G51" s="46">
        <f>INDEX(QH_q,O51,$F$4)+P51*(INDEX(QH_q,O51+1,$F$4)-INDEX(QH_q,O51,$F$4))</f>
        <v/>
      </c>
      <c r="H51" s="47">
        <f>INDEX(QH_Z,O51)+P51*(INDEX(QH_Z,O51+1)-INDEX(QH_Z,O51))</f>
        <v/>
      </c>
      <c r="I51" s="48">
        <f>INDEX(QH_qtc,O51,$F$4)+P51*(INDEX(QH_qtc,O51+1,$F$4)-INDEX(QH_qtc,O51,$F$4))</f>
        <v/>
      </c>
      <c r="J51" s="49">
        <f>INDEX(QH_qsc,O51)+P51*(INDEX(QH_qsc,O51+1)-INDEX(QH_qsc,O51))</f>
        <v/>
      </c>
      <c r="K51" s="25">
        <f>INDEX(QH_V,O51)+P51*(INDEX(QH_V,O51+1)-INDEX(QH_V,O51))</f>
        <v/>
      </c>
      <c r="L51" s="39">
        <f>K51*1000000/dt_s+G51/2</f>
        <v/>
      </c>
      <c r="M51" s="50">
        <f>MATCH(D51,INDEX(QH_q,0,$F$4),1)</f>
        <v/>
      </c>
      <c r="N51" s="51">
        <f>(D51-INDEX(QH_q,M51,$F$4))/(INDEX(QH_q,M51+1,$F$4)-INDEX(QH_q,M51,$F$4))</f>
        <v/>
      </c>
      <c r="O51" s="50">
        <f>MATCH(F51,INDEX(QH_f2,0,$F$4),1)</f>
        <v/>
      </c>
      <c r="P51" s="51">
        <f>(F51-INDEX(QH_f2,O51,$F$4))/(INDEX(QH_f2,O51+1,$F$4)-INDEX(QH_f2,O51,$F$4))</f>
        <v/>
      </c>
    </row>
    <row r="52">
      <c r="A52" s="44" t="n">
        <v>36</v>
      </c>
      <c r="B52" s="39">
        <f>IFERROR(INDEX(Lu_Q,MATCH(A52,Lu_t,0),$C$4),0)</f>
        <v/>
      </c>
      <c r="C52" s="39">
        <f>(B51+B52)/2</f>
        <v/>
      </c>
      <c r="D52" s="39">
        <f>G51</f>
        <v/>
      </c>
      <c r="E52" s="45">
        <f>INDEX(QH_f1,M52,$F$4)+N52*(INDEX(QH_f1,M52+1,$F$4)-INDEX(QH_f1,M52,$F$4))</f>
        <v/>
      </c>
      <c r="F52" s="45">
        <f>E52+C52</f>
        <v/>
      </c>
      <c r="G52" s="46">
        <f>INDEX(QH_q,O52,$F$4)+P52*(INDEX(QH_q,O52+1,$F$4)-INDEX(QH_q,O52,$F$4))</f>
        <v/>
      </c>
      <c r="H52" s="47">
        <f>INDEX(QH_Z,O52)+P52*(INDEX(QH_Z,O52+1)-INDEX(QH_Z,O52))</f>
        <v/>
      </c>
      <c r="I52" s="48">
        <f>INDEX(QH_qtc,O52,$F$4)+P52*(INDEX(QH_qtc,O52+1,$F$4)-INDEX(QH_qtc,O52,$F$4))</f>
        <v/>
      </c>
      <c r="J52" s="49">
        <f>INDEX(QH_qsc,O52)+P52*(INDEX(QH_qsc,O52+1)-INDEX(QH_qsc,O52))</f>
        <v/>
      </c>
      <c r="K52" s="25">
        <f>INDEX(QH_V,O52)+P52*(INDEX(QH_V,O52+1)-INDEX(QH_V,O52))</f>
        <v/>
      </c>
      <c r="L52" s="39">
        <f>K52*1000000/dt_s+G52/2</f>
        <v/>
      </c>
      <c r="M52" s="50">
        <f>MATCH(D52,INDEX(QH_q,0,$F$4),1)</f>
        <v/>
      </c>
      <c r="N52" s="51">
        <f>(D52-INDEX(QH_q,M52,$F$4))/(INDEX(QH_q,M52+1,$F$4)-INDEX(QH_q,M52,$F$4))</f>
        <v/>
      </c>
      <c r="O52" s="50">
        <f>MATCH(F52,INDEX(QH_f2,0,$F$4),1)</f>
        <v/>
      </c>
      <c r="P52" s="51">
        <f>(F52-INDEX(QH_f2,O52,$F$4))/(INDEX(QH_f2,O52+1,$F$4)-INDEX(QH_f2,O52,$F$4))</f>
        <v/>
      </c>
    </row>
    <row r="53">
      <c r="A53" s="44" t="n">
        <v>37</v>
      </c>
      <c r="B53" s="39">
        <f>IFERROR(INDEX(Lu_Q,MATCH(A53,Lu_t,0),$C$4),0)</f>
        <v/>
      </c>
      <c r="C53" s="39">
        <f>(B52+B53)/2</f>
        <v/>
      </c>
      <c r="D53" s="39">
        <f>G52</f>
        <v/>
      </c>
      <c r="E53" s="45">
        <f>INDEX(QH_f1,M53,$F$4)+N53*(INDEX(QH_f1,M53+1,$F$4)-INDEX(QH_f1,M53,$F$4))</f>
        <v/>
      </c>
      <c r="F53" s="45">
        <f>E53+C53</f>
        <v/>
      </c>
      <c r="G53" s="46">
        <f>INDEX(QH_q,O53,$F$4)+P53*(INDEX(QH_q,O53+1,$F$4)-INDEX(QH_q,O53,$F$4))</f>
        <v/>
      </c>
      <c r="H53" s="47">
        <f>INDEX(QH_Z,O53)+P53*(INDEX(QH_Z,O53+1)-INDEX(QH_Z,O53))</f>
        <v/>
      </c>
      <c r="I53" s="48">
        <f>INDEX(QH_qtc,O53,$F$4)+P53*(INDEX(QH_qtc,O53+1,$F$4)-INDEX(QH_qtc,O53,$F$4))</f>
        <v/>
      </c>
      <c r="J53" s="49">
        <f>INDEX(QH_qsc,O53)+P53*(INDEX(QH_qsc,O53+1)-INDEX(QH_qsc,O53))</f>
        <v/>
      </c>
      <c r="K53" s="25">
        <f>INDEX(QH_V,O53)+P53*(INDEX(QH_V,O53+1)-INDEX(QH_V,O53))</f>
        <v/>
      </c>
      <c r="L53" s="39">
        <f>K53*1000000/dt_s+G53/2</f>
        <v/>
      </c>
      <c r="M53" s="50">
        <f>MATCH(D53,INDEX(QH_q,0,$F$4),1)</f>
        <v/>
      </c>
      <c r="N53" s="51">
        <f>(D53-INDEX(QH_q,M53,$F$4))/(INDEX(QH_q,M53+1,$F$4)-INDEX(QH_q,M53,$F$4))</f>
        <v/>
      </c>
      <c r="O53" s="50">
        <f>MATCH(F53,INDEX(QH_f2,0,$F$4),1)</f>
        <v/>
      </c>
      <c r="P53" s="51">
        <f>(F53-INDEX(QH_f2,O53,$F$4))/(INDEX(QH_f2,O53+1,$F$4)-INDEX(QH_f2,O53,$F$4))</f>
        <v/>
      </c>
    </row>
    <row r="54">
      <c r="A54" s="44" t="n">
        <v>38</v>
      </c>
      <c r="B54" s="39">
        <f>IFERROR(INDEX(Lu_Q,MATCH(A54,Lu_t,0),$C$4),0)</f>
        <v/>
      </c>
      <c r="C54" s="39">
        <f>(B53+B54)/2</f>
        <v/>
      </c>
      <c r="D54" s="39">
        <f>G53</f>
        <v/>
      </c>
      <c r="E54" s="45">
        <f>INDEX(QH_f1,M54,$F$4)+N54*(INDEX(QH_f1,M54+1,$F$4)-INDEX(QH_f1,M54,$F$4))</f>
        <v/>
      </c>
      <c r="F54" s="45">
        <f>E54+C54</f>
        <v/>
      </c>
      <c r="G54" s="46">
        <f>INDEX(QH_q,O54,$F$4)+P54*(INDEX(QH_q,O54+1,$F$4)-INDEX(QH_q,O54,$F$4))</f>
        <v/>
      </c>
      <c r="H54" s="47">
        <f>INDEX(QH_Z,O54)+P54*(INDEX(QH_Z,O54+1)-INDEX(QH_Z,O54))</f>
        <v/>
      </c>
      <c r="I54" s="48">
        <f>INDEX(QH_qtc,O54,$F$4)+P54*(INDEX(QH_qtc,O54+1,$F$4)-INDEX(QH_qtc,O54,$F$4))</f>
        <v/>
      </c>
      <c r="J54" s="49">
        <f>INDEX(QH_qsc,O54)+P54*(INDEX(QH_qsc,O54+1)-INDEX(QH_qsc,O54))</f>
        <v/>
      </c>
      <c r="K54" s="25">
        <f>INDEX(QH_V,O54)+P54*(INDEX(QH_V,O54+1)-INDEX(QH_V,O54))</f>
        <v/>
      </c>
      <c r="L54" s="39">
        <f>K54*1000000/dt_s+G54/2</f>
        <v/>
      </c>
      <c r="M54" s="50">
        <f>MATCH(D54,INDEX(QH_q,0,$F$4),1)</f>
        <v/>
      </c>
      <c r="N54" s="51">
        <f>(D54-INDEX(QH_q,M54,$F$4))/(INDEX(QH_q,M54+1,$F$4)-INDEX(QH_q,M54,$F$4))</f>
        <v/>
      </c>
      <c r="O54" s="50">
        <f>MATCH(F54,INDEX(QH_f2,0,$F$4),1)</f>
        <v/>
      </c>
      <c r="P54" s="51">
        <f>(F54-INDEX(QH_f2,O54,$F$4))/(INDEX(QH_f2,O54+1,$F$4)-INDEX(QH_f2,O54,$F$4))</f>
        <v/>
      </c>
    </row>
    <row r="55">
      <c r="A55" s="44" t="n">
        <v>39</v>
      </c>
      <c r="B55" s="39">
        <f>IFERROR(INDEX(Lu_Q,MATCH(A55,Lu_t,0),$C$4),0)</f>
        <v/>
      </c>
      <c r="C55" s="39">
        <f>(B54+B55)/2</f>
        <v/>
      </c>
      <c r="D55" s="39">
        <f>G54</f>
        <v/>
      </c>
      <c r="E55" s="45">
        <f>INDEX(QH_f1,M55,$F$4)+N55*(INDEX(QH_f1,M55+1,$F$4)-INDEX(QH_f1,M55,$F$4))</f>
        <v/>
      </c>
      <c r="F55" s="45">
        <f>E55+C55</f>
        <v/>
      </c>
      <c r="G55" s="46">
        <f>INDEX(QH_q,O55,$F$4)+P55*(INDEX(QH_q,O55+1,$F$4)-INDEX(QH_q,O55,$F$4))</f>
        <v/>
      </c>
      <c r="H55" s="47">
        <f>INDEX(QH_Z,O55)+P55*(INDEX(QH_Z,O55+1)-INDEX(QH_Z,O55))</f>
        <v/>
      </c>
      <c r="I55" s="48">
        <f>INDEX(QH_qtc,O55,$F$4)+P55*(INDEX(QH_qtc,O55+1,$F$4)-INDEX(QH_qtc,O55,$F$4))</f>
        <v/>
      </c>
      <c r="J55" s="49">
        <f>INDEX(QH_qsc,O55)+P55*(INDEX(QH_qsc,O55+1)-INDEX(QH_qsc,O55))</f>
        <v/>
      </c>
      <c r="K55" s="25">
        <f>INDEX(QH_V,O55)+P55*(INDEX(QH_V,O55+1)-INDEX(QH_V,O55))</f>
        <v/>
      </c>
      <c r="L55" s="39">
        <f>K55*1000000/dt_s+G55/2</f>
        <v/>
      </c>
      <c r="M55" s="50">
        <f>MATCH(D55,INDEX(QH_q,0,$F$4),1)</f>
        <v/>
      </c>
      <c r="N55" s="51">
        <f>(D55-INDEX(QH_q,M55,$F$4))/(INDEX(QH_q,M55+1,$F$4)-INDEX(QH_q,M55,$F$4))</f>
        <v/>
      </c>
      <c r="O55" s="50">
        <f>MATCH(F55,INDEX(QH_f2,0,$F$4),1)</f>
        <v/>
      </c>
      <c r="P55" s="51">
        <f>(F55-INDEX(QH_f2,O55,$F$4))/(INDEX(QH_f2,O55+1,$F$4)-INDEX(QH_f2,O55,$F$4))</f>
        <v/>
      </c>
    </row>
    <row r="56">
      <c r="A56" s="44" t="n">
        <v>40</v>
      </c>
      <c r="B56" s="39">
        <f>IFERROR(INDEX(Lu_Q,MATCH(A56,Lu_t,0),$C$4),0)</f>
        <v/>
      </c>
      <c r="C56" s="39">
        <f>(B55+B56)/2</f>
        <v/>
      </c>
      <c r="D56" s="39">
        <f>G55</f>
        <v/>
      </c>
      <c r="E56" s="45">
        <f>INDEX(QH_f1,M56,$F$4)+N56*(INDEX(QH_f1,M56+1,$F$4)-INDEX(QH_f1,M56,$F$4))</f>
        <v/>
      </c>
      <c r="F56" s="45">
        <f>E56+C56</f>
        <v/>
      </c>
      <c r="G56" s="46">
        <f>INDEX(QH_q,O56,$F$4)+P56*(INDEX(QH_q,O56+1,$F$4)-INDEX(QH_q,O56,$F$4))</f>
        <v/>
      </c>
      <c r="H56" s="47">
        <f>INDEX(QH_Z,O56)+P56*(INDEX(QH_Z,O56+1)-INDEX(QH_Z,O56))</f>
        <v/>
      </c>
      <c r="I56" s="48">
        <f>INDEX(QH_qtc,O56,$F$4)+P56*(INDEX(QH_qtc,O56+1,$F$4)-INDEX(QH_qtc,O56,$F$4))</f>
        <v/>
      </c>
      <c r="J56" s="49">
        <f>INDEX(QH_qsc,O56)+P56*(INDEX(QH_qsc,O56+1)-INDEX(QH_qsc,O56))</f>
        <v/>
      </c>
      <c r="K56" s="25">
        <f>INDEX(QH_V,O56)+P56*(INDEX(QH_V,O56+1)-INDEX(QH_V,O56))</f>
        <v/>
      </c>
      <c r="L56" s="39">
        <f>K56*1000000/dt_s+G56/2</f>
        <v/>
      </c>
      <c r="M56" s="50">
        <f>MATCH(D56,INDEX(QH_q,0,$F$4),1)</f>
        <v/>
      </c>
      <c r="N56" s="51">
        <f>(D56-INDEX(QH_q,M56,$F$4))/(INDEX(QH_q,M56+1,$F$4)-INDEX(QH_q,M56,$F$4))</f>
        <v/>
      </c>
      <c r="O56" s="50">
        <f>MATCH(F56,INDEX(QH_f2,0,$F$4),1)</f>
        <v/>
      </c>
      <c r="P56" s="51">
        <f>(F56-INDEX(QH_f2,O56,$F$4))/(INDEX(QH_f2,O56+1,$F$4)-INDEX(QH_f2,O56,$F$4))</f>
        <v/>
      </c>
    </row>
    <row r="57">
      <c r="A57" s="44" t="n">
        <v>41</v>
      </c>
      <c r="B57" s="39">
        <f>IFERROR(INDEX(Lu_Q,MATCH(A57,Lu_t,0),$C$4),0)</f>
        <v/>
      </c>
      <c r="C57" s="39">
        <f>(B56+B57)/2</f>
        <v/>
      </c>
      <c r="D57" s="39">
        <f>G56</f>
        <v/>
      </c>
      <c r="E57" s="45">
        <f>INDEX(QH_f1,M57,$F$4)+N57*(INDEX(QH_f1,M57+1,$F$4)-INDEX(QH_f1,M57,$F$4))</f>
        <v/>
      </c>
      <c r="F57" s="45">
        <f>E57+C57</f>
        <v/>
      </c>
      <c r="G57" s="46">
        <f>INDEX(QH_q,O57,$F$4)+P57*(INDEX(QH_q,O57+1,$F$4)-INDEX(QH_q,O57,$F$4))</f>
        <v/>
      </c>
      <c r="H57" s="47">
        <f>INDEX(QH_Z,O57)+P57*(INDEX(QH_Z,O57+1)-INDEX(QH_Z,O57))</f>
        <v/>
      </c>
      <c r="I57" s="48">
        <f>INDEX(QH_qtc,O57,$F$4)+P57*(INDEX(QH_qtc,O57+1,$F$4)-INDEX(QH_qtc,O57,$F$4))</f>
        <v/>
      </c>
      <c r="J57" s="49">
        <f>INDEX(QH_qsc,O57)+P57*(INDEX(QH_qsc,O57+1)-INDEX(QH_qsc,O57))</f>
        <v/>
      </c>
      <c r="K57" s="25">
        <f>INDEX(QH_V,O57)+P57*(INDEX(QH_V,O57+1)-INDEX(QH_V,O57))</f>
        <v/>
      </c>
      <c r="L57" s="39">
        <f>K57*1000000/dt_s+G57/2</f>
        <v/>
      </c>
      <c r="M57" s="50">
        <f>MATCH(D57,INDEX(QH_q,0,$F$4),1)</f>
        <v/>
      </c>
      <c r="N57" s="51">
        <f>(D57-INDEX(QH_q,M57,$F$4))/(INDEX(QH_q,M57+1,$F$4)-INDEX(QH_q,M57,$F$4))</f>
        <v/>
      </c>
      <c r="O57" s="50">
        <f>MATCH(F57,INDEX(QH_f2,0,$F$4),1)</f>
        <v/>
      </c>
      <c r="P57" s="51">
        <f>(F57-INDEX(QH_f2,O57,$F$4))/(INDEX(QH_f2,O57+1,$F$4)-INDEX(QH_f2,O57,$F$4))</f>
        <v/>
      </c>
    </row>
    <row r="58">
      <c r="A58" s="44" t="n">
        <v>42</v>
      </c>
      <c r="B58" s="39">
        <f>IFERROR(INDEX(Lu_Q,MATCH(A58,Lu_t,0),$C$4),0)</f>
        <v/>
      </c>
      <c r="C58" s="39">
        <f>(B57+B58)/2</f>
        <v/>
      </c>
      <c r="D58" s="39">
        <f>G57</f>
        <v/>
      </c>
      <c r="E58" s="45">
        <f>INDEX(QH_f1,M58,$F$4)+N58*(INDEX(QH_f1,M58+1,$F$4)-INDEX(QH_f1,M58,$F$4))</f>
        <v/>
      </c>
      <c r="F58" s="45">
        <f>E58+C58</f>
        <v/>
      </c>
      <c r="G58" s="46">
        <f>INDEX(QH_q,O58,$F$4)+P58*(INDEX(QH_q,O58+1,$F$4)-INDEX(QH_q,O58,$F$4))</f>
        <v/>
      </c>
      <c r="H58" s="47">
        <f>INDEX(QH_Z,O58)+P58*(INDEX(QH_Z,O58+1)-INDEX(QH_Z,O58))</f>
        <v/>
      </c>
      <c r="I58" s="48">
        <f>INDEX(QH_qtc,O58,$F$4)+P58*(INDEX(QH_qtc,O58+1,$F$4)-INDEX(QH_qtc,O58,$F$4))</f>
        <v/>
      </c>
      <c r="J58" s="49">
        <f>INDEX(QH_qsc,O58)+P58*(INDEX(QH_qsc,O58+1)-INDEX(QH_qsc,O58))</f>
        <v/>
      </c>
      <c r="K58" s="25">
        <f>INDEX(QH_V,O58)+P58*(INDEX(QH_V,O58+1)-INDEX(QH_V,O58))</f>
        <v/>
      </c>
      <c r="L58" s="39">
        <f>K58*1000000/dt_s+G58/2</f>
        <v/>
      </c>
      <c r="M58" s="50">
        <f>MATCH(D58,INDEX(QH_q,0,$F$4),1)</f>
        <v/>
      </c>
      <c r="N58" s="51">
        <f>(D58-INDEX(QH_q,M58,$F$4))/(INDEX(QH_q,M58+1,$F$4)-INDEX(QH_q,M58,$F$4))</f>
        <v/>
      </c>
      <c r="O58" s="50">
        <f>MATCH(F58,INDEX(QH_f2,0,$F$4),1)</f>
        <v/>
      </c>
      <c r="P58" s="51">
        <f>(F58-INDEX(QH_f2,O58,$F$4))/(INDEX(QH_f2,O58+1,$F$4)-INDEX(QH_f2,O58,$F$4))</f>
        <v/>
      </c>
    </row>
    <row r="59">
      <c r="A59" s="44" t="n">
        <v>43</v>
      </c>
      <c r="B59" s="39">
        <f>IFERROR(INDEX(Lu_Q,MATCH(A59,Lu_t,0),$C$4),0)</f>
        <v/>
      </c>
      <c r="C59" s="39">
        <f>(B58+B59)/2</f>
        <v/>
      </c>
      <c r="D59" s="39">
        <f>G58</f>
        <v/>
      </c>
      <c r="E59" s="45">
        <f>INDEX(QH_f1,M59,$F$4)+N59*(INDEX(QH_f1,M59+1,$F$4)-INDEX(QH_f1,M59,$F$4))</f>
        <v/>
      </c>
      <c r="F59" s="45">
        <f>E59+C59</f>
        <v/>
      </c>
      <c r="G59" s="46">
        <f>INDEX(QH_q,O59,$F$4)+P59*(INDEX(QH_q,O59+1,$F$4)-INDEX(QH_q,O59,$F$4))</f>
        <v/>
      </c>
      <c r="H59" s="47">
        <f>INDEX(QH_Z,O59)+P59*(INDEX(QH_Z,O59+1)-INDEX(QH_Z,O59))</f>
        <v/>
      </c>
      <c r="I59" s="48">
        <f>INDEX(QH_qtc,O59,$F$4)+P59*(INDEX(QH_qtc,O59+1,$F$4)-INDEX(QH_qtc,O59,$F$4))</f>
        <v/>
      </c>
      <c r="J59" s="49">
        <f>INDEX(QH_qsc,O59)+P59*(INDEX(QH_qsc,O59+1)-INDEX(QH_qsc,O59))</f>
        <v/>
      </c>
      <c r="K59" s="25">
        <f>INDEX(QH_V,O59)+P59*(INDEX(QH_V,O59+1)-INDEX(QH_V,O59))</f>
        <v/>
      </c>
      <c r="L59" s="39">
        <f>K59*1000000/dt_s+G59/2</f>
        <v/>
      </c>
      <c r="M59" s="50">
        <f>MATCH(D59,INDEX(QH_q,0,$F$4),1)</f>
        <v/>
      </c>
      <c r="N59" s="51">
        <f>(D59-INDEX(QH_q,M59,$F$4))/(INDEX(QH_q,M59+1,$F$4)-INDEX(QH_q,M59,$F$4))</f>
        <v/>
      </c>
      <c r="O59" s="50">
        <f>MATCH(F59,INDEX(QH_f2,0,$F$4),1)</f>
        <v/>
      </c>
      <c r="P59" s="51">
        <f>(F59-INDEX(QH_f2,O59,$F$4))/(INDEX(QH_f2,O59+1,$F$4)-INDEX(QH_f2,O59,$F$4))</f>
        <v/>
      </c>
    </row>
    <row r="60">
      <c r="A60" s="44" t="n">
        <v>44</v>
      </c>
      <c r="B60" s="39">
        <f>IFERROR(INDEX(Lu_Q,MATCH(A60,Lu_t,0),$C$4),0)</f>
        <v/>
      </c>
      <c r="C60" s="39">
        <f>(B59+B60)/2</f>
        <v/>
      </c>
      <c r="D60" s="39">
        <f>G59</f>
        <v/>
      </c>
      <c r="E60" s="45">
        <f>INDEX(QH_f1,M60,$F$4)+N60*(INDEX(QH_f1,M60+1,$F$4)-INDEX(QH_f1,M60,$F$4))</f>
        <v/>
      </c>
      <c r="F60" s="45">
        <f>E60+C60</f>
        <v/>
      </c>
      <c r="G60" s="46">
        <f>INDEX(QH_q,O60,$F$4)+P60*(INDEX(QH_q,O60+1,$F$4)-INDEX(QH_q,O60,$F$4))</f>
        <v/>
      </c>
      <c r="H60" s="47">
        <f>INDEX(QH_Z,O60)+P60*(INDEX(QH_Z,O60+1)-INDEX(QH_Z,O60))</f>
        <v/>
      </c>
      <c r="I60" s="48">
        <f>INDEX(QH_qtc,O60,$F$4)+P60*(INDEX(QH_qtc,O60+1,$F$4)-INDEX(QH_qtc,O60,$F$4))</f>
        <v/>
      </c>
      <c r="J60" s="49">
        <f>INDEX(QH_qsc,O60)+P60*(INDEX(QH_qsc,O60+1)-INDEX(QH_qsc,O60))</f>
        <v/>
      </c>
      <c r="K60" s="25">
        <f>INDEX(QH_V,O60)+P60*(INDEX(QH_V,O60+1)-INDEX(QH_V,O60))</f>
        <v/>
      </c>
      <c r="L60" s="39">
        <f>K60*1000000/dt_s+G60/2</f>
        <v/>
      </c>
      <c r="M60" s="50">
        <f>MATCH(D60,INDEX(QH_q,0,$F$4),1)</f>
        <v/>
      </c>
      <c r="N60" s="51">
        <f>(D60-INDEX(QH_q,M60,$F$4))/(INDEX(QH_q,M60+1,$F$4)-INDEX(QH_q,M60,$F$4))</f>
        <v/>
      </c>
      <c r="O60" s="50">
        <f>MATCH(F60,INDEX(QH_f2,0,$F$4),1)</f>
        <v/>
      </c>
      <c r="P60" s="51">
        <f>(F60-INDEX(QH_f2,O60,$F$4))/(INDEX(QH_f2,O60+1,$F$4)-INDEX(QH_f2,O60,$F$4))</f>
        <v/>
      </c>
    </row>
    <row r="61">
      <c r="A61" s="44" t="n">
        <v>45</v>
      </c>
      <c r="B61" s="39">
        <f>IFERROR(INDEX(Lu_Q,MATCH(A61,Lu_t,0),$C$4),0)</f>
        <v/>
      </c>
      <c r="C61" s="39">
        <f>(B60+B61)/2</f>
        <v/>
      </c>
      <c r="D61" s="39">
        <f>G60</f>
        <v/>
      </c>
      <c r="E61" s="45">
        <f>INDEX(QH_f1,M61,$F$4)+N61*(INDEX(QH_f1,M61+1,$F$4)-INDEX(QH_f1,M61,$F$4))</f>
        <v/>
      </c>
      <c r="F61" s="45">
        <f>E61+C61</f>
        <v/>
      </c>
      <c r="G61" s="46">
        <f>INDEX(QH_q,O61,$F$4)+P61*(INDEX(QH_q,O61+1,$F$4)-INDEX(QH_q,O61,$F$4))</f>
        <v/>
      </c>
      <c r="H61" s="47">
        <f>INDEX(QH_Z,O61)+P61*(INDEX(QH_Z,O61+1)-INDEX(QH_Z,O61))</f>
        <v/>
      </c>
      <c r="I61" s="48">
        <f>INDEX(QH_qtc,O61,$F$4)+P61*(INDEX(QH_qtc,O61+1,$F$4)-INDEX(QH_qtc,O61,$F$4))</f>
        <v/>
      </c>
      <c r="J61" s="49">
        <f>INDEX(QH_qsc,O61)+P61*(INDEX(QH_qsc,O61+1)-INDEX(QH_qsc,O61))</f>
        <v/>
      </c>
      <c r="K61" s="25">
        <f>INDEX(QH_V,O61)+P61*(INDEX(QH_V,O61+1)-INDEX(QH_V,O61))</f>
        <v/>
      </c>
      <c r="L61" s="39">
        <f>K61*1000000/dt_s+G61/2</f>
        <v/>
      </c>
      <c r="M61" s="50">
        <f>MATCH(D61,INDEX(QH_q,0,$F$4),1)</f>
        <v/>
      </c>
      <c r="N61" s="51">
        <f>(D61-INDEX(QH_q,M61,$F$4))/(INDEX(QH_q,M61+1,$F$4)-INDEX(QH_q,M61,$F$4))</f>
        <v/>
      </c>
      <c r="O61" s="50">
        <f>MATCH(F61,INDEX(QH_f2,0,$F$4),1)</f>
        <v/>
      </c>
      <c r="P61" s="51">
        <f>(F61-INDEX(QH_f2,O61,$F$4))/(INDEX(QH_f2,O61+1,$F$4)-INDEX(QH_f2,O61,$F$4))</f>
        <v/>
      </c>
    </row>
    <row r="62">
      <c r="A62" s="44" t="n">
        <v>46</v>
      </c>
      <c r="B62" s="39">
        <f>IFERROR(INDEX(Lu_Q,MATCH(A62,Lu_t,0),$C$4),0)</f>
        <v/>
      </c>
      <c r="C62" s="39">
        <f>(B61+B62)/2</f>
        <v/>
      </c>
      <c r="D62" s="39">
        <f>G61</f>
        <v/>
      </c>
      <c r="E62" s="45">
        <f>INDEX(QH_f1,M62,$F$4)+N62*(INDEX(QH_f1,M62+1,$F$4)-INDEX(QH_f1,M62,$F$4))</f>
        <v/>
      </c>
      <c r="F62" s="45">
        <f>E62+C62</f>
        <v/>
      </c>
      <c r="G62" s="46">
        <f>INDEX(QH_q,O62,$F$4)+P62*(INDEX(QH_q,O62+1,$F$4)-INDEX(QH_q,O62,$F$4))</f>
        <v/>
      </c>
      <c r="H62" s="47">
        <f>INDEX(QH_Z,O62)+P62*(INDEX(QH_Z,O62+1)-INDEX(QH_Z,O62))</f>
        <v/>
      </c>
      <c r="I62" s="48">
        <f>INDEX(QH_qtc,O62,$F$4)+P62*(INDEX(QH_qtc,O62+1,$F$4)-INDEX(QH_qtc,O62,$F$4))</f>
        <v/>
      </c>
      <c r="J62" s="49">
        <f>INDEX(QH_qsc,O62)+P62*(INDEX(QH_qsc,O62+1)-INDEX(QH_qsc,O62))</f>
        <v/>
      </c>
      <c r="K62" s="25">
        <f>INDEX(QH_V,O62)+P62*(INDEX(QH_V,O62+1)-INDEX(QH_V,O62))</f>
        <v/>
      </c>
      <c r="L62" s="39">
        <f>K62*1000000/dt_s+G62/2</f>
        <v/>
      </c>
      <c r="M62" s="50">
        <f>MATCH(D62,INDEX(QH_q,0,$F$4),1)</f>
        <v/>
      </c>
      <c r="N62" s="51">
        <f>(D62-INDEX(QH_q,M62,$F$4))/(INDEX(QH_q,M62+1,$F$4)-INDEX(QH_q,M62,$F$4))</f>
        <v/>
      </c>
      <c r="O62" s="50">
        <f>MATCH(F62,INDEX(QH_f2,0,$F$4),1)</f>
        <v/>
      </c>
      <c r="P62" s="51">
        <f>(F62-INDEX(QH_f2,O62,$F$4))/(INDEX(QH_f2,O62+1,$F$4)-INDEX(QH_f2,O62,$F$4))</f>
        <v/>
      </c>
    </row>
    <row r="63">
      <c r="A63" s="44" t="n">
        <v>47</v>
      </c>
      <c r="B63" s="39">
        <f>IFERROR(INDEX(Lu_Q,MATCH(A63,Lu_t,0),$C$4),0)</f>
        <v/>
      </c>
      <c r="C63" s="39">
        <f>(B62+B63)/2</f>
        <v/>
      </c>
      <c r="D63" s="39">
        <f>G62</f>
        <v/>
      </c>
      <c r="E63" s="45">
        <f>INDEX(QH_f1,M63,$F$4)+N63*(INDEX(QH_f1,M63+1,$F$4)-INDEX(QH_f1,M63,$F$4))</f>
        <v/>
      </c>
      <c r="F63" s="45">
        <f>E63+C63</f>
        <v/>
      </c>
      <c r="G63" s="46">
        <f>INDEX(QH_q,O63,$F$4)+P63*(INDEX(QH_q,O63+1,$F$4)-INDEX(QH_q,O63,$F$4))</f>
        <v/>
      </c>
      <c r="H63" s="47">
        <f>INDEX(QH_Z,O63)+P63*(INDEX(QH_Z,O63+1)-INDEX(QH_Z,O63))</f>
        <v/>
      </c>
      <c r="I63" s="48">
        <f>INDEX(QH_qtc,O63,$F$4)+P63*(INDEX(QH_qtc,O63+1,$F$4)-INDEX(QH_qtc,O63,$F$4))</f>
        <v/>
      </c>
      <c r="J63" s="49">
        <f>INDEX(QH_qsc,O63)+P63*(INDEX(QH_qsc,O63+1)-INDEX(QH_qsc,O63))</f>
        <v/>
      </c>
      <c r="K63" s="25">
        <f>INDEX(QH_V,O63)+P63*(INDEX(QH_V,O63+1)-INDEX(QH_V,O63))</f>
        <v/>
      </c>
      <c r="L63" s="39">
        <f>K63*1000000/dt_s+G63/2</f>
        <v/>
      </c>
      <c r="M63" s="50">
        <f>MATCH(D63,INDEX(QH_q,0,$F$4),1)</f>
        <v/>
      </c>
      <c r="N63" s="51">
        <f>(D63-INDEX(QH_q,M63,$F$4))/(INDEX(QH_q,M63+1,$F$4)-INDEX(QH_q,M63,$F$4))</f>
        <v/>
      </c>
      <c r="O63" s="50">
        <f>MATCH(F63,INDEX(QH_f2,0,$F$4),1)</f>
        <v/>
      </c>
      <c r="P63" s="51">
        <f>(F63-INDEX(QH_f2,O63,$F$4))/(INDEX(QH_f2,O63+1,$F$4)-INDEX(QH_f2,O63,$F$4))</f>
        <v/>
      </c>
    </row>
    <row r="64">
      <c r="A64" s="44" t="n">
        <v>48</v>
      </c>
      <c r="B64" s="39">
        <f>IFERROR(INDEX(Lu_Q,MATCH(A64,Lu_t,0),$C$4),0)</f>
        <v/>
      </c>
      <c r="C64" s="39">
        <f>(B63+B64)/2</f>
        <v/>
      </c>
      <c r="D64" s="39">
        <f>G63</f>
        <v/>
      </c>
      <c r="E64" s="45">
        <f>INDEX(QH_f1,M64,$F$4)+N64*(INDEX(QH_f1,M64+1,$F$4)-INDEX(QH_f1,M64,$F$4))</f>
        <v/>
      </c>
      <c r="F64" s="45">
        <f>E64+C64</f>
        <v/>
      </c>
      <c r="G64" s="46">
        <f>INDEX(QH_q,O64,$F$4)+P64*(INDEX(QH_q,O64+1,$F$4)-INDEX(QH_q,O64,$F$4))</f>
        <v/>
      </c>
      <c r="H64" s="47">
        <f>INDEX(QH_Z,O64)+P64*(INDEX(QH_Z,O64+1)-INDEX(QH_Z,O64))</f>
        <v/>
      </c>
      <c r="I64" s="48">
        <f>INDEX(QH_qtc,O64,$F$4)+P64*(INDEX(QH_qtc,O64+1,$F$4)-INDEX(QH_qtc,O64,$F$4))</f>
        <v/>
      </c>
      <c r="J64" s="49">
        <f>INDEX(QH_qsc,O64)+P64*(INDEX(QH_qsc,O64+1)-INDEX(QH_qsc,O64))</f>
        <v/>
      </c>
      <c r="K64" s="25">
        <f>INDEX(QH_V,O64)+P64*(INDEX(QH_V,O64+1)-INDEX(QH_V,O64))</f>
        <v/>
      </c>
      <c r="L64" s="39">
        <f>K64*1000000/dt_s+G64/2</f>
        <v/>
      </c>
      <c r="M64" s="50">
        <f>MATCH(D64,INDEX(QH_q,0,$F$4),1)</f>
        <v/>
      </c>
      <c r="N64" s="51">
        <f>(D64-INDEX(QH_q,M64,$F$4))/(INDEX(QH_q,M64+1,$F$4)-INDEX(QH_q,M64,$F$4))</f>
        <v/>
      </c>
      <c r="O64" s="50">
        <f>MATCH(F64,INDEX(QH_f2,0,$F$4),1)</f>
        <v/>
      </c>
      <c r="P64" s="51">
        <f>(F64-INDEX(QH_f2,O64,$F$4))/(INDEX(QH_f2,O64+1,$F$4)-INDEX(QH_f2,O64,$F$4))</f>
        <v/>
      </c>
    </row>
  </sheetData>
  <mergeCells count="12">
    <mergeCell ref="F3:G3"/>
    <mergeCell ref="A4:B4"/>
    <mergeCell ref="A12:E12"/>
    <mergeCell ref="A7:E7"/>
    <mergeCell ref="A10:E10"/>
    <mergeCell ref="A11:E11"/>
    <mergeCell ref="D4:E4"/>
    <mergeCell ref="A8:E8"/>
    <mergeCell ref="A6:E6"/>
    <mergeCell ref="D3:E3"/>
    <mergeCell ref="A3:B3"/>
    <mergeCell ref="A9:E9"/>
  </mergeCells>
  <conditionalFormatting sqref="A16:P64">
    <cfRule type="expression" priority="1" dxfId="0">
      <formula>$H16=MAX($H$16:$H$64)</formula>
    </cfRule>
  </conditionalFormatting>
  <dataValidations count="2">
    <dataValidation sqref="C3" showDropDown="0" showInputMessage="0" showErrorMessage="0" allowBlank="0" type="list">
      <formula1>"1,0.2"</formula1>
    </dataValidation>
    <dataValidation sqref="F3" showDropDown="0" showInputMessage="0" showErrorMessage="0" allowBlank="0" type="list">
      <formula1>"Bình thường,Sự cố"</formula1>
    </dataValidation>
  </dataValidation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P64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6" t="inlineStr">
        <is>
          <t>ĐIỀU TIẾT LŨ – PHƯƠNG PHÁP PÔ-TA-PỐP, HAI ĐƯỜNG q ~ f₁, q ~ f₂ (Δt = 1 giờ)</t>
        </is>
      </c>
    </row>
    <row r="3">
      <c r="A3" s="12" t="inlineStr">
        <is>
          <t>Tần suất P (%)</t>
        </is>
      </c>
      <c r="B3" s="11" t="n"/>
      <c r="C3" s="41" t="n">
        <v>0.2</v>
      </c>
      <c r="D3" s="12" t="inlineStr">
        <is>
          <t>Trường hợp</t>
        </is>
      </c>
      <c r="E3" s="11" t="n"/>
      <c r="F3" s="42" t="inlineStr">
        <is>
          <t>Sự cố</t>
        </is>
      </c>
      <c r="G3" s="11" t="n"/>
      <c r="H3" s="7" t="inlineStr">
        <is>
          <t>← sửa ô vàng: P = 1 hoặc 0,2; trường hợp “Bình thường” hoặc “Sự cố” (1 cửa tràn chính không mở)</t>
        </is>
      </c>
    </row>
    <row r="4">
      <c r="A4" s="15" t="inlineStr">
        <is>
          <t>Cột lũ</t>
        </is>
      </c>
      <c r="B4" s="11" t="n"/>
      <c r="C4" s="38">
        <f>MATCH(C3,Lu_P,0)</f>
        <v/>
      </c>
      <c r="D4" s="15" t="inlineStr">
        <is>
          <t>Cột bảng tra</t>
        </is>
      </c>
      <c r="E4" s="11" t="n"/>
      <c r="F4" s="38">
        <f>IF(F3="Sự cố",2,1)</f>
        <v/>
      </c>
    </row>
    <row r="5">
      <c r="H5" s="7" t="inlineStr">
        <is>
          <t>Giờ 0: Z = MNDBT, q = q(MNDBT). Từ giờ 1: q₁ → tra đường q ~ f₁ được f₁ → f₂ = f₁ + Qtb → tra đường q ~ f₂ được q₂, Z₂, V₂.</t>
        </is>
      </c>
    </row>
    <row r="6">
      <c r="A6" s="12" t="inlineStr">
        <is>
          <t>Mực nước lớn nhất Zmax (m)</t>
        </is>
      </c>
      <c r="B6" s="10" t="n"/>
      <c r="C6" s="10" t="n"/>
      <c r="D6" s="10" t="n"/>
      <c r="E6" s="11" t="n"/>
      <c r="F6" s="18">
        <f>MAX(H16:H64)</f>
        <v/>
      </c>
      <c r="H6" s="7" t="inlineStr">
        <is>
          <t>Cột M, N: vị trí tra q₁; cột O, P: vị trí tra f₂ trong bảng QuanHe. Cột L kiểm tra V₂/Δt + q₂/2 = f₂.</t>
        </is>
      </c>
    </row>
    <row r="7">
      <c r="A7" s="12" t="inlineStr">
        <is>
          <t>Thời điểm xuất hiện (giờ)</t>
        </is>
      </c>
      <c r="B7" s="10" t="n"/>
      <c r="C7" s="10" t="n"/>
      <c r="D7" s="10" t="n"/>
      <c r="E7" s="11" t="n"/>
      <c r="F7" s="17">
        <f>INDEX(A16:A64,MATCH(MAX(H16:H64),H16:H64,0))</f>
        <v/>
      </c>
    </row>
    <row r="8">
      <c r="A8" s="12" t="inlineStr">
        <is>
          <t>Lưu lượng xả lớn nhất qmax (m³/s)</t>
        </is>
      </c>
      <c r="B8" s="10" t="n"/>
      <c r="C8" s="10" t="n"/>
      <c r="D8" s="10" t="n"/>
      <c r="E8" s="11" t="n"/>
      <c r="F8" s="37">
        <f>MAX(G16:G64)</f>
        <v/>
      </c>
    </row>
    <row r="9">
      <c r="A9" s="12" t="inlineStr">
        <is>
          <t>Lúc Zmax: q tràn chính / q tràn sự cố (m³/s)</t>
        </is>
      </c>
      <c r="B9" s="10" t="n"/>
      <c r="C9" s="10" t="n"/>
      <c r="D9" s="10" t="n"/>
      <c r="E9" s="11" t="n"/>
      <c r="F9" s="37">
        <f>INDEX(I16:I64,MATCH(MAX(H16:H64),H16:H64,0))</f>
        <v/>
      </c>
      <c r="G9" s="37">
        <f>INDEX(J16:J64,MATCH(MAX(H16:H64),H16:H64,0))</f>
        <v/>
      </c>
    </row>
    <row r="10">
      <c r="A10" s="12" t="inlineStr">
        <is>
          <t>Cột nước trên ngưỡng lúc Zmax: tràn chính / tràn sự cố (m)</t>
        </is>
      </c>
      <c r="B10" s="10" t="n"/>
      <c r="C10" s="10" t="n"/>
      <c r="D10" s="10" t="n"/>
      <c r="E10" s="11" t="n"/>
      <c r="F10" s="18">
        <f>F6-TC_Z</f>
        <v/>
      </c>
      <c r="G10" s="18">
        <f>F6-SC_Z</f>
        <v/>
      </c>
    </row>
    <row r="11">
      <c r="A11" s="12" t="inlineStr">
        <is>
          <t>Dung tích phòng lũ V(Zmax) − V(MNDBT) (10⁶ m³)</t>
        </is>
      </c>
      <c r="B11" s="10" t="n"/>
      <c r="C11" s="10" t="n"/>
      <c r="D11" s="10" t="n"/>
      <c r="E11" s="11" t="n"/>
      <c r="F11" s="40">
        <f>INDEX(K16:K64,MATCH(MAX(H16:H64),H16:H64,0))-K16</f>
        <v/>
      </c>
    </row>
    <row r="12">
      <c r="A12" s="12" t="inlineStr">
        <is>
          <t>Cân bằng nước: W đến − W xả − ΔV (10⁶ m³, phải ≈ 0)</t>
        </is>
      </c>
      <c r="B12" s="10" t="n"/>
      <c r="C12" s="10" t="n"/>
      <c r="D12" s="10" t="n"/>
      <c r="E12" s="11" t="n"/>
      <c r="F12" s="43">
        <f>SUMPRODUCT((B16:B63+B17:B64)/2)*dt_s/1000000-SUMPRODUCT((G16:G63+G17:G64)/2)*dt_s/1000000-(K64-K16)</f>
        <v/>
      </c>
    </row>
    <row r="15" ht="58" customHeight="1">
      <c r="A15" s="9" t="inlineStr">
        <is>
          <t>t (giờ)</t>
        </is>
      </c>
      <c r="B15" s="9" t="inlineStr">
        <is>
          <t>Q đến (m³/s)</t>
        </is>
      </c>
      <c r="C15" s="9" t="inlineStr">
        <is>
          <t>Qtb = (Q₁+Q₂)/2</t>
        </is>
      </c>
      <c r="D15" s="9" t="inlineStr">
        <is>
          <t>q₁ (cuối giờ trước)</t>
        </is>
      </c>
      <c r="E15" s="9" t="inlineStr">
        <is>
          <t>f₁ – tra đường q ~ f₁ với q₁</t>
        </is>
      </c>
      <c r="F15" s="9" t="inlineStr">
        <is>
          <t>f₂ = f₁ + Qtb</t>
        </is>
      </c>
      <c r="G15" s="9" t="inlineStr">
        <is>
          <t>q₂ – tra đường q ~ f₂ với f₂</t>
        </is>
      </c>
      <c r="H15" s="9" t="inlineStr">
        <is>
          <t>Z₂ (m)</t>
        </is>
      </c>
      <c r="I15" s="9" t="inlineStr">
        <is>
          <t>q tràn chính (m³/s)</t>
        </is>
      </c>
      <c r="J15" s="9" t="inlineStr">
        <is>
          <t>q tràn sự cố (m³/s)</t>
        </is>
      </c>
      <c r="K15" s="9" t="inlineStr">
        <is>
          <t>V₂ (10⁶ m³)</t>
        </is>
      </c>
      <c r="L15" s="9" t="inlineStr">
        <is>
          <t>Kiểm tra V₂/Δt + q₂/2 (= f₂)</t>
        </is>
      </c>
      <c r="M15" s="9" t="inlineStr">
        <is>
          <t>k₁ – dòng tra q₁</t>
        </is>
      </c>
      <c r="N15" s="9" t="inlineStr">
        <is>
          <t>w₁</t>
        </is>
      </c>
      <c r="O15" s="9" t="inlineStr">
        <is>
          <t>k – dòng tra f₂</t>
        </is>
      </c>
      <c r="P15" s="9" t="inlineStr">
        <is>
          <t>w</t>
        </is>
      </c>
    </row>
    <row r="16">
      <c r="A16" s="44" t="n">
        <v>0</v>
      </c>
      <c r="B16" s="39">
        <f>IFERROR(INDEX(Lu_Q,MATCH(A16,Lu_t,0),$C$4),0)</f>
        <v/>
      </c>
      <c r="C16" s="39" t="inlineStr"/>
      <c r="D16" s="39" t="inlineStr"/>
      <c r="E16" s="45" t="inlineStr"/>
      <c r="F16" s="45" t="inlineStr"/>
      <c r="G16" s="46">
        <f>INDEX(QH_q,O16,$F$4)+P16*(INDEX(QH_q,O16+1,$F$4)-INDEX(QH_q,O16,$F$4))</f>
        <v/>
      </c>
      <c r="H16" s="47">
        <f>INDEX(QH_Z,O16)+P16*(INDEX(QH_Z,O16+1)-INDEX(QH_Z,O16))</f>
        <v/>
      </c>
      <c r="I16" s="48">
        <f>INDEX(QH_qtc,O16,$F$4)+P16*(INDEX(QH_qtc,O16+1,$F$4)-INDEX(QH_qtc,O16,$F$4))</f>
        <v/>
      </c>
      <c r="J16" s="49">
        <f>INDEX(QH_qsc,O16)+P16*(INDEX(QH_qsc,O16+1)-INDEX(QH_qsc,O16))</f>
        <v/>
      </c>
      <c r="K16" s="25">
        <f>INDEX(QH_V,O16)+P16*(INDEX(QH_V,O16+1)-INDEX(QH_V,O16))</f>
        <v/>
      </c>
      <c r="L16" s="39">
        <f>K16*1000000/dt_s+G16/2</f>
        <v/>
      </c>
      <c r="M16" s="50" t="inlineStr"/>
      <c r="N16" s="51" t="inlineStr"/>
      <c r="O16" s="50">
        <f>MATCH(Z0,QH_Z,1)</f>
        <v/>
      </c>
      <c r="P16" s="51">
        <f>(Z0-INDEX(QH_Z,O16))/(INDEX(QH_Z,O16+1)-INDEX(QH_Z,O16))</f>
        <v/>
      </c>
    </row>
    <row r="17">
      <c r="A17" s="44" t="n">
        <v>1</v>
      </c>
      <c r="B17" s="39">
        <f>IFERROR(INDEX(Lu_Q,MATCH(A17,Lu_t,0),$C$4),0)</f>
        <v/>
      </c>
      <c r="C17" s="39">
        <f>(B16+B17)/2</f>
        <v/>
      </c>
      <c r="D17" s="39">
        <f>G16</f>
        <v/>
      </c>
      <c r="E17" s="45">
        <f>INDEX(QH_f1,M17,$F$4)+N17*(INDEX(QH_f1,M17+1,$F$4)-INDEX(QH_f1,M17,$F$4))</f>
        <v/>
      </c>
      <c r="F17" s="45">
        <f>E17+C17</f>
        <v/>
      </c>
      <c r="G17" s="46">
        <f>INDEX(QH_q,O17,$F$4)+P17*(INDEX(QH_q,O17+1,$F$4)-INDEX(QH_q,O17,$F$4))</f>
        <v/>
      </c>
      <c r="H17" s="47">
        <f>INDEX(QH_Z,O17)+P17*(INDEX(QH_Z,O17+1)-INDEX(QH_Z,O17))</f>
        <v/>
      </c>
      <c r="I17" s="48">
        <f>INDEX(QH_qtc,O17,$F$4)+P17*(INDEX(QH_qtc,O17+1,$F$4)-INDEX(QH_qtc,O17,$F$4))</f>
        <v/>
      </c>
      <c r="J17" s="49">
        <f>INDEX(QH_qsc,O17)+P17*(INDEX(QH_qsc,O17+1)-INDEX(QH_qsc,O17))</f>
        <v/>
      </c>
      <c r="K17" s="25">
        <f>INDEX(QH_V,O17)+P17*(INDEX(QH_V,O17+1)-INDEX(QH_V,O17))</f>
        <v/>
      </c>
      <c r="L17" s="39">
        <f>K17*1000000/dt_s+G17/2</f>
        <v/>
      </c>
      <c r="M17" s="50">
        <f>MATCH(D17,INDEX(QH_q,0,$F$4),1)</f>
        <v/>
      </c>
      <c r="N17" s="51">
        <f>(D17-INDEX(QH_q,M17,$F$4))/(INDEX(QH_q,M17+1,$F$4)-INDEX(QH_q,M17,$F$4))</f>
        <v/>
      </c>
      <c r="O17" s="50">
        <f>MATCH(F17,INDEX(QH_f2,0,$F$4),1)</f>
        <v/>
      </c>
      <c r="P17" s="51">
        <f>(F17-INDEX(QH_f2,O17,$F$4))/(INDEX(QH_f2,O17+1,$F$4)-INDEX(QH_f2,O17,$F$4))</f>
        <v/>
      </c>
    </row>
    <row r="18">
      <c r="A18" s="44" t="n">
        <v>2</v>
      </c>
      <c r="B18" s="39">
        <f>IFERROR(INDEX(Lu_Q,MATCH(A18,Lu_t,0),$C$4),0)</f>
        <v/>
      </c>
      <c r="C18" s="39">
        <f>(B17+B18)/2</f>
        <v/>
      </c>
      <c r="D18" s="39">
        <f>G17</f>
        <v/>
      </c>
      <c r="E18" s="45">
        <f>INDEX(QH_f1,M18,$F$4)+N18*(INDEX(QH_f1,M18+1,$F$4)-INDEX(QH_f1,M18,$F$4))</f>
        <v/>
      </c>
      <c r="F18" s="45">
        <f>E18+C18</f>
        <v/>
      </c>
      <c r="G18" s="46">
        <f>INDEX(QH_q,O18,$F$4)+P18*(INDEX(QH_q,O18+1,$F$4)-INDEX(QH_q,O18,$F$4))</f>
        <v/>
      </c>
      <c r="H18" s="47">
        <f>INDEX(QH_Z,O18)+P18*(INDEX(QH_Z,O18+1)-INDEX(QH_Z,O18))</f>
        <v/>
      </c>
      <c r="I18" s="48">
        <f>INDEX(QH_qtc,O18,$F$4)+P18*(INDEX(QH_qtc,O18+1,$F$4)-INDEX(QH_qtc,O18,$F$4))</f>
        <v/>
      </c>
      <c r="J18" s="49">
        <f>INDEX(QH_qsc,O18)+P18*(INDEX(QH_qsc,O18+1)-INDEX(QH_qsc,O18))</f>
        <v/>
      </c>
      <c r="K18" s="25">
        <f>INDEX(QH_V,O18)+P18*(INDEX(QH_V,O18+1)-INDEX(QH_V,O18))</f>
        <v/>
      </c>
      <c r="L18" s="39">
        <f>K18*1000000/dt_s+G18/2</f>
        <v/>
      </c>
      <c r="M18" s="50">
        <f>MATCH(D18,INDEX(QH_q,0,$F$4),1)</f>
        <v/>
      </c>
      <c r="N18" s="51">
        <f>(D18-INDEX(QH_q,M18,$F$4))/(INDEX(QH_q,M18+1,$F$4)-INDEX(QH_q,M18,$F$4))</f>
        <v/>
      </c>
      <c r="O18" s="50">
        <f>MATCH(F18,INDEX(QH_f2,0,$F$4),1)</f>
        <v/>
      </c>
      <c r="P18" s="51">
        <f>(F18-INDEX(QH_f2,O18,$F$4))/(INDEX(QH_f2,O18+1,$F$4)-INDEX(QH_f2,O18,$F$4))</f>
        <v/>
      </c>
    </row>
    <row r="19">
      <c r="A19" s="44" t="n">
        <v>3</v>
      </c>
      <c r="B19" s="39">
        <f>IFERROR(INDEX(Lu_Q,MATCH(A19,Lu_t,0),$C$4),0)</f>
        <v/>
      </c>
      <c r="C19" s="39">
        <f>(B18+B19)/2</f>
        <v/>
      </c>
      <c r="D19" s="39">
        <f>G18</f>
        <v/>
      </c>
      <c r="E19" s="45">
        <f>INDEX(QH_f1,M19,$F$4)+N19*(INDEX(QH_f1,M19+1,$F$4)-INDEX(QH_f1,M19,$F$4))</f>
        <v/>
      </c>
      <c r="F19" s="45">
        <f>E19+C19</f>
        <v/>
      </c>
      <c r="G19" s="46">
        <f>INDEX(QH_q,O19,$F$4)+P19*(INDEX(QH_q,O19+1,$F$4)-INDEX(QH_q,O19,$F$4))</f>
        <v/>
      </c>
      <c r="H19" s="47">
        <f>INDEX(QH_Z,O19)+P19*(INDEX(QH_Z,O19+1)-INDEX(QH_Z,O19))</f>
        <v/>
      </c>
      <c r="I19" s="48">
        <f>INDEX(QH_qtc,O19,$F$4)+P19*(INDEX(QH_qtc,O19+1,$F$4)-INDEX(QH_qtc,O19,$F$4))</f>
        <v/>
      </c>
      <c r="J19" s="49">
        <f>INDEX(QH_qsc,O19)+P19*(INDEX(QH_qsc,O19+1)-INDEX(QH_qsc,O19))</f>
        <v/>
      </c>
      <c r="K19" s="25">
        <f>INDEX(QH_V,O19)+P19*(INDEX(QH_V,O19+1)-INDEX(QH_V,O19))</f>
        <v/>
      </c>
      <c r="L19" s="39">
        <f>K19*1000000/dt_s+G19/2</f>
        <v/>
      </c>
      <c r="M19" s="50">
        <f>MATCH(D19,INDEX(QH_q,0,$F$4),1)</f>
        <v/>
      </c>
      <c r="N19" s="51">
        <f>(D19-INDEX(QH_q,M19,$F$4))/(INDEX(QH_q,M19+1,$F$4)-INDEX(QH_q,M19,$F$4))</f>
        <v/>
      </c>
      <c r="O19" s="50">
        <f>MATCH(F19,INDEX(QH_f2,0,$F$4),1)</f>
        <v/>
      </c>
      <c r="P19" s="51">
        <f>(F19-INDEX(QH_f2,O19,$F$4))/(INDEX(QH_f2,O19+1,$F$4)-INDEX(QH_f2,O19,$F$4))</f>
        <v/>
      </c>
    </row>
    <row r="20">
      <c r="A20" s="44" t="n">
        <v>4</v>
      </c>
      <c r="B20" s="39">
        <f>IFERROR(INDEX(Lu_Q,MATCH(A20,Lu_t,0),$C$4),0)</f>
        <v/>
      </c>
      <c r="C20" s="39">
        <f>(B19+B20)/2</f>
        <v/>
      </c>
      <c r="D20" s="39">
        <f>G19</f>
        <v/>
      </c>
      <c r="E20" s="45">
        <f>INDEX(QH_f1,M20,$F$4)+N20*(INDEX(QH_f1,M20+1,$F$4)-INDEX(QH_f1,M20,$F$4))</f>
        <v/>
      </c>
      <c r="F20" s="45">
        <f>E20+C20</f>
        <v/>
      </c>
      <c r="G20" s="46">
        <f>INDEX(QH_q,O20,$F$4)+P20*(INDEX(QH_q,O20+1,$F$4)-INDEX(QH_q,O20,$F$4))</f>
        <v/>
      </c>
      <c r="H20" s="47">
        <f>INDEX(QH_Z,O20)+P20*(INDEX(QH_Z,O20+1)-INDEX(QH_Z,O20))</f>
        <v/>
      </c>
      <c r="I20" s="48">
        <f>INDEX(QH_qtc,O20,$F$4)+P20*(INDEX(QH_qtc,O20+1,$F$4)-INDEX(QH_qtc,O20,$F$4))</f>
        <v/>
      </c>
      <c r="J20" s="49">
        <f>INDEX(QH_qsc,O20)+P20*(INDEX(QH_qsc,O20+1)-INDEX(QH_qsc,O20))</f>
        <v/>
      </c>
      <c r="K20" s="25">
        <f>INDEX(QH_V,O20)+P20*(INDEX(QH_V,O20+1)-INDEX(QH_V,O20))</f>
        <v/>
      </c>
      <c r="L20" s="39">
        <f>K20*1000000/dt_s+G20/2</f>
        <v/>
      </c>
      <c r="M20" s="50">
        <f>MATCH(D20,INDEX(QH_q,0,$F$4),1)</f>
        <v/>
      </c>
      <c r="N20" s="51">
        <f>(D20-INDEX(QH_q,M20,$F$4))/(INDEX(QH_q,M20+1,$F$4)-INDEX(QH_q,M20,$F$4))</f>
        <v/>
      </c>
      <c r="O20" s="50">
        <f>MATCH(F20,INDEX(QH_f2,0,$F$4),1)</f>
        <v/>
      </c>
      <c r="P20" s="51">
        <f>(F20-INDEX(QH_f2,O20,$F$4))/(INDEX(QH_f2,O20+1,$F$4)-INDEX(QH_f2,O20,$F$4))</f>
        <v/>
      </c>
    </row>
    <row r="21">
      <c r="A21" s="44" t="n">
        <v>5</v>
      </c>
      <c r="B21" s="39">
        <f>IFERROR(INDEX(Lu_Q,MATCH(A21,Lu_t,0),$C$4),0)</f>
        <v/>
      </c>
      <c r="C21" s="39">
        <f>(B20+B21)/2</f>
        <v/>
      </c>
      <c r="D21" s="39">
        <f>G20</f>
        <v/>
      </c>
      <c r="E21" s="45">
        <f>INDEX(QH_f1,M21,$F$4)+N21*(INDEX(QH_f1,M21+1,$F$4)-INDEX(QH_f1,M21,$F$4))</f>
        <v/>
      </c>
      <c r="F21" s="45">
        <f>E21+C21</f>
        <v/>
      </c>
      <c r="G21" s="46">
        <f>INDEX(QH_q,O21,$F$4)+P21*(INDEX(QH_q,O21+1,$F$4)-INDEX(QH_q,O21,$F$4))</f>
        <v/>
      </c>
      <c r="H21" s="47">
        <f>INDEX(QH_Z,O21)+P21*(INDEX(QH_Z,O21+1)-INDEX(QH_Z,O21))</f>
        <v/>
      </c>
      <c r="I21" s="48">
        <f>INDEX(QH_qtc,O21,$F$4)+P21*(INDEX(QH_qtc,O21+1,$F$4)-INDEX(QH_qtc,O21,$F$4))</f>
        <v/>
      </c>
      <c r="J21" s="49">
        <f>INDEX(QH_qsc,O21)+P21*(INDEX(QH_qsc,O21+1)-INDEX(QH_qsc,O21))</f>
        <v/>
      </c>
      <c r="K21" s="25">
        <f>INDEX(QH_V,O21)+P21*(INDEX(QH_V,O21+1)-INDEX(QH_V,O21))</f>
        <v/>
      </c>
      <c r="L21" s="39">
        <f>K21*1000000/dt_s+G21/2</f>
        <v/>
      </c>
      <c r="M21" s="50">
        <f>MATCH(D21,INDEX(QH_q,0,$F$4),1)</f>
        <v/>
      </c>
      <c r="N21" s="51">
        <f>(D21-INDEX(QH_q,M21,$F$4))/(INDEX(QH_q,M21+1,$F$4)-INDEX(QH_q,M21,$F$4))</f>
        <v/>
      </c>
      <c r="O21" s="50">
        <f>MATCH(F21,INDEX(QH_f2,0,$F$4),1)</f>
        <v/>
      </c>
      <c r="P21" s="51">
        <f>(F21-INDEX(QH_f2,O21,$F$4))/(INDEX(QH_f2,O21+1,$F$4)-INDEX(QH_f2,O21,$F$4))</f>
        <v/>
      </c>
    </row>
    <row r="22">
      <c r="A22" s="44" t="n">
        <v>6</v>
      </c>
      <c r="B22" s="39">
        <f>IFERROR(INDEX(Lu_Q,MATCH(A22,Lu_t,0),$C$4),0)</f>
        <v/>
      </c>
      <c r="C22" s="39">
        <f>(B21+B22)/2</f>
        <v/>
      </c>
      <c r="D22" s="39">
        <f>G21</f>
        <v/>
      </c>
      <c r="E22" s="45">
        <f>INDEX(QH_f1,M22,$F$4)+N22*(INDEX(QH_f1,M22+1,$F$4)-INDEX(QH_f1,M22,$F$4))</f>
        <v/>
      </c>
      <c r="F22" s="45">
        <f>E22+C22</f>
        <v/>
      </c>
      <c r="G22" s="46">
        <f>INDEX(QH_q,O22,$F$4)+P22*(INDEX(QH_q,O22+1,$F$4)-INDEX(QH_q,O22,$F$4))</f>
        <v/>
      </c>
      <c r="H22" s="47">
        <f>INDEX(QH_Z,O22)+P22*(INDEX(QH_Z,O22+1)-INDEX(QH_Z,O22))</f>
        <v/>
      </c>
      <c r="I22" s="48">
        <f>INDEX(QH_qtc,O22,$F$4)+P22*(INDEX(QH_qtc,O22+1,$F$4)-INDEX(QH_qtc,O22,$F$4))</f>
        <v/>
      </c>
      <c r="J22" s="49">
        <f>INDEX(QH_qsc,O22)+P22*(INDEX(QH_qsc,O22+1)-INDEX(QH_qsc,O22))</f>
        <v/>
      </c>
      <c r="K22" s="25">
        <f>INDEX(QH_V,O22)+P22*(INDEX(QH_V,O22+1)-INDEX(QH_V,O22))</f>
        <v/>
      </c>
      <c r="L22" s="39">
        <f>K22*1000000/dt_s+G22/2</f>
        <v/>
      </c>
      <c r="M22" s="50">
        <f>MATCH(D22,INDEX(QH_q,0,$F$4),1)</f>
        <v/>
      </c>
      <c r="N22" s="51">
        <f>(D22-INDEX(QH_q,M22,$F$4))/(INDEX(QH_q,M22+1,$F$4)-INDEX(QH_q,M22,$F$4))</f>
        <v/>
      </c>
      <c r="O22" s="50">
        <f>MATCH(F22,INDEX(QH_f2,0,$F$4),1)</f>
        <v/>
      </c>
      <c r="P22" s="51">
        <f>(F22-INDEX(QH_f2,O22,$F$4))/(INDEX(QH_f2,O22+1,$F$4)-INDEX(QH_f2,O22,$F$4))</f>
        <v/>
      </c>
    </row>
    <row r="23">
      <c r="A23" s="44" t="n">
        <v>7</v>
      </c>
      <c r="B23" s="39">
        <f>IFERROR(INDEX(Lu_Q,MATCH(A23,Lu_t,0),$C$4),0)</f>
        <v/>
      </c>
      <c r="C23" s="39">
        <f>(B22+B23)/2</f>
        <v/>
      </c>
      <c r="D23" s="39">
        <f>G22</f>
        <v/>
      </c>
      <c r="E23" s="45">
        <f>INDEX(QH_f1,M23,$F$4)+N23*(INDEX(QH_f1,M23+1,$F$4)-INDEX(QH_f1,M23,$F$4))</f>
        <v/>
      </c>
      <c r="F23" s="45">
        <f>E23+C23</f>
        <v/>
      </c>
      <c r="G23" s="46">
        <f>INDEX(QH_q,O23,$F$4)+P23*(INDEX(QH_q,O23+1,$F$4)-INDEX(QH_q,O23,$F$4))</f>
        <v/>
      </c>
      <c r="H23" s="47">
        <f>INDEX(QH_Z,O23)+P23*(INDEX(QH_Z,O23+1)-INDEX(QH_Z,O23))</f>
        <v/>
      </c>
      <c r="I23" s="48">
        <f>INDEX(QH_qtc,O23,$F$4)+P23*(INDEX(QH_qtc,O23+1,$F$4)-INDEX(QH_qtc,O23,$F$4))</f>
        <v/>
      </c>
      <c r="J23" s="49">
        <f>INDEX(QH_qsc,O23)+P23*(INDEX(QH_qsc,O23+1)-INDEX(QH_qsc,O23))</f>
        <v/>
      </c>
      <c r="K23" s="25">
        <f>INDEX(QH_V,O23)+P23*(INDEX(QH_V,O23+1)-INDEX(QH_V,O23))</f>
        <v/>
      </c>
      <c r="L23" s="39">
        <f>K23*1000000/dt_s+G23/2</f>
        <v/>
      </c>
      <c r="M23" s="50">
        <f>MATCH(D23,INDEX(QH_q,0,$F$4),1)</f>
        <v/>
      </c>
      <c r="N23" s="51">
        <f>(D23-INDEX(QH_q,M23,$F$4))/(INDEX(QH_q,M23+1,$F$4)-INDEX(QH_q,M23,$F$4))</f>
        <v/>
      </c>
      <c r="O23" s="50">
        <f>MATCH(F23,INDEX(QH_f2,0,$F$4),1)</f>
        <v/>
      </c>
      <c r="P23" s="51">
        <f>(F23-INDEX(QH_f2,O23,$F$4))/(INDEX(QH_f2,O23+1,$F$4)-INDEX(QH_f2,O23,$F$4))</f>
        <v/>
      </c>
    </row>
    <row r="24">
      <c r="A24" s="44" t="n">
        <v>8</v>
      </c>
      <c r="B24" s="39">
        <f>IFERROR(INDEX(Lu_Q,MATCH(A24,Lu_t,0),$C$4),0)</f>
        <v/>
      </c>
      <c r="C24" s="39">
        <f>(B23+B24)/2</f>
        <v/>
      </c>
      <c r="D24" s="39">
        <f>G23</f>
        <v/>
      </c>
      <c r="E24" s="45">
        <f>INDEX(QH_f1,M24,$F$4)+N24*(INDEX(QH_f1,M24+1,$F$4)-INDEX(QH_f1,M24,$F$4))</f>
        <v/>
      </c>
      <c r="F24" s="45">
        <f>E24+C24</f>
        <v/>
      </c>
      <c r="G24" s="46">
        <f>INDEX(QH_q,O24,$F$4)+P24*(INDEX(QH_q,O24+1,$F$4)-INDEX(QH_q,O24,$F$4))</f>
        <v/>
      </c>
      <c r="H24" s="47">
        <f>INDEX(QH_Z,O24)+P24*(INDEX(QH_Z,O24+1)-INDEX(QH_Z,O24))</f>
        <v/>
      </c>
      <c r="I24" s="48">
        <f>INDEX(QH_qtc,O24,$F$4)+P24*(INDEX(QH_qtc,O24+1,$F$4)-INDEX(QH_qtc,O24,$F$4))</f>
        <v/>
      </c>
      <c r="J24" s="49">
        <f>INDEX(QH_qsc,O24)+P24*(INDEX(QH_qsc,O24+1)-INDEX(QH_qsc,O24))</f>
        <v/>
      </c>
      <c r="K24" s="25">
        <f>INDEX(QH_V,O24)+P24*(INDEX(QH_V,O24+1)-INDEX(QH_V,O24))</f>
        <v/>
      </c>
      <c r="L24" s="39">
        <f>K24*1000000/dt_s+G24/2</f>
        <v/>
      </c>
      <c r="M24" s="50">
        <f>MATCH(D24,INDEX(QH_q,0,$F$4),1)</f>
        <v/>
      </c>
      <c r="N24" s="51">
        <f>(D24-INDEX(QH_q,M24,$F$4))/(INDEX(QH_q,M24+1,$F$4)-INDEX(QH_q,M24,$F$4))</f>
        <v/>
      </c>
      <c r="O24" s="50">
        <f>MATCH(F24,INDEX(QH_f2,0,$F$4),1)</f>
        <v/>
      </c>
      <c r="P24" s="51">
        <f>(F24-INDEX(QH_f2,O24,$F$4))/(INDEX(QH_f2,O24+1,$F$4)-INDEX(QH_f2,O24,$F$4))</f>
        <v/>
      </c>
    </row>
    <row r="25">
      <c r="A25" s="44" t="n">
        <v>9</v>
      </c>
      <c r="B25" s="39">
        <f>IFERROR(INDEX(Lu_Q,MATCH(A25,Lu_t,0),$C$4),0)</f>
        <v/>
      </c>
      <c r="C25" s="39">
        <f>(B24+B25)/2</f>
        <v/>
      </c>
      <c r="D25" s="39">
        <f>G24</f>
        <v/>
      </c>
      <c r="E25" s="45">
        <f>INDEX(QH_f1,M25,$F$4)+N25*(INDEX(QH_f1,M25+1,$F$4)-INDEX(QH_f1,M25,$F$4))</f>
        <v/>
      </c>
      <c r="F25" s="45">
        <f>E25+C25</f>
        <v/>
      </c>
      <c r="G25" s="46">
        <f>INDEX(QH_q,O25,$F$4)+P25*(INDEX(QH_q,O25+1,$F$4)-INDEX(QH_q,O25,$F$4))</f>
        <v/>
      </c>
      <c r="H25" s="47">
        <f>INDEX(QH_Z,O25)+P25*(INDEX(QH_Z,O25+1)-INDEX(QH_Z,O25))</f>
        <v/>
      </c>
      <c r="I25" s="48">
        <f>INDEX(QH_qtc,O25,$F$4)+P25*(INDEX(QH_qtc,O25+1,$F$4)-INDEX(QH_qtc,O25,$F$4))</f>
        <v/>
      </c>
      <c r="J25" s="49">
        <f>INDEX(QH_qsc,O25)+P25*(INDEX(QH_qsc,O25+1)-INDEX(QH_qsc,O25))</f>
        <v/>
      </c>
      <c r="K25" s="25">
        <f>INDEX(QH_V,O25)+P25*(INDEX(QH_V,O25+1)-INDEX(QH_V,O25))</f>
        <v/>
      </c>
      <c r="L25" s="39">
        <f>K25*1000000/dt_s+G25/2</f>
        <v/>
      </c>
      <c r="M25" s="50">
        <f>MATCH(D25,INDEX(QH_q,0,$F$4),1)</f>
        <v/>
      </c>
      <c r="N25" s="51">
        <f>(D25-INDEX(QH_q,M25,$F$4))/(INDEX(QH_q,M25+1,$F$4)-INDEX(QH_q,M25,$F$4))</f>
        <v/>
      </c>
      <c r="O25" s="50">
        <f>MATCH(F25,INDEX(QH_f2,0,$F$4),1)</f>
        <v/>
      </c>
      <c r="P25" s="51">
        <f>(F25-INDEX(QH_f2,O25,$F$4))/(INDEX(QH_f2,O25+1,$F$4)-INDEX(QH_f2,O25,$F$4))</f>
        <v/>
      </c>
    </row>
    <row r="26">
      <c r="A26" s="44" t="n">
        <v>10</v>
      </c>
      <c r="B26" s="39">
        <f>IFERROR(INDEX(Lu_Q,MATCH(A26,Lu_t,0),$C$4),0)</f>
        <v/>
      </c>
      <c r="C26" s="39">
        <f>(B25+B26)/2</f>
        <v/>
      </c>
      <c r="D26" s="39">
        <f>G25</f>
        <v/>
      </c>
      <c r="E26" s="45">
        <f>INDEX(QH_f1,M26,$F$4)+N26*(INDEX(QH_f1,M26+1,$F$4)-INDEX(QH_f1,M26,$F$4))</f>
        <v/>
      </c>
      <c r="F26" s="45">
        <f>E26+C26</f>
        <v/>
      </c>
      <c r="G26" s="46">
        <f>INDEX(QH_q,O26,$F$4)+P26*(INDEX(QH_q,O26+1,$F$4)-INDEX(QH_q,O26,$F$4))</f>
        <v/>
      </c>
      <c r="H26" s="47">
        <f>INDEX(QH_Z,O26)+P26*(INDEX(QH_Z,O26+1)-INDEX(QH_Z,O26))</f>
        <v/>
      </c>
      <c r="I26" s="48">
        <f>INDEX(QH_qtc,O26,$F$4)+P26*(INDEX(QH_qtc,O26+1,$F$4)-INDEX(QH_qtc,O26,$F$4))</f>
        <v/>
      </c>
      <c r="J26" s="49">
        <f>INDEX(QH_qsc,O26)+P26*(INDEX(QH_qsc,O26+1)-INDEX(QH_qsc,O26))</f>
        <v/>
      </c>
      <c r="K26" s="25">
        <f>INDEX(QH_V,O26)+P26*(INDEX(QH_V,O26+1)-INDEX(QH_V,O26))</f>
        <v/>
      </c>
      <c r="L26" s="39">
        <f>K26*1000000/dt_s+G26/2</f>
        <v/>
      </c>
      <c r="M26" s="50">
        <f>MATCH(D26,INDEX(QH_q,0,$F$4),1)</f>
        <v/>
      </c>
      <c r="N26" s="51">
        <f>(D26-INDEX(QH_q,M26,$F$4))/(INDEX(QH_q,M26+1,$F$4)-INDEX(QH_q,M26,$F$4))</f>
        <v/>
      </c>
      <c r="O26" s="50">
        <f>MATCH(F26,INDEX(QH_f2,0,$F$4),1)</f>
        <v/>
      </c>
      <c r="P26" s="51">
        <f>(F26-INDEX(QH_f2,O26,$F$4))/(INDEX(QH_f2,O26+1,$F$4)-INDEX(QH_f2,O26,$F$4))</f>
        <v/>
      </c>
    </row>
    <row r="27">
      <c r="A27" s="44" t="n">
        <v>11</v>
      </c>
      <c r="B27" s="39">
        <f>IFERROR(INDEX(Lu_Q,MATCH(A27,Lu_t,0),$C$4),0)</f>
        <v/>
      </c>
      <c r="C27" s="39">
        <f>(B26+B27)/2</f>
        <v/>
      </c>
      <c r="D27" s="39">
        <f>G26</f>
        <v/>
      </c>
      <c r="E27" s="45">
        <f>INDEX(QH_f1,M27,$F$4)+N27*(INDEX(QH_f1,M27+1,$F$4)-INDEX(QH_f1,M27,$F$4))</f>
        <v/>
      </c>
      <c r="F27" s="45">
        <f>E27+C27</f>
        <v/>
      </c>
      <c r="G27" s="46">
        <f>INDEX(QH_q,O27,$F$4)+P27*(INDEX(QH_q,O27+1,$F$4)-INDEX(QH_q,O27,$F$4))</f>
        <v/>
      </c>
      <c r="H27" s="47">
        <f>INDEX(QH_Z,O27)+P27*(INDEX(QH_Z,O27+1)-INDEX(QH_Z,O27))</f>
        <v/>
      </c>
      <c r="I27" s="48">
        <f>INDEX(QH_qtc,O27,$F$4)+P27*(INDEX(QH_qtc,O27+1,$F$4)-INDEX(QH_qtc,O27,$F$4))</f>
        <v/>
      </c>
      <c r="J27" s="49">
        <f>INDEX(QH_qsc,O27)+P27*(INDEX(QH_qsc,O27+1)-INDEX(QH_qsc,O27))</f>
        <v/>
      </c>
      <c r="K27" s="25">
        <f>INDEX(QH_V,O27)+P27*(INDEX(QH_V,O27+1)-INDEX(QH_V,O27))</f>
        <v/>
      </c>
      <c r="L27" s="39">
        <f>K27*1000000/dt_s+G27/2</f>
        <v/>
      </c>
      <c r="M27" s="50">
        <f>MATCH(D27,INDEX(QH_q,0,$F$4),1)</f>
        <v/>
      </c>
      <c r="N27" s="51">
        <f>(D27-INDEX(QH_q,M27,$F$4))/(INDEX(QH_q,M27+1,$F$4)-INDEX(QH_q,M27,$F$4))</f>
        <v/>
      </c>
      <c r="O27" s="50">
        <f>MATCH(F27,INDEX(QH_f2,0,$F$4),1)</f>
        <v/>
      </c>
      <c r="P27" s="51">
        <f>(F27-INDEX(QH_f2,O27,$F$4))/(INDEX(QH_f2,O27+1,$F$4)-INDEX(QH_f2,O27,$F$4))</f>
        <v/>
      </c>
    </row>
    <row r="28">
      <c r="A28" s="44" t="n">
        <v>12</v>
      </c>
      <c r="B28" s="39">
        <f>IFERROR(INDEX(Lu_Q,MATCH(A28,Lu_t,0),$C$4),0)</f>
        <v/>
      </c>
      <c r="C28" s="39">
        <f>(B27+B28)/2</f>
        <v/>
      </c>
      <c r="D28" s="39">
        <f>G27</f>
        <v/>
      </c>
      <c r="E28" s="45">
        <f>INDEX(QH_f1,M28,$F$4)+N28*(INDEX(QH_f1,M28+1,$F$4)-INDEX(QH_f1,M28,$F$4))</f>
        <v/>
      </c>
      <c r="F28" s="45">
        <f>E28+C28</f>
        <v/>
      </c>
      <c r="G28" s="46">
        <f>INDEX(QH_q,O28,$F$4)+P28*(INDEX(QH_q,O28+1,$F$4)-INDEX(QH_q,O28,$F$4))</f>
        <v/>
      </c>
      <c r="H28" s="47">
        <f>INDEX(QH_Z,O28)+P28*(INDEX(QH_Z,O28+1)-INDEX(QH_Z,O28))</f>
        <v/>
      </c>
      <c r="I28" s="48">
        <f>INDEX(QH_qtc,O28,$F$4)+P28*(INDEX(QH_qtc,O28+1,$F$4)-INDEX(QH_qtc,O28,$F$4))</f>
        <v/>
      </c>
      <c r="J28" s="49">
        <f>INDEX(QH_qsc,O28)+P28*(INDEX(QH_qsc,O28+1)-INDEX(QH_qsc,O28))</f>
        <v/>
      </c>
      <c r="K28" s="25">
        <f>INDEX(QH_V,O28)+P28*(INDEX(QH_V,O28+1)-INDEX(QH_V,O28))</f>
        <v/>
      </c>
      <c r="L28" s="39">
        <f>K28*1000000/dt_s+G28/2</f>
        <v/>
      </c>
      <c r="M28" s="50">
        <f>MATCH(D28,INDEX(QH_q,0,$F$4),1)</f>
        <v/>
      </c>
      <c r="N28" s="51">
        <f>(D28-INDEX(QH_q,M28,$F$4))/(INDEX(QH_q,M28+1,$F$4)-INDEX(QH_q,M28,$F$4))</f>
        <v/>
      </c>
      <c r="O28" s="50">
        <f>MATCH(F28,INDEX(QH_f2,0,$F$4),1)</f>
        <v/>
      </c>
      <c r="P28" s="51">
        <f>(F28-INDEX(QH_f2,O28,$F$4))/(INDEX(QH_f2,O28+1,$F$4)-INDEX(QH_f2,O28,$F$4))</f>
        <v/>
      </c>
    </row>
    <row r="29">
      <c r="A29" s="44" t="n">
        <v>13</v>
      </c>
      <c r="B29" s="39">
        <f>IFERROR(INDEX(Lu_Q,MATCH(A29,Lu_t,0),$C$4),0)</f>
        <v/>
      </c>
      <c r="C29" s="39">
        <f>(B28+B29)/2</f>
        <v/>
      </c>
      <c r="D29" s="39">
        <f>G28</f>
        <v/>
      </c>
      <c r="E29" s="45">
        <f>INDEX(QH_f1,M29,$F$4)+N29*(INDEX(QH_f1,M29+1,$F$4)-INDEX(QH_f1,M29,$F$4))</f>
        <v/>
      </c>
      <c r="F29" s="45">
        <f>E29+C29</f>
        <v/>
      </c>
      <c r="G29" s="46">
        <f>INDEX(QH_q,O29,$F$4)+P29*(INDEX(QH_q,O29+1,$F$4)-INDEX(QH_q,O29,$F$4))</f>
        <v/>
      </c>
      <c r="H29" s="47">
        <f>INDEX(QH_Z,O29)+P29*(INDEX(QH_Z,O29+1)-INDEX(QH_Z,O29))</f>
        <v/>
      </c>
      <c r="I29" s="48">
        <f>INDEX(QH_qtc,O29,$F$4)+P29*(INDEX(QH_qtc,O29+1,$F$4)-INDEX(QH_qtc,O29,$F$4))</f>
        <v/>
      </c>
      <c r="J29" s="49">
        <f>INDEX(QH_qsc,O29)+P29*(INDEX(QH_qsc,O29+1)-INDEX(QH_qsc,O29))</f>
        <v/>
      </c>
      <c r="K29" s="25">
        <f>INDEX(QH_V,O29)+P29*(INDEX(QH_V,O29+1)-INDEX(QH_V,O29))</f>
        <v/>
      </c>
      <c r="L29" s="39">
        <f>K29*1000000/dt_s+G29/2</f>
        <v/>
      </c>
      <c r="M29" s="50">
        <f>MATCH(D29,INDEX(QH_q,0,$F$4),1)</f>
        <v/>
      </c>
      <c r="N29" s="51">
        <f>(D29-INDEX(QH_q,M29,$F$4))/(INDEX(QH_q,M29+1,$F$4)-INDEX(QH_q,M29,$F$4))</f>
        <v/>
      </c>
      <c r="O29" s="50">
        <f>MATCH(F29,INDEX(QH_f2,0,$F$4),1)</f>
        <v/>
      </c>
      <c r="P29" s="51">
        <f>(F29-INDEX(QH_f2,O29,$F$4))/(INDEX(QH_f2,O29+1,$F$4)-INDEX(QH_f2,O29,$F$4))</f>
        <v/>
      </c>
    </row>
    <row r="30">
      <c r="A30" s="44" t="n">
        <v>14</v>
      </c>
      <c r="B30" s="39">
        <f>IFERROR(INDEX(Lu_Q,MATCH(A30,Lu_t,0),$C$4),0)</f>
        <v/>
      </c>
      <c r="C30" s="39">
        <f>(B29+B30)/2</f>
        <v/>
      </c>
      <c r="D30" s="39">
        <f>G29</f>
        <v/>
      </c>
      <c r="E30" s="45">
        <f>INDEX(QH_f1,M30,$F$4)+N30*(INDEX(QH_f1,M30+1,$F$4)-INDEX(QH_f1,M30,$F$4))</f>
        <v/>
      </c>
      <c r="F30" s="45">
        <f>E30+C30</f>
        <v/>
      </c>
      <c r="G30" s="46">
        <f>INDEX(QH_q,O30,$F$4)+P30*(INDEX(QH_q,O30+1,$F$4)-INDEX(QH_q,O30,$F$4))</f>
        <v/>
      </c>
      <c r="H30" s="47">
        <f>INDEX(QH_Z,O30)+P30*(INDEX(QH_Z,O30+1)-INDEX(QH_Z,O30))</f>
        <v/>
      </c>
      <c r="I30" s="48">
        <f>INDEX(QH_qtc,O30,$F$4)+P30*(INDEX(QH_qtc,O30+1,$F$4)-INDEX(QH_qtc,O30,$F$4))</f>
        <v/>
      </c>
      <c r="J30" s="49">
        <f>INDEX(QH_qsc,O30)+P30*(INDEX(QH_qsc,O30+1)-INDEX(QH_qsc,O30))</f>
        <v/>
      </c>
      <c r="K30" s="25">
        <f>INDEX(QH_V,O30)+P30*(INDEX(QH_V,O30+1)-INDEX(QH_V,O30))</f>
        <v/>
      </c>
      <c r="L30" s="39">
        <f>K30*1000000/dt_s+G30/2</f>
        <v/>
      </c>
      <c r="M30" s="50">
        <f>MATCH(D30,INDEX(QH_q,0,$F$4),1)</f>
        <v/>
      </c>
      <c r="N30" s="51">
        <f>(D30-INDEX(QH_q,M30,$F$4))/(INDEX(QH_q,M30+1,$F$4)-INDEX(QH_q,M30,$F$4))</f>
        <v/>
      </c>
      <c r="O30" s="50">
        <f>MATCH(F30,INDEX(QH_f2,0,$F$4),1)</f>
        <v/>
      </c>
      <c r="P30" s="51">
        <f>(F30-INDEX(QH_f2,O30,$F$4))/(INDEX(QH_f2,O30+1,$F$4)-INDEX(QH_f2,O30,$F$4))</f>
        <v/>
      </c>
    </row>
    <row r="31">
      <c r="A31" s="44" t="n">
        <v>15</v>
      </c>
      <c r="B31" s="39">
        <f>IFERROR(INDEX(Lu_Q,MATCH(A31,Lu_t,0),$C$4),0)</f>
        <v/>
      </c>
      <c r="C31" s="39">
        <f>(B30+B31)/2</f>
        <v/>
      </c>
      <c r="D31" s="39">
        <f>G30</f>
        <v/>
      </c>
      <c r="E31" s="45">
        <f>INDEX(QH_f1,M31,$F$4)+N31*(INDEX(QH_f1,M31+1,$F$4)-INDEX(QH_f1,M31,$F$4))</f>
        <v/>
      </c>
      <c r="F31" s="45">
        <f>E31+C31</f>
        <v/>
      </c>
      <c r="G31" s="46">
        <f>INDEX(QH_q,O31,$F$4)+P31*(INDEX(QH_q,O31+1,$F$4)-INDEX(QH_q,O31,$F$4))</f>
        <v/>
      </c>
      <c r="H31" s="47">
        <f>INDEX(QH_Z,O31)+P31*(INDEX(QH_Z,O31+1)-INDEX(QH_Z,O31))</f>
        <v/>
      </c>
      <c r="I31" s="48">
        <f>INDEX(QH_qtc,O31,$F$4)+P31*(INDEX(QH_qtc,O31+1,$F$4)-INDEX(QH_qtc,O31,$F$4))</f>
        <v/>
      </c>
      <c r="J31" s="49">
        <f>INDEX(QH_qsc,O31)+P31*(INDEX(QH_qsc,O31+1)-INDEX(QH_qsc,O31))</f>
        <v/>
      </c>
      <c r="K31" s="25">
        <f>INDEX(QH_V,O31)+P31*(INDEX(QH_V,O31+1)-INDEX(QH_V,O31))</f>
        <v/>
      </c>
      <c r="L31" s="39">
        <f>K31*1000000/dt_s+G31/2</f>
        <v/>
      </c>
      <c r="M31" s="50">
        <f>MATCH(D31,INDEX(QH_q,0,$F$4),1)</f>
        <v/>
      </c>
      <c r="N31" s="51">
        <f>(D31-INDEX(QH_q,M31,$F$4))/(INDEX(QH_q,M31+1,$F$4)-INDEX(QH_q,M31,$F$4))</f>
        <v/>
      </c>
      <c r="O31" s="50">
        <f>MATCH(F31,INDEX(QH_f2,0,$F$4),1)</f>
        <v/>
      </c>
      <c r="P31" s="51">
        <f>(F31-INDEX(QH_f2,O31,$F$4))/(INDEX(QH_f2,O31+1,$F$4)-INDEX(QH_f2,O31,$F$4))</f>
        <v/>
      </c>
    </row>
    <row r="32">
      <c r="A32" s="44" t="n">
        <v>16</v>
      </c>
      <c r="B32" s="39">
        <f>IFERROR(INDEX(Lu_Q,MATCH(A32,Lu_t,0),$C$4),0)</f>
        <v/>
      </c>
      <c r="C32" s="39">
        <f>(B31+B32)/2</f>
        <v/>
      </c>
      <c r="D32" s="39">
        <f>G31</f>
        <v/>
      </c>
      <c r="E32" s="45">
        <f>INDEX(QH_f1,M32,$F$4)+N32*(INDEX(QH_f1,M32+1,$F$4)-INDEX(QH_f1,M32,$F$4))</f>
        <v/>
      </c>
      <c r="F32" s="45">
        <f>E32+C32</f>
        <v/>
      </c>
      <c r="G32" s="46">
        <f>INDEX(QH_q,O32,$F$4)+P32*(INDEX(QH_q,O32+1,$F$4)-INDEX(QH_q,O32,$F$4))</f>
        <v/>
      </c>
      <c r="H32" s="47">
        <f>INDEX(QH_Z,O32)+P32*(INDEX(QH_Z,O32+1)-INDEX(QH_Z,O32))</f>
        <v/>
      </c>
      <c r="I32" s="48">
        <f>INDEX(QH_qtc,O32,$F$4)+P32*(INDEX(QH_qtc,O32+1,$F$4)-INDEX(QH_qtc,O32,$F$4))</f>
        <v/>
      </c>
      <c r="J32" s="49">
        <f>INDEX(QH_qsc,O32)+P32*(INDEX(QH_qsc,O32+1)-INDEX(QH_qsc,O32))</f>
        <v/>
      </c>
      <c r="K32" s="25">
        <f>INDEX(QH_V,O32)+P32*(INDEX(QH_V,O32+1)-INDEX(QH_V,O32))</f>
        <v/>
      </c>
      <c r="L32" s="39">
        <f>K32*1000000/dt_s+G32/2</f>
        <v/>
      </c>
      <c r="M32" s="50">
        <f>MATCH(D32,INDEX(QH_q,0,$F$4),1)</f>
        <v/>
      </c>
      <c r="N32" s="51">
        <f>(D32-INDEX(QH_q,M32,$F$4))/(INDEX(QH_q,M32+1,$F$4)-INDEX(QH_q,M32,$F$4))</f>
        <v/>
      </c>
      <c r="O32" s="50">
        <f>MATCH(F32,INDEX(QH_f2,0,$F$4),1)</f>
        <v/>
      </c>
      <c r="P32" s="51">
        <f>(F32-INDEX(QH_f2,O32,$F$4))/(INDEX(QH_f2,O32+1,$F$4)-INDEX(QH_f2,O32,$F$4))</f>
        <v/>
      </c>
    </row>
    <row r="33">
      <c r="A33" s="44" t="n">
        <v>17</v>
      </c>
      <c r="B33" s="39">
        <f>IFERROR(INDEX(Lu_Q,MATCH(A33,Lu_t,0),$C$4),0)</f>
        <v/>
      </c>
      <c r="C33" s="39">
        <f>(B32+B33)/2</f>
        <v/>
      </c>
      <c r="D33" s="39">
        <f>G32</f>
        <v/>
      </c>
      <c r="E33" s="45">
        <f>INDEX(QH_f1,M33,$F$4)+N33*(INDEX(QH_f1,M33+1,$F$4)-INDEX(QH_f1,M33,$F$4))</f>
        <v/>
      </c>
      <c r="F33" s="45">
        <f>E33+C33</f>
        <v/>
      </c>
      <c r="G33" s="46">
        <f>INDEX(QH_q,O33,$F$4)+P33*(INDEX(QH_q,O33+1,$F$4)-INDEX(QH_q,O33,$F$4))</f>
        <v/>
      </c>
      <c r="H33" s="47">
        <f>INDEX(QH_Z,O33)+P33*(INDEX(QH_Z,O33+1)-INDEX(QH_Z,O33))</f>
        <v/>
      </c>
      <c r="I33" s="48">
        <f>INDEX(QH_qtc,O33,$F$4)+P33*(INDEX(QH_qtc,O33+1,$F$4)-INDEX(QH_qtc,O33,$F$4))</f>
        <v/>
      </c>
      <c r="J33" s="49">
        <f>INDEX(QH_qsc,O33)+P33*(INDEX(QH_qsc,O33+1)-INDEX(QH_qsc,O33))</f>
        <v/>
      </c>
      <c r="K33" s="25">
        <f>INDEX(QH_V,O33)+P33*(INDEX(QH_V,O33+1)-INDEX(QH_V,O33))</f>
        <v/>
      </c>
      <c r="L33" s="39">
        <f>K33*1000000/dt_s+G33/2</f>
        <v/>
      </c>
      <c r="M33" s="50">
        <f>MATCH(D33,INDEX(QH_q,0,$F$4),1)</f>
        <v/>
      </c>
      <c r="N33" s="51">
        <f>(D33-INDEX(QH_q,M33,$F$4))/(INDEX(QH_q,M33+1,$F$4)-INDEX(QH_q,M33,$F$4))</f>
        <v/>
      </c>
      <c r="O33" s="50">
        <f>MATCH(F33,INDEX(QH_f2,0,$F$4),1)</f>
        <v/>
      </c>
      <c r="P33" s="51">
        <f>(F33-INDEX(QH_f2,O33,$F$4))/(INDEX(QH_f2,O33+1,$F$4)-INDEX(QH_f2,O33,$F$4))</f>
        <v/>
      </c>
    </row>
    <row r="34">
      <c r="A34" s="44" t="n">
        <v>18</v>
      </c>
      <c r="B34" s="39">
        <f>IFERROR(INDEX(Lu_Q,MATCH(A34,Lu_t,0),$C$4),0)</f>
        <v/>
      </c>
      <c r="C34" s="39">
        <f>(B33+B34)/2</f>
        <v/>
      </c>
      <c r="D34" s="39">
        <f>G33</f>
        <v/>
      </c>
      <c r="E34" s="45">
        <f>INDEX(QH_f1,M34,$F$4)+N34*(INDEX(QH_f1,M34+1,$F$4)-INDEX(QH_f1,M34,$F$4))</f>
        <v/>
      </c>
      <c r="F34" s="45">
        <f>E34+C34</f>
        <v/>
      </c>
      <c r="G34" s="46">
        <f>INDEX(QH_q,O34,$F$4)+P34*(INDEX(QH_q,O34+1,$F$4)-INDEX(QH_q,O34,$F$4))</f>
        <v/>
      </c>
      <c r="H34" s="47">
        <f>INDEX(QH_Z,O34)+P34*(INDEX(QH_Z,O34+1)-INDEX(QH_Z,O34))</f>
        <v/>
      </c>
      <c r="I34" s="48">
        <f>INDEX(QH_qtc,O34,$F$4)+P34*(INDEX(QH_qtc,O34+1,$F$4)-INDEX(QH_qtc,O34,$F$4))</f>
        <v/>
      </c>
      <c r="J34" s="49">
        <f>INDEX(QH_qsc,O34)+P34*(INDEX(QH_qsc,O34+1)-INDEX(QH_qsc,O34))</f>
        <v/>
      </c>
      <c r="K34" s="25">
        <f>INDEX(QH_V,O34)+P34*(INDEX(QH_V,O34+1)-INDEX(QH_V,O34))</f>
        <v/>
      </c>
      <c r="L34" s="39">
        <f>K34*1000000/dt_s+G34/2</f>
        <v/>
      </c>
      <c r="M34" s="50">
        <f>MATCH(D34,INDEX(QH_q,0,$F$4),1)</f>
        <v/>
      </c>
      <c r="N34" s="51">
        <f>(D34-INDEX(QH_q,M34,$F$4))/(INDEX(QH_q,M34+1,$F$4)-INDEX(QH_q,M34,$F$4))</f>
        <v/>
      </c>
      <c r="O34" s="50">
        <f>MATCH(F34,INDEX(QH_f2,0,$F$4),1)</f>
        <v/>
      </c>
      <c r="P34" s="51">
        <f>(F34-INDEX(QH_f2,O34,$F$4))/(INDEX(QH_f2,O34+1,$F$4)-INDEX(QH_f2,O34,$F$4))</f>
        <v/>
      </c>
    </row>
    <row r="35">
      <c r="A35" s="44" t="n">
        <v>19</v>
      </c>
      <c r="B35" s="39">
        <f>IFERROR(INDEX(Lu_Q,MATCH(A35,Lu_t,0),$C$4),0)</f>
        <v/>
      </c>
      <c r="C35" s="39">
        <f>(B34+B35)/2</f>
        <v/>
      </c>
      <c r="D35" s="39">
        <f>G34</f>
        <v/>
      </c>
      <c r="E35" s="45">
        <f>INDEX(QH_f1,M35,$F$4)+N35*(INDEX(QH_f1,M35+1,$F$4)-INDEX(QH_f1,M35,$F$4))</f>
        <v/>
      </c>
      <c r="F35" s="45">
        <f>E35+C35</f>
        <v/>
      </c>
      <c r="G35" s="46">
        <f>INDEX(QH_q,O35,$F$4)+P35*(INDEX(QH_q,O35+1,$F$4)-INDEX(QH_q,O35,$F$4))</f>
        <v/>
      </c>
      <c r="H35" s="47">
        <f>INDEX(QH_Z,O35)+P35*(INDEX(QH_Z,O35+1)-INDEX(QH_Z,O35))</f>
        <v/>
      </c>
      <c r="I35" s="48">
        <f>INDEX(QH_qtc,O35,$F$4)+P35*(INDEX(QH_qtc,O35+1,$F$4)-INDEX(QH_qtc,O35,$F$4))</f>
        <v/>
      </c>
      <c r="J35" s="49">
        <f>INDEX(QH_qsc,O35)+P35*(INDEX(QH_qsc,O35+1)-INDEX(QH_qsc,O35))</f>
        <v/>
      </c>
      <c r="K35" s="25">
        <f>INDEX(QH_V,O35)+P35*(INDEX(QH_V,O35+1)-INDEX(QH_V,O35))</f>
        <v/>
      </c>
      <c r="L35" s="39">
        <f>K35*1000000/dt_s+G35/2</f>
        <v/>
      </c>
      <c r="M35" s="50">
        <f>MATCH(D35,INDEX(QH_q,0,$F$4),1)</f>
        <v/>
      </c>
      <c r="N35" s="51">
        <f>(D35-INDEX(QH_q,M35,$F$4))/(INDEX(QH_q,M35+1,$F$4)-INDEX(QH_q,M35,$F$4))</f>
        <v/>
      </c>
      <c r="O35" s="50">
        <f>MATCH(F35,INDEX(QH_f2,0,$F$4),1)</f>
        <v/>
      </c>
      <c r="P35" s="51">
        <f>(F35-INDEX(QH_f2,O35,$F$4))/(INDEX(QH_f2,O35+1,$F$4)-INDEX(QH_f2,O35,$F$4))</f>
        <v/>
      </c>
    </row>
    <row r="36">
      <c r="A36" s="44" t="n">
        <v>20</v>
      </c>
      <c r="B36" s="39">
        <f>IFERROR(INDEX(Lu_Q,MATCH(A36,Lu_t,0),$C$4),0)</f>
        <v/>
      </c>
      <c r="C36" s="39">
        <f>(B35+B36)/2</f>
        <v/>
      </c>
      <c r="D36" s="39">
        <f>G35</f>
        <v/>
      </c>
      <c r="E36" s="45">
        <f>INDEX(QH_f1,M36,$F$4)+N36*(INDEX(QH_f1,M36+1,$F$4)-INDEX(QH_f1,M36,$F$4))</f>
        <v/>
      </c>
      <c r="F36" s="45">
        <f>E36+C36</f>
        <v/>
      </c>
      <c r="G36" s="46">
        <f>INDEX(QH_q,O36,$F$4)+P36*(INDEX(QH_q,O36+1,$F$4)-INDEX(QH_q,O36,$F$4))</f>
        <v/>
      </c>
      <c r="H36" s="47">
        <f>INDEX(QH_Z,O36)+P36*(INDEX(QH_Z,O36+1)-INDEX(QH_Z,O36))</f>
        <v/>
      </c>
      <c r="I36" s="48">
        <f>INDEX(QH_qtc,O36,$F$4)+P36*(INDEX(QH_qtc,O36+1,$F$4)-INDEX(QH_qtc,O36,$F$4))</f>
        <v/>
      </c>
      <c r="J36" s="49">
        <f>INDEX(QH_qsc,O36)+P36*(INDEX(QH_qsc,O36+1)-INDEX(QH_qsc,O36))</f>
        <v/>
      </c>
      <c r="K36" s="25">
        <f>INDEX(QH_V,O36)+P36*(INDEX(QH_V,O36+1)-INDEX(QH_V,O36))</f>
        <v/>
      </c>
      <c r="L36" s="39">
        <f>K36*1000000/dt_s+G36/2</f>
        <v/>
      </c>
      <c r="M36" s="50">
        <f>MATCH(D36,INDEX(QH_q,0,$F$4),1)</f>
        <v/>
      </c>
      <c r="N36" s="51">
        <f>(D36-INDEX(QH_q,M36,$F$4))/(INDEX(QH_q,M36+1,$F$4)-INDEX(QH_q,M36,$F$4))</f>
        <v/>
      </c>
      <c r="O36" s="50">
        <f>MATCH(F36,INDEX(QH_f2,0,$F$4),1)</f>
        <v/>
      </c>
      <c r="P36" s="51">
        <f>(F36-INDEX(QH_f2,O36,$F$4))/(INDEX(QH_f2,O36+1,$F$4)-INDEX(QH_f2,O36,$F$4))</f>
        <v/>
      </c>
    </row>
    <row r="37">
      <c r="A37" s="44" t="n">
        <v>21</v>
      </c>
      <c r="B37" s="39">
        <f>IFERROR(INDEX(Lu_Q,MATCH(A37,Lu_t,0),$C$4),0)</f>
        <v/>
      </c>
      <c r="C37" s="39">
        <f>(B36+B37)/2</f>
        <v/>
      </c>
      <c r="D37" s="39">
        <f>G36</f>
        <v/>
      </c>
      <c r="E37" s="45">
        <f>INDEX(QH_f1,M37,$F$4)+N37*(INDEX(QH_f1,M37+1,$F$4)-INDEX(QH_f1,M37,$F$4))</f>
        <v/>
      </c>
      <c r="F37" s="45">
        <f>E37+C37</f>
        <v/>
      </c>
      <c r="G37" s="46">
        <f>INDEX(QH_q,O37,$F$4)+P37*(INDEX(QH_q,O37+1,$F$4)-INDEX(QH_q,O37,$F$4))</f>
        <v/>
      </c>
      <c r="H37" s="47">
        <f>INDEX(QH_Z,O37)+P37*(INDEX(QH_Z,O37+1)-INDEX(QH_Z,O37))</f>
        <v/>
      </c>
      <c r="I37" s="48">
        <f>INDEX(QH_qtc,O37,$F$4)+P37*(INDEX(QH_qtc,O37+1,$F$4)-INDEX(QH_qtc,O37,$F$4))</f>
        <v/>
      </c>
      <c r="J37" s="49">
        <f>INDEX(QH_qsc,O37)+P37*(INDEX(QH_qsc,O37+1)-INDEX(QH_qsc,O37))</f>
        <v/>
      </c>
      <c r="K37" s="25">
        <f>INDEX(QH_V,O37)+P37*(INDEX(QH_V,O37+1)-INDEX(QH_V,O37))</f>
        <v/>
      </c>
      <c r="L37" s="39">
        <f>K37*1000000/dt_s+G37/2</f>
        <v/>
      </c>
      <c r="M37" s="50">
        <f>MATCH(D37,INDEX(QH_q,0,$F$4),1)</f>
        <v/>
      </c>
      <c r="N37" s="51">
        <f>(D37-INDEX(QH_q,M37,$F$4))/(INDEX(QH_q,M37+1,$F$4)-INDEX(QH_q,M37,$F$4))</f>
        <v/>
      </c>
      <c r="O37" s="50">
        <f>MATCH(F37,INDEX(QH_f2,0,$F$4),1)</f>
        <v/>
      </c>
      <c r="P37" s="51">
        <f>(F37-INDEX(QH_f2,O37,$F$4))/(INDEX(QH_f2,O37+1,$F$4)-INDEX(QH_f2,O37,$F$4))</f>
        <v/>
      </c>
    </row>
    <row r="38">
      <c r="A38" s="44" t="n">
        <v>22</v>
      </c>
      <c r="B38" s="39">
        <f>IFERROR(INDEX(Lu_Q,MATCH(A38,Lu_t,0),$C$4),0)</f>
        <v/>
      </c>
      <c r="C38" s="39">
        <f>(B37+B38)/2</f>
        <v/>
      </c>
      <c r="D38" s="39">
        <f>G37</f>
        <v/>
      </c>
      <c r="E38" s="45">
        <f>INDEX(QH_f1,M38,$F$4)+N38*(INDEX(QH_f1,M38+1,$F$4)-INDEX(QH_f1,M38,$F$4))</f>
        <v/>
      </c>
      <c r="F38" s="45">
        <f>E38+C38</f>
        <v/>
      </c>
      <c r="G38" s="46">
        <f>INDEX(QH_q,O38,$F$4)+P38*(INDEX(QH_q,O38+1,$F$4)-INDEX(QH_q,O38,$F$4))</f>
        <v/>
      </c>
      <c r="H38" s="47">
        <f>INDEX(QH_Z,O38)+P38*(INDEX(QH_Z,O38+1)-INDEX(QH_Z,O38))</f>
        <v/>
      </c>
      <c r="I38" s="48">
        <f>INDEX(QH_qtc,O38,$F$4)+P38*(INDEX(QH_qtc,O38+1,$F$4)-INDEX(QH_qtc,O38,$F$4))</f>
        <v/>
      </c>
      <c r="J38" s="49">
        <f>INDEX(QH_qsc,O38)+P38*(INDEX(QH_qsc,O38+1)-INDEX(QH_qsc,O38))</f>
        <v/>
      </c>
      <c r="K38" s="25">
        <f>INDEX(QH_V,O38)+P38*(INDEX(QH_V,O38+1)-INDEX(QH_V,O38))</f>
        <v/>
      </c>
      <c r="L38" s="39">
        <f>K38*1000000/dt_s+G38/2</f>
        <v/>
      </c>
      <c r="M38" s="50">
        <f>MATCH(D38,INDEX(QH_q,0,$F$4),1)</f>
        <v/>
      </c>
      <c r="N38" s="51">
        <f>(D38-INDEX(QH_q,M38,$F$4))/(INDEX(QH_q,M38+1,$F$4)-INDEX(QH_q,M38,$F$4))</f>
        <v/>
      </c>
      <c r="O38" s="50">
        <f>MATCH(F38,INDEX(QH_f2,0,$F$4),1)</f>
        <v/>
      </c>
      <c r="P38" s="51">
        <f>(F38-INDEX(QH_f2,O38,$F$4))/(INDEX(QH_f2,O38+1,$F$4)-INDEX(QH_f2,O38,$F$4))</f>
        <v/>
      </c>
    </row>
    <row r="39">
      <c r="A39" s="44" t="n">
        <v>23</v>
      </c>
      <c r="B39" s="39">
        <f>IFERROR(INDEX(Lu_Q,MATCH(A39,Lu_t,0),$C$4),0)</f>
        <v/>
      </c>
      <c r="C39" s="39">
        <f>(B38+B39)/2</f>
        <v/>
      </c>
      <c r="D39" s="39">
        <f>G38</f>
        <v/>
      </c>
      <c r="E39" s="45">
        <f>INDEX(QH_f1,M39,$F$4)+N39*(INDEX(QH_f1,M39+1,$F$4)-INDEX(QH_f1,M39,$F$4))</f>
        <v/>
      </c>
      <c r="F39" s="45">
        <f>E39+C39</f>
        <v/>
      </c>
      <c r="G39" s="46">
        <f>INDEX(QH_q,O39,$F$4)+P39*(INDEX(QH_q,O39+1,$F$4)-INDEX(QH_q,O39,$F$4))</f>
        <v/>
      </c>
      <c r="H39" s="47">
        <f>INDEX(QH_Z,O39)+P39*(INDEX(QH_Z,O39+1)-INDEX(QH_Z,O39))</f>
        <v/>
      </c>
      <c r="I39" s="48">
        <f>INDEX(QH_qtc,O39,$F$4)+P39*(INDEX(QH_qtc,O39+1,$F$4)-INDEX(QH_qtc,O39,$F$4))</f>
        <v/>
      </c>
      <c r="J39" s="49">
        <f>INDEX(QH_qsc,O39)+P39*(INDEX(QH_qsc,O39+1)-INDEX(QH_qsc,O39))</f>
        <v/>
      </c>
      <c r="K39" s="25">
        <f>INDEX(QH_V,O39)+P39*(INDEX(QH_V,O39+1)-INDEX(QH_V,O39))</f>
        <v/>
      </c>
      <c r="L39" s="39">
        <f>K39*1000000/dt_s+G39/2</f>
        <v/>
      </c>
      <c r="M39" s="50">
        <f>MATCH(D39,INDEX(QH_q,0,$F$4),1)</f>
        <v/>
      </c>
      <c r="N39" s="51">
        <f>(D39-INDEX(QH_q,M39,$F$4))/(INDEX(QH_q,M39+1,$F$4)-INDEX(QH_q,M39,$F$4))</f>
        <v/>
      </c>
      <c r="O39" s="50">
        <f>MATCH(F39,INDEX(QH_f2,0,$F$4),1)</f>
        <v/>
      </c>
      <c r="P39" s="51">
        <f>(F39-INDEX(QH_f2,O39,$F$4))/(INDEX(QH_f2,O39+1,$F$4)-INDEX(QH_f2,O39,$F$4))</f>
        <v/>
      </c>
    </row>
    <row r="40">
      <c r="A40" s="44" t="n">
        <v>24</v>
      </c>
      <c r="B40" s="39">
        <f>IFERROR(INDEX(Lu_Q,MATCH(A40,Lu_t,0),$C$4),0)</f>
        <v/>
      </c>
      <c r="C40" s="39">
        <f>(B39+B40)/2</f>
        <v/>
      </c>
      <c r="D40" s="39">
        <f>G39</f>
        <v/>
      </c>
      <c r="E40" s="45">
        <f>INDEX(QH_f1,M40,$F$4)+N40*(INDEX(QH_f1,M40+1,$F$4)-INDEX(QH_f1,M40,$F$4))</f>
        <v/>
      </c>
      <c r="F40" s="45">
        <f>E40+C40</f>
        <v/>
      </c>
      <c r="G40" s="46">
        <f>INDEX(QH_q,O40,$F$4)+P40*(INDEX(QH_q,O40+1,$F$4)-INDEX(QH_q,O40,$F$4))</f>
        <v/>
      </c>
      <c r="H40" s="47">
        <f>INDEX(QH_Z,O40)+P40*(INDEX(QH_Z,O40+1)-INDEX(QH_Z,O40))</f>
        <v/>
      </c>
      <c r="I40" s="48">
        <f>INDEX(QH_qtc,O40,$F$4)+P40*(INDEX(QH_qtc,O40+1,$F$4)-INDEX(QH_qtc,O40,$F$4))</f>
        <v/>
      </c>
      <c r="J40" s="49">
        <f>INDEX(QH_qsc,O40)+P40*(INDEX(QH_qsc,O40+1)-INDEX(QH_qsc,O40))</f>
        <v/>
      </c>
      <c r="K40" s="25">
        <f>INDEX(QH_V,O40)+P40*(INDEX(QH_V,O40+1)-INDEX(QH_V,O40))</f>
        <v/>
      </c>
      <c r="L40" s="39">
        <f>K40*1000000/dt_s+G40/2</f>
        <v/>
      </c>
      <c r="M40" s="50">
        <f>MATCH(D40,INDEX(QH_q,0,$F$4),1)</f>
        <v/>
      </c>
      <c r="N40" s="51">
        <f>(D40-INDEX(QH_q,M40,$F$4))/(INDEX(QH_q,M40+1,$F$4)-INDEX(QH_q,M40,$F$4))</f>
        <v/>
      </c>
      <c r="O40" s="50">
        <f>MATCH(F40,INDEX(QH_f2,0,$F$4),1)</f>
        <v/>
      </c>
      <c r="P40" s="51">
        <f>(F40-INDEX(QH_f2,O40,$F$4))/(INDEX(QH_f2,O40+1,$F$4)-INDEX(QH_f2,O40,$F$4))</f>
        <v/>
      </c>
    </row>
    <row r="41">
      <c r="A41" s="44" t="n">
        <v>25</v>
      </c>
      <c r="B41" s="39">
        <f>IFERROR(INDEX(Lu_Q,MATCH(A41,Lu_t,0),$C$4),0)</f>
        <v/>
      </c>
      <c r="C41" s="39">
        <f>(B40+B41)/2</f>
        <v/>
      </c>
      <c r="D41" s="39">
        <f>G40</f>
        <v/>
      </c>
      <c r="E41" s="45">
        <f>INDEX(QH_f1,M41,$F$4)+N41*(INDEX(QH_f1,M41+1,$F$4)-INDEX(QH_f1,M41,$F$4))</f>
        <v/>
      </c>
      <c r="F41" s="45">
        <f>E41+C41</f>
        <v/>
      </c>
      <c r="G41" s="46">
        <f>INDEX(QH_q,O41,$F$4)+P41*(INDEX(QH_q,O41+1,$F$4)-INDEX(QH_q,O41,$F$4))</f>
        <v/>
      </c>
      <c r="H41" s="47">
        <f>INDEX(QH_Z,O41)+P41*(INDEX(QH_Z,O41+1)-INDEX(QH_Z,O41))</f>
        <v/>
      </c>
      <c r="I41" s="48">
        <f>INDEX(QH_qtc,O41,$F$4)+P41*(INDEX(QH_qtc,O41+1,$F$4)-INDEX(QH_qtc,O41,$F$4))</f>
        <v/>
      </c>
      <c r="J41" s="49">
        <f>INDEX(QH_qsc,O41)+P41*(INDEX(QH_qsc,O41+1)-INDEX(QH_qsc,O41))</f>
        <v/>
      </c>
      <c r="K41" s="25">
        <f>INDEX(QH_V,O41)+P41*(INDEX(QH_V,O41+1)-INDEX(QH_V,O41))</f>
        <v/>
      </c>
      <c r="L41" s="39">
        <f>K41*1000000/dt_s+G41/2</f>
        <v/>
      </c>
      <c r="M41" s="50">
        <f>MATCH(D41,INDEX(QH_q,0,$F$4),1)</f>
        <v/>
      </c>
      <c r="N41" s="51">
        <f>(D41-INDEX(QH_q,M41,$F$4))/(INDEX(QH_q,M41+1,$F$4)-INDEX(QH_q,M41,$F$4))</f>
        <v/>
      </c>
      <c r="O41" s="50">
        <f>MATCH(F41,INDEX(QH_f2,0,$F$4),1)</f>
        <v/>
      </c>
      <c r="P41" s="51">
        <f>(F41-INDEX(QH_f2,O41,$F$4))/(INDEX(QH_f2,O41+1,$F$4)-INDEX(QH_f2,O41,$F$4))</f>
        <v/>
      </c>
    </row>
    <row r="42">
      <c r="A42" s="44" t="n">
        <v>26</v>
      </c>
      <c r="B42" s="39">
        <f>IFERROR(INDEX(Lu_Q,MATCH(A42,Lu_t,0),$C$4),0)</f>
        <v/>
      </c>
      <c r="C42" s="39">
        <f>(B41+B42)/2</f>
        <v/>
      </c>
      <c r="D42" s="39">
        <f>G41</f>
        <v/>
      </c>
      <c r="E42" s="45">
        <f>INDEX(QH_f1,M42,$F$4)+N42*(INDEX(QH_f1,M42+1,$F$4)-INDEX(QH_f1,M42,$F$4))</f>
        <v/>
      </c>
      <c r="F42" s="45">
        <f>E42+C42</f>
        <v/>
      </c>
      <c r="G42" s="46">
        <f>INDEX(QH_q,O42,$F$4)+P42*(INDEX(QH_q,O42+1,$F$4)-INDEX(QH_q,O42,$F$4))</f>
        <v/>
      </c>
      <c r="H42" s="47">
        <f>INDEX(QH_Z,O42)+P42*(INDEX(QH_Z,O42+1)-INDEX(QH_Z,O42))</f>
        <v/>
      </c>
      <c r="I42" s="48">
        <f>INDEX(QH_qtc,O42,$F$4)+P42*(INDEX(QH_qtc,O42+1,$F$4)-INDEX(QH_qtc,O42,$F$4))</f>
        <v/>
      </c>
      <c r="J42" s="49">
        <f>INDEX(QH_qsc,O42)+P42*(INDEX(QH_qsc,O42+1)-INDEX(QH_qsc,O42))</f>
        <v/>
      </c>
      <c r="K42" s="25">
        <f>INDEX(QH_V,O42)+P42*(INDEX(QH_V,O42+1)-INDEX(QH_V,O42))</f>
        <v/>
      </c>
      <c r="L42" s="39">
        <f>K42*1000000/dt_s+G42/2</f>
        <v/>
      </c>
      <c r="M42" s="50">
        <f>MATCH(D42,INDEX(QH_q,0,$F$4),1)</f>
        <v/>
      </c>
      <c r="N42" s="51">
        <f>(D42-INDEX(QH_q,M42,$F$4))/(INDEX(QH_q,M42+1,$F$4)-INDEX(QH_q,M42,$F$4))</f>
        <v/>
      </c>
      <c r="O42" s="50">
        <f>MATCH(F42,INDEX(QH_f2,0,$F$4),1)</f>
        <v/>
      </c>
      <c r="P42" s="51">
        <f>(F42-INDEX(QH_f2,O42,$F$4))/(INDEX(QH_f2,O42+1,$F$4)-INDEX(QH_f2,O42,$F$4))</f>
        <v/>
      </c>
    </row>
    <row r="43">
      <c r="A43" s="44" t="n">
        <v>27</v>
      </c>
      <c r="B43" s="39">
        <f>IFERROR(INDEX(Lu_Q,MATCH(A43,Lu_t,0),$C$4),0)</f>
        <v/>
      </c>
      <c r="C43" s="39">
        <f>(B42+B43)/2</f>
        <v/>
      </c>
      <c r="D43" s="39">
        <f>G42</f>
        <v/>
      </c>
      <c r="E43" s="45">
        <f>INDEX(QH_f1,M43,$F$4)+N43*(INDEX(QH_f1,M43+1,$F$4)-INDEX(QH_f1,M43,$F$4))</f>
        <v/>
      </c>
      <c r="F43" s="45">
        <f>E43+C43</f>
        <v/>
      </c>
      <c r="G43" s="46">
        <f>INDEX(QH_q,O43,$F$4)+P43*(INDEX(QH_q,O43+1,$F$4)-INDEX(QH_q,O43,$F$4))</f>
        <v/>
      </c>
      <c r="H43" s="47">
        <f>INDEX(QH_Z,O43)+P43*(INDEX(QH_Z,O43+1)-INDEX(QH_Z,O43))</f>
        <v/>
      </c>
      <c r="I43" s="48">
        <f>INDEX(QH_qtc,O43,$F$4)+P43*(INDEX(QH_qtc,O43+1,$F$4)-INDEX(QH_qtc,O43,$F$4))</f>
        <v/>
      </c>
      <c r="J43" s="49">
        <f>INDEX(QH_qsc,O43)+P43*(INDEX(QH_qsc,O43+1)-INDEX(QH_qsc,O43))</f>
        <v/>
      </c>
      <c r="K43" s="25">
        <f>INDEX(QH_V,O43)+P43*(INDEX(QH_V,O43+1)-INDEX(QH_V,O43))</f>
        <v/>
      </c>
      <c r="L43" s="39">
        <f>K43*1000000/dt_s+G43/2</f>
        <v/>
      </c>
      <c r="M43" s="50">
        <f>MATCH(D43,INDEX(QH_q,0,$F$4),1)</f>
        <v/>
      </c>
      <c r="N43" s="51">
        <f>(D43-INDEX(QH_q,M43,$F$4))/(INDEX(QH_q,M43+1,$F$4)-INDEX(QH_q,M43,$F$4))</f>
        <v/>
      </c>
      <c r="O43" s="50">
        <f>MATCH(F43,INDEX(QH_f2,0,$F$4),1)</f>
        <v/>
      </c>
      <c r="P43" s="51">
        <f>(F43-INDEX(QH_f2,O43,$F$4))/(INDEX(QH_f2,O43+1,$F$4)-INDEX(QH_f2,O43,$F$4))</f>
        <v/>
      </c>
    </row>
    <row r="44">
      <c r="A44" s="44" t="n">
        <v>28</v>
      </c>
      <c r="B44" s="39">
        <f>IFERROR(INDEX(Lu_Q,MATCH(A44,Lu_t,0),$C$4),0)</f>
        <v/>
      </c>
      <c r="C44" s="39">
        <f>(B43+B44)/2</f>
        <v/>
      </c>
      <c r="D44" s="39">
        <f>G43</f>
        <v/>
      </c>
      <c r="E44" s="45">
        <f>INDEX(QH_f1,M44,$F$4)+N44*(INDEX(QH_f1,M44+1,$F$4)-INDEX(QH_f1,M44,$F$4))</f>
        <v/>
      </c>
      <c r="F44" s="45">
        <f>E44+C44</f>
        <v/>
      </c>
      <c r="G44" s="46">
        <f>INDEX(QH_q,O44,$F$4)+P44*(INDEX(QH_q,O44+1,$F$4)-INDEX(QH_q,O44,$F$4))</f>
        <v/>
      </c>
      <c r="H44" s="47">
        <f>INDEX(QH_Z,O44)+P44*(INDEX(QH_Z,O44+1)-INDEX(QH_Z,O44))</f>
        <v/>
      </c>
      <c r="I44" s="48">
        <f>INDEX(QH_qtc,O44,$F$4)+P44*(INDEX(QH_qtc,O44+1,$F$4)-INDEX(QH_qtc,O44,$F$4))</f>
        <v/>
      </c>
      <c r="J44" s="49">
        <f>INDEX(QH_qsc,O44)+P44*(INDEX(QH_qsc,O44+1)-INDEX(QH_qsc,O44))</f>
        <v/>
      </c>
      <c r="K44" s="25">
        <f>INDEX(QH_V,O44)+P44*(INDEX(QH_V,O44+1)-INDEX(QH_V,O44))</f>
        <v/>
      </c>
      <c r="L44" s="39">
        <f>K44*1000000/dt_s+G44/2</f>
        <v/>
      </c>
      <c r="M44" s="50">
        <f>MATCH(D44,INDEX(QH_q,0,$F$4),1)</f>
        <v/>
      </c>
      <c r="N44" s="51">
        <f>(D44-INDEX(QH_q,M44,$F$4))/(INDEX(QH_q,M44+1,$F$4)-INDEX(QH_q,M44,$F$4))</f>
        <v/>
      </c>
      <c r="O44" s="50">
        <f>MATCH(F44,INDEX(QH_f2,0,$F$4),1)</f>
        <v/>
      </c>
      <c r="P44" s="51">
        <f>(F44-INDEX(QH_f2,O44,$F$4))/(INDEX(QH_f2,O44+1,$F$4)-INDEX(QH_f2,O44,$F$4))</f>
        <v/>
      </c>
    </row>
    <row r="45">
      <c r="A45" s="44" t="n">
        <v>29</v>
      </c>
      <c r="B45" s="39">
        <f>IFERROR(INDEX(Lu_Q,MATCH(A45,Lu_t,0),$C$4),0)</f>
        <v/>
      </c>
      <c r="C45" s="39">
        <f>(B44+B45)/2</f>
        <v/>
      </c>
      <c r="D45" s="39">
        <f>G44</f>
        <v/>
      </c>
      <c r="E45" s="45">
        <f>INDEX(QH_f1,M45,$F$4)+N45*(INDEX(QH_f1,M45+1,$F$4)-INDEX(QH_f1,M45,$F$4))</f>
        <v/>
      </c>
      <c r="F45" s="45">
        <f>E45+C45</f>
        <v/>
      </c>
      <c r="G45" s="46">
        <f>INDEX(QH_q,O45,$F$4)+P45*(INDEX(QH_q,O45+1,$F$4)-INDEX(QH_q,O45,$F$4))</f>
        <v/>
      </c>
      <c r="H45" s="47">
        <f>INDEX(QH_Z,O45)+P45*(INDEX(QH_Z,O45+1)-INDEX(QH_Z,O45))</f>
        <v/>
      </c>
      <c r="I45" s="48">
        <f>INDEX(QH_qtc,O45,$F$4)+P45*(INDEX(QH_qtc,O45+1,$F$4)-INDEX(QH_qtc,O45,$F$4))</f>
        <v/>
      </c>
      <c r="J45" s="49">
        <f>INDEX(QH_qsc,O45)+P45*(INDEX(QH_qsc,O45+1)-INDEX(QH_qsc,O45))</f>
        <v/>
      </c>
      <c r="K45" s="25">
        <f>INDEX(QH_V,O45)+P45*(INDEX(QH_V,O45+1)-INDEX(QH_V,O45))</f>
        <v/>
      </c>
      <c r="L45" s="39">
        <f>K45*1000000/dt_s+G45/2</f>
        <v/>
      </c>
      <c r="M45" s="50">
        <f>MATCH(D45,INDEX(QH_q,0,$F$4),1)</f>
        <v/>
      </c>
      <c r="N45" s="51">
        <f>(D45-INDEX(QH_q,M45,$F$4))/(INDEX(QH_q,M45+1,$F$4)-INDEX(QH_q,M45,$F$4))</f>
        <v/>
      </c>
      <c r="O45" s="50">
        <f>MATCH(F45,INDEX(QH_f2,0,$F$4),1)</f>
        <v/>
      </c>
      <c r="P45" s="51">
        <f>(F45-INDEX(QH_f2,O45,$F$4))/(INDEX(QH_f2,O45+1,$F$4)-INDEX(QH_f2,O45,$F$4))</f>
        <v/>
      </c>
    </row>
    <row r="46">
      <c r="A46" s="44" t="n">
        <v>30</v>
      </c>
      <c r="B46" s="39">
        <f>IFERROR(INDEX(Lu_Q,MATCH(A46,Lu_t,0),$C$4),0)</f>
        <v/>
      </c>
      <c r="C46" s="39">
        <f>(B45+B46)/2</f>
        <v/>
      </c>
      <c r="D46" s="39">
        <f>G45</f>
        <v/>
      </c>
      <c r="E46" s="45">
        <f>INDEX(QH_f1,M46,$F$4)+N46*(INDEX(QH_f1,M46+1,$F$4)-INDEX(QH_f1,M46,$F$4))</f>
        <v/>
      </c>
      <c r="F46" s="45">
        <f>E46+C46</f>
        <v/>
      </c>
      <c r="G46" s="46">
        <f>INDEX(QH_q,O46,$F$4)+P46*(INDEX(QH_q,O46+1,$F$4)-INDEX(QH_q,O46,$F$4))</f>
        <v/>
      </c>
      <c r="H46" s="47">
        <f>INDEX(QH_Z,O46)+P46*(INDEX(QH_Z,O46+1)-INDEX(QH_Z,O46))</f>
        <v/>
      </c>
      <c r="I46" s="48">
        <f>INDEX(QH_qtc,O46,$F$4)+P46*(INDEX(QH_qtc,O46+1,$F$4)-INDEX(QH_qtc,O46,$F$4))</f>
        <v/>
      </c>
      <c r="J46" s="49">
        <f>INDEX(QH_qsc,O46)+P46*(INDEX(QH_qsc,O46+1)-INDEX(QH_qsc,O46))</f>
        <v/>
      </c>
      <c r="K46" s="25">
        <f>INDEX(QH_V,O46)+P46*(INDEX(QH_V,O46+1)-INDEX(QH_V,O46))</f>
        <v/>
      </c>
      <c r="L46" s="39">
        <f>K46*1000000/dt_s+G46/2</f>
        <v/>
      </c>
      <c r="M46" s="50">
        <f>MATCH(D46,INDEX(QH_q,0,$F$4),1)</f>
        <v/>
      </c>
      <c r="N46" s="51">
        <f>(D46-INDEX(QH_q,M46,$F$4))/(INDEX(QH_q,M46+1,$F$4)-INDEX(QH_q,M46,$F$4))</f>
        <v/>
      </c>
      <c r="O46" s="50">
        <f>MATCH(F46,INDEX(QH_f2,0,$F$4),1)</f>
        <v/>
      </c>
      <c r="P46" s="51">
        <f>(F46-INDEX(QH_f2,O46,$F$4))/(INDEX(QH_f2,O46+1,$F$4)-INDEX(QH_f2,O46,$F$4))</f>
        <v/>
      </c>
    </row>
    <row r="47">
      <c r="A47" s="44" t="n">
        <v>31</v>
      </c>
      <c r="B47" s="39">
        <f>IFERROR(INDEX(Lu_Q,MATCH(A47,Lu_t,0),$C$4),0)</f>
        <v/>
      </c>
      <c r="C47" s="39">
        <f>(B46+B47)/2</f>
        <v/>
      </c>
      <c r="D47" s="39">
        <f>G46</f>
        <v/>
      </c>
      <c r="E47" s="45">
        <f>INDEX(QH_f1,M47,$F$4)+N47*(INDEX(QH_f1,M47+1,$F$4)-INDEX(QH_f1,M47,$F$4))</f>
        <v/>
      </c>
      <c r="F47" s="45">
        <f>E47+C47</f>
        <v/>
      </c>
      <c r="G47" s="46">
        <f>INDEX(QH_q,O47,$F$4)+P47*(INDEX(QH_q,O47+1,$F$4)-INDEX(QH_q,O47,$F$4))</f>
        <v/>
      </c>
      <c r="H47" s="47">
        <f>INDEX(QH_Z,O47)+P47*(INDEX(QH_Z,O47+1)-INDEX(QH_Z,O47))</f>
        <v/>
      </c>
      <c r="I47" s="48">
        <f>INDEX(QH_qtc,O47,$F$4)+P47*(INDEX(QH_qtc,O47+1,$F$4)-INDEX(QH_qtc,O47,$F$4))</f>
        <v/>
      </c>
      <c r="J47" s="49">
        <f>INDEX(QH_qsc,O47)+P47*(INDEX(QH_qsc,O47+1)-INDEX(QH_qsc,O47))</f>
        <v/>
      </c>
      <c r="K47" s="25">
        <f>INDEX(QH_V,O47)+P47*(INDEX(QH_V,O47+1)-INDEX(QH_V,O47))</f>
        <v/>
      </c>
      <c r="L47" s="39">
        <f>K47*1000000/dt_s+G47/2</f>
        <v/>
      </c>
      <c r="M47" s="50">
        <f>MATCH(D47,INDEX(QH_q,0,$F$4),1)</f>
        <v/>
      </c>
      <c r="N47" s="51">
        <f>(D47-INDEX(QH_q,M47,$F$4))/(INDEX(QH_q,M47+1,$F$4)-INDEX(QH_q,M47,$F$4))</f>
        <v/>
      </c>
      <c r="O47" s="50">
        <f>MATCH(F47,INDEX(QH_f2,0,$F$4),1)</f>
        <v/>
      </c>
      <c r="P47" s="51">
        <f>(F47-INDEX(QH_f2,O47,$F$4))/(INDEX(QH_f2,O47+1,$F$4)-INDEX(QH_f2,O47,$F$4))</f>
        <v/>
      </c>
    </row>
    <row r="48">
      <c r="A48" s="44" t="n">
        <v>32</v>
      </c>
      <c r="B48" s="39">
        <f>IFERROR(INDEX(Lu_Q,MATCH(A48,Lu_t,0),$C$4),0)</f>
        <v/>
      </c>
      <c r="C48" s="39">
        <f>(B47+B48)/2</f>
        <v/>
      </c>
      <c r="D48" s="39">
        <f>G47</f>
        <v/>
      </c>
      <c r="E48" s="45">
        <f>INDEX(QH_f1,M48,$F$4)+N48*(INDEX(QH_f1,M48+1,$F$4)-INDEX(QH_f1,M48,$F$4))</f>
        <v/>
      </c>
      <c r="F48" s="45">
        <f>E48+C48</f>
        <v/>
      </c>
      <c r="G48" s="46">
        <f>INDEX(QH_q,O48,$F$4)+P48*(INDEX(QH_q,O48+1,$F$4)-INDEX(QH_q,O48,$F$4))</f>
        <v/>
      </c>
      <c r="H48" s="47">
        <f>INDEX(QH_Z,O48)+P48*(INDEX(QH_Z,O48+1)-INDEX(QH_Z,O48))</f>
        <v/>
      </c>
      <c r="I48" s="48">
        <f>INDEX(QH_qtc,O48,$F$4)+P48*(INDEX(QH_qtc,O48+1,$F$4)-INDEX(QH_qtc,O48,$F$4))</f>
        <v/>
      </c>
      <c r="J48" s="49">
        <f>INDEX(QH_qsc,O48)+P48*(INDEX(QH_qsc,O48+1)-INDEX(QH_qsc,O48))</f>
        <v/>
      </c>
      <c r="K48" s="25">
        <f>INDEX(QH_V,O48)+P48*(INDEX(QH_V,O48+1)-INDEX(QH_V,O48))</f>
        <v/>
      </c>
      <c r="L48" s="39">
        <f>K48*1000000/dt_s+G48/2</f>
        <v/>
      </c>
      <c r="M48" s="50">
        <f>MATCH(D48,INDEX(QH_q,0,$F$4),1)</f>
        <v/>
      </c>
      <c r="N48" s="51">
        <f>(D48-INDEX(QH_q,M48,$F$4))/(INDEX(QH_q,M48+1,$F$4)-INDEX(QH_q,M48,$F$4))</f>
        <v/>
      </c>
      <c r="O48" s="50">
        <f>MATCH(F48,INDEX(QH_f2,0,$F$4),1)</f>
        <v/>
      </c>
      <c r="P48" s="51">
        <f>(F48-INDEX(QH_f2,O48,$F$4))/(INDEX(QH_f2,O48+1,$F$4)-INDEX(QH_f2,O48,$F$4))</f>
        <v/>
      </c>
    </row>
    <row r="49">
      <c r="A49" s="44" t="n">
        <v>33</v>
      </c>
      <c r="B49" s="39">
        <f>IFERROR(INDEX(Lu_Q,MATCH(A49,Lu_t,0),$C$4),0)</f>
        <v/>
      </c>
      <c r="C49" s="39">
        <f>(B48+B49)/2</f>
        <v/>
      </c>
      <c r="D49" s="39">
        <f>G48</f>
        <v/>
      </c>
      <c r="E49" s="45">
        <f>INDEX(QH_f1,M49,$F$4)+N49*(INDEX(QH_f1,M49+1,$F$4)-INDEX(QH_f1,M49,$F$4))</f>
        <v/>
      </c>
      <c r="F49" s="45">
        <f>E49+C49</f>
        <v/>
      </c>
      <c r="G49" s="46">
        <f>INDEX(QH_q,O49,$F$4)+P49*(INDEX(QH_q,O49+1,$F$4)-INDEX(QH_q,O49,$F$4))</f>
        <v/>
      </c>
      <c r="H49" s="47">
        <f>INDEX(QH_Z,O49)+P49*(INDEX(QH_Z,O49+1)-INDEX(QH_Z,O49))</f>
        <v/>
      </c>
      <c r="I49" s="48">
        <f>INDEX(QH_qtc,O49,$F$4)+P49*(INDEX(QH_qtc,O49+1,$F$4)-INDEX(QH_qtc,O49,$F$4))</f>
        <v/>
      </c>
      <c r="J49" s="49">
        <f>INDEX(QH_qsc,O49)+P49*(INDEX(QH_qsc,O49+1)-INDEX(QH_qsc,O49))</f>
        <v/>
      </c>
      <c r="K49" s="25">
        <f>INDEX(QH_V,O49)+P49*(INDEX(QH_V,O49+1)-INDEX(QH_V,O49))</f>
        <v/>
      </c>
      <c r="L49" s="39">
        <f>K49*1000000/dt_s+G49/2</f>
        <v/>
      </c>
      <c r="M49" s="50">
        <f>MATCH(D49,INDEX(QH_q,0,$F$4),1)</f>
        <v/>
      </c>
      <c r="N49" s="51">
        <f>(D49-INDEX(QH_q,M49,$F$4))/(INDEX(QH_q,M49+1,$F$4)-INDEX(QH_q,M49,$F$4))</f>
        <v/>
      </c>
      <c r="O49" s="50">
        <f>MATCH(F49,INDEX(QH_f2,0,$F$4),1)</f>
        <v/>
      </c>
      <c r="P49" s="51">
        <f>(F49-INDEX(QH_f2,O49,$F$4))/(INDEX(QH_f2,O49+1,$F$4)-INDEX(QH_f2,O49,$F$4))</f>
        <v/>
      </c>
    </row>
    <row r="50">
      <c r="A50" s="44" t="n">
        <v>34</v>
      </c>
      <c r="B50" s="39">
        <f>IFERROR(INDEX(Lu_Q,MATCH(A50,Lu_t,0),$C$4),0)</f>
        <v/>
      </c>
      <c r="C50" s="39">
        <f>(B49+B50)/2</f>
        <v/>
      </c>
      <c r="D50" s="39">
        <f>G49</f>
        <v/>
      </c>
      <c r="E50" s="45">
        <f>INDEX(QH_f1,M50,$F$4)+N50*(INDEX(QH_f1,M50+1,$F$4)-INDEX(QH_f1,M50,$F$4))</f>
        <v/>
      </c>
      <c r="F50" s="45">
        <f>E50+C50</f>
        <v/>
      </c>
      <c r="G50" s="46">
        <f>INDEX(QH_q,O50,$F$4)+P50*(INDEX(QH_q,O50+1,$F$4)-INDEX(QH_q,O50,$F$4))</f>
        <v/>
      </c>
      <c r="H50" s="47">
        <f>INDEX(QH_Z,O50)+P50*(INDEX(QH_Z,O50+1)-INDEX(QH_Z,O50))</f>
        <v/>
      </c>
      <c r="I50" s="48">
        <f>INDEX(QH_qtc,O50,$F$4)+P50*(INDEX(QH_qtc,O50+1,$F$4)-INDEX(QH_qtc,O50,$F$4))</f>
        <v/>
      </c>
      <c r="J50" s="49">
        <f>INDEX(QH_qsc,O50)+P50*(INDEX(QH_qsc,O50+1)-INDEX(QH_qsc,O50))</f>
        <v/>
      </c>
      <c r="K50" s="25">
        <f>INDEX(QH_V,O50)+P50*(INDEX(QH_V,O50+1)-INDEX(QH_V,O50))</f>
        <v/>
      </c>
      <c r="L50" s="39">
        <f>K50*1000000/dt_s+G50/2</f>
        <v/>
      </c>
      <c r="M50" s="50">
        <f>MATCH(D50,INDEX(QH_q,0,$F$4),1)</f>
        <v/>
      </c>
      <c r="N50" s="51">
        <f>(D50-INDEX(QH_q,M50,$F$4))/(INDEX(QH_q,M50+1,$F$4)-INDEX(QH_q,M50,$F$4))</f>
        <v/>
      </c>
      <c r="O50" s="50">
        <f>MATCH(F50,INDEX(QH_f2,0,$F$4),1)</f>
        <v/>
      </c>
      <c r="P50" s="51">
        <f>(F50-INDEX(QH_f2,O50,$F$4))/(INDEX(QH_f2,O50+1,$F$4)-INDEX(QH_f2,O50,$F$4))</f>
        <v/>
      </c>
    </row>
    <row r="51">
      <c r="A51" s="44" t="n">
        <v>35</v>
      </c>
      <c r="B51" s="39">
        <f>IFERROR(INDEX(Lu_Q,MATCH(A51,Lu_t,0),$C$4),0)</f>
        <v/>
      </c>
      <c r="C51" s="39">
        <f>(B50+B51)/2</f>
        <v/>
      </c>
      <c r="D51" s="39">
        <f>G50</f>
        <v/>
      </c>
      <c r="E51" s="45">
        <f>INDEX(QH_f1,M51,$F$4)+N51*(INDEX(QH_f1,M51+1,$F$4)-INDEX(QH_f1,M51,$F$4))</f>
        <v/>
      </c>
      <c r="F51" s="45">
        <f>E51+C51</f>
        <v/>
      </c>
      <c r="G51" s="46">
        <f>INDEX(QH_q,O51,$F$4)+P51*(INDEX(QH_q,O51+1,$F$4)-INDEX(QH_q,O51,$F$4))</f>
        <v/>
      </c>
      <c r="H51" s="47">
        <f>INDEX(QH_Z,O51)+P51*(INDEX(QH_Z,O51+1)-INDEX(QH_Z,O51))</f>
        <v/>
      </c>
      <c r="I51" s="48">
        <f>INDEX(QH_qtc,O51,$F$4)+P51*(INDEX(QH_qtc,O51+1,$F$4)-INDEX(QH_qtc,O51,$F$4))</f>
        <v/>
      </c>
      <c r="J51" s="49">
        <f>INDEX(QH_qsc,O51)+P51*(INDEX(QH_qsc,O51+1)-INDEX(QH_qsc,O51))</f>
        <v/>
      </c>
      <c r="K51" s="25">
        <f>INDEX(QH_V,O51)+P51*(INDEX(QH_V,O51+1)-INDEX(QH_V,O51))</f>
        <v/>
      </c>
      <c r="L51" s="39">
        <f>K51*1000000/dt_s+G51/2</f>
        <v/>
      </c>
      <c r="M51" s="50">
        <f>MATCH(D51,INDEX(QH_q,0,$F$4),1)</f>
        <v/>
      </c>
      <c r="N51" s="51">
        <f>(D51-INDEX(QH_q,M51,$F$4))/(INDEX(QH_q,M51+1,$F$4)-INDEX(QH_q,M51,$F$4))</f>
        <v/>
      </c>
      <c r="O51" s="50">
        <f>MATCH(F51,INDEX(QH_f2,0,$F$4),1)</f>
        <v/>
      </c>
      <c r="P51" s="51">
        <f>(F51-INDEX(QH_f2,O51,$F$4))/(INDEX(QH_f2,O51+1,$F$4)-INDEX(QH_f2,O51,$F$4))</f>
        <v/>
      </c>
    </row>
    <row r="52">
      <c r="A52" s="44" t="n">
        <v>36</v>
      </c>
      <c r="B52" s="39">
        <f>IFERROR(INDEX(Lu_Q,MATCH(A52,Lu_t,0),$C$4),0)</f>
        <v/>
      </c>
      <c r="C52" s="39">
        <f>(B51+B52)/2</f>
        <v/>
      </c>
      <c r="D52" s="39">
        <f>G51</f>
        <v/>
      </c>
      <c r="E52" s="45">
        <f>INDEX(QH_f1,M52,$F$4)+N52*(INDEX(QH_f1,M52+1,$F$4)-INDEX(QH_f1,M52,$F$4))</f>
        <v/>
      </c>
      <c r="F52" s="45">
        <f>E52+C52</f>
        <v/>
      </c>
      <c r="G52" s="46">
        <f>INDEX(QH_q,O52,$F$4)+P52*(INDEX(QH_q,O52+1,$F$4)-INDEX(QH_q,O52,$F$4))</f>
        <v/>
      </c>
      <c r="H52" s="47">
        <f>INDEX(QH_Z,O52)+P52*(INDEX(QH_Z,O52+1)-INDEX(QH_Z,O52))</f>
        <v/>
      </c>
      <c r="I52" s="48">
        <f>INDEX(QH_qtc,O52,$F$4)+P52*(INDEX(QH_qtc,O52+1,$F$4)-INDEX(QH_qtc,O52,$F$4))</f>
        <v/>
      </c>
      <c r="J52" s="49">
        <f>INDEX(QH_qsc,O52)+P52*(INDEX(QH_qsc,O52+1)-INDEX(QH_qsc,O52))</f>
        <v/>
      </c>
      <c r="K52" s="25">
        <f>INDEX(QH_V,O52)+P52*(INDEX(QH_V,O52+1)-INDEX(QH_V,O52))</f>
        <v/>
      </c>
      <c r="L52" s="39">
        <f>K52*1000000/dt_s+G52/2</f>
        <v/>
      </c>
      <c r="M52" s="50">
        <f>MATCH(D52,INDEX(QH_q,0,$F$4),1)</f>
        <v/>
      </c>
      <c r="N52" s="51">
        <f>(D52-INDEX(QH_q,M52,$F$4))/(INDEX(QH_q,M52+1,$F$4)-INDEX(QH_q,M52,$F$4))</f>
        <v/>
      </c>
      <c r="O52" s="50">
        <f>MATCH(F52,INDEX(QH_f2,0,$F$4),1)</f>
        <v/>
      </c>
      <c r="P52" s="51">
        <f>(F52-INDEX(QH_f2,O52,$F$4))/(INDEX(QH_f2,O52+1,$F$4)-INDEX(QH_f2,O52,$F$4))</f>
        <v/>
      </c>
    </row>
    <row r="53">
      <c r="A53" s="44" t="n">
        <v>37</v>
      </c>
      <c r="B53" s="39">
        <f>IFERROR(INDEX(Lu_Q,MATCH(A53,Lu_t,0),$C$4),0)</f>
        <v/>
      </c>
      <c r="C53" s="39">
        <f>(B52+B53)/2</f>
        <v/>
      </c>
      <c r="D53" s="39">
        <f>G52</f>
        <v/>
      </c>
      <c r="E53" s="45">
        <f>INDEX(QH_f1,M53,$F$4)+N53*(INDEX(QH_f1,M53+1,$F$4)-INDEX(QH_f1,M53,$F$4))</f>
        <v/>
      </c>
      <c r="F53" s="45">
        <f>E53+C53</f>
        <v/>
      </c>
      <c r="G53" s="46">
        <f>INDEX(QH_q,O53,$F$4)+P53*(INDEX(QH_q,O53+1,$F$4)-INDEX(QH_q,O53,$F$4))</f>
        <v/>
      </c>
      <c r="H53" s="47">
        <f>INDEX(QH_Z,O53)+P53*(INDEX(QH_Z,O53+1)-INDEX(QH_Z,O53))</f>
        <v/>
      </c>
      <c r="I53" s="48">
        <f>INDEX(QH_qtc,O53,$F$4)+P53*(INDEX(QH_qtc,O53+1,$F$4)-INDEX(QH_qtc,O53,$F$4))</f>
        <v/>
      </c>
      <c r="J53" s="49">
        <f>INDEX(QH_qsc,O53)+P53*(INDEX(QH_qsc,O53+1)-INDEX(QH_qsc,O53))</f>
        <v/>
      </c>
      <c r="K53" s="25">
        <f>INDEX(QH_V,O53)+P53*(INDEX(QH_V,O53+1)-INDEX(QH_V,O53))</f>
        <v/>
      </c>
      <c r="L53" s="39">
        <f>K53*1000000/dt_s+G53/2</f>
        <v/>
      </c>
      <c r="M53" s="50">
        <f>MATCH(D53,INDEX(QH_q,0,$F$4),1)</f>
        <v/>
      </c>
      <c r="N53" s="51">
        <f>(D53-INDEX(QH_q,M53,$F$4))/(INDEX(QH_q,M53+1,$F$4)-INDEX(QH_q,M53,$F$4))</f>
        <v/>
      </c>
      <c r="O53" s="50">
        <f>MATCH(F53,INDEX(QH_f2,0,$F$4),1)</f>
        <v/>
      </c>
      <c r="P53" s="51">
        <f>(F53-INDEX(QH_f2,O53,$F$4))/(INDEX(QH_f2,O53+1,$F$4)-INDEX(QH_f2,O53,$F$4))</f>
        <v/>
      </c>
    </row>
    <row r="54">
      <c r="A54" s="44" t="n">
        <v>38</v>
      </c>
      <c r="B54" s="39">
        <f>IFERROR(INDEX(Lu_Q,MATCH(A54,Lu_t,0),$C$4),0)</f>
        <v/>
      </c>
      <c r="C54" s="39">
        <f>(B53+B54)/2</f>
        <v/>
      </c>
      <c r="D54" s="39">
        <f>G53</f>
        <v/>
      </c>
      <c r="E54" s="45">
        <f>INDEX(QH_f1,M54,$F$4)+N54*(INDEX(QH_f1,M54+1,$F$4)-INDEX(QH_f1,M54,$F$4))</f>
        <v/>
      </c>
      <c r="F54" s="45">
        <f>E54+C54</f>
        <v/>
      </c>
      <c r="G54" s="46">
        <f>INDEX(QH_q,O54,$F$4)+P54*(INDEX(QH_q,O54+1,$F$4)-INDEX(QH_q,O54,$F$4))</f>
        <v/>
      </c>
      <c r="H54" s="47">
        <f>INDEX(QH_Z,O54)+P54*(INDEX(QH_Z,O54+1)-INDEX(QH_Z,O54))</f>
        <v/>
      </c>
      <c r="I54" s="48">
        <f>INDEX(QH_qtc,O54,$F$4)+P54*(INDEX(QH_qtc,O54+1,$F$4)-INDEX(QH_qtc,O54,$F$4))</f>
        <v/>
      </c>
      <c r="J54" s="49">
        <f>INDEX(QH_qsc,O54)+P54*(INDEX(QH_qsc,O54+1)-INDEX(QH_qsc,O54))</f>
        <v/>
      </c>
      <c r="K54" s="25">
        <f>INDEX(QH_V,O54)+P54*(INDEX(QH_V,O54+1)-INDEX(QH_V,O54))</f>
        <v/>
      </c>
      <c r="L54" s="39">
        <f>K54*1000000/dt_s+G54/2</f>
        <v/>
      </c>
      <c r="M54" s="50">
        <f>MATCH(D54,INDEX(QH_q,0,$F$4),1)</f>
        <v/>
      </c>
      <c r="N54" s="51">
        <f>(D54-INDEX(QH_q,M54,$F$4))/(INDEX(QH_q,M54+1,$F$4)-INDEX(QH_q,M54,$F$4))</f>
        <v/>
      </c>
      <c r="O54" s="50">
        <f>MATCH(F54,INDEX(QH_f2,0,$F$4),1)</f>
        <v/>
      </c>
      <c r="P54" s="51">
        <f>(F54-INDEX(QH_f2,O54,$F$4))/(INDEX(QH_f2,O54+1,$F$4)-INDEX(QH_f2,O54,$F$4))</f>
        <v/>
      </c>
    </row>
    <row r="55">
      <c r="A55" s="44" t="n">
        <v>39</v>
      </c>
      <c r="B55" s="39">
        <f>IFERROR(INDEX(Lu_Q,MATCH(A55,Lu_t,0),$C$4),0)</f>
        <v/>
      </c>
      <c r="C55" s="39">
        <f>(B54+B55)/2</f>
        <v/>
      </c>
      <c r="D55" s="39">
        <f>G54</f>
        <v/>
      </c>
      <c r="E55" s="45">
        <f>INDEX(QH_f1,M55,$F$4)+N55*(INDEX(QH_f1,M55+1,$F$4)-INDEX(QH_f1,M55,$F$4))</f>
        <v/>
      </c>
      <c r="F55" s="45">
        <f>E55+C55</f>
        <v/>
      </c>
      <c r="G55" s="46">
        <f>INDEX(QH_q,O55,$F$4)+P55*(INDEX(QH_q,O55+1,$F$4)-INDEX(QH_q,O55,$F$4))</f>
        <v/>
      </c>
      <c r="H55" s="47">
        <f>INDEX(QH_Z,O55)+P55*(INDEX(QH_Z,O55+1)-INDEX(QH_Z,O55))</f>
        <v/>
      </c>
      <c r="I55" s="48">
        <f>INDEX(QH_qtc,O55,$F$4)+P55*(INDEX(QH_qtc,O55+1,$F$4)-INDEX(QH_qtc,O55,$F$4))</f>
        <v/>
      </c>
      <c r="J55" s="49">
        <f>INDEX(QH_qsc,O55)+P55*(INDEX(QH_qsc,O55+1)-INDEX(QH_qsc,O55))</f>
        <v/>
      </c>
      <c r="K55" s="25">
        <f>INDEX(QH_V,O55)+P55*(INDEX(QH_V,O55+1)-INDEX(QH_V,O55))</f>
        <v/>
      </c>
      <c r="L55" s="39">
        <f>K55*1000000/dt_s+G55/2</f>
        <v/>
      </c>
      <c r="M55" s="50">
        <f>MATCH(D55,INDEX(QH_q,0,$F$4),1)</f>
        <v/>
      </c>
      <c r="N55" s="51">
        <f>(D55-INDEX(QH_q,M55,$F$4))/(INDEX(QH_q,M55+1,$F$4)-INDEX(QH_q,M55,$F$4))</f>
        <v/>
      </c>
      <c r="O55" s="50">
        <f>MATCH(F55,INDEX(QH_f2,0,$F$4),1)</f>
        <v/>
      </c>
      <c r="P55" s="51">
        <f>(F55-INDEX(QH_f2,O55,$F$4))/(INDEX(QH_f2,O55+1,$F$4)-INDEX(QH_f2,O55,$F$4))</f>
        <v/>
      </c>
    </row>
    <row r="56">
      <c r="A56" s="44" t="n">
        <v>40</v>
      </c>
      <c r="B56" s="39">
        <f>IFERROR(INDEX(Lu_Q,MATCH(A56,Lu_t,0),$C$4),0)</f>
        <v/>
      </c>
      <c r="C56" s="39">
        <f>(B55+B56)/2</f>
        <v/>
      </c>
      <c r="D56" s="39">
        <f>G55</f>
        <v/>
      </c>
      <c r="E56" s="45">
        <f>INDEX(QH_f1,M56,$F$4)+N56*(INDEX(QH_f1,M56+1,$F$4)-INDEX(QH_f1,M56,$F$4))</f>
        <v/>
      </c>
      <c r="F56" s="45">
        <f>E56+C56</f>
        <v/>
      </c>
      <c r="G56" s="46">
        <f>INDEX(QH_q,O56,$F$4)+P56*(INDEX(QH_q,O56+1,$F$4)-INDEX(QH_q,O56,$F$4))</f>
        <v/>
      </c>
      <c r="H56" s="47">
        <f>INDEX(QH_Z,O56)+P56*(INDEX(QH_Z,O56+1)-INDEX(QH_Z,O56))</f>
        <v/>
      </c>
      <c r="I56" s="48">
        <f>INDEX(QH_qtc,O56,$F$4)+P56*(INDEX(QH_qtc,O56+1,$F$4)-INDEX(QH_qtc,O56,$F$4))</f>
        <v/>
      </c>
      <c r="J56" s="49">
        <f>INDEX(QH_qsc,O56)+P56*(INDEX(QH_qsc,O56+1)-INDEX(QH_qsc,O56))</f>
        <v/>
      </c>
      <c r="K56" s="25">
        <f>INDEX(QH_V,O56)+P56*(INDEX(QH_V,O56+1)-INDEX(QH_V,O56))</f>
        <v/>
      </c>
      <c r="L56" s="39">
        <f>K56*1000000/dt_s+G56/2</f>
        <v/>
      </c>
      <c r="M56" s="50">
        <f>MATCH(D56,INDEX(QH_q,0,$F$4),1)</f>
        <v/>
      </c>
      <c r="N56" s="51">
        <f>(D56-INDEX(QH_q,M56,$F$4))/(INDEX(QH_q,M56+1,$F$4)-INDEX(QH_q,M56,$F$4))</f>
        <v/>
      </c>
      <c r="O56" s="50">
        <f>MATCH(F56,INDEX(QH_f2,0,$F$4),1)</f>
        <v/>
      </c>
      <c r="P56" s="51">
        <f>(F56-INDEX(QH_f2,O56,$F$4))/(INDEX(QH_f2,O56+1,$F$4)-INDEX(QH_f2,O56,$F$4))</f>
        <v/>
      </c>
    </row>
    <row r="57">
      <c r="A57" s="44" t="n">
        <v>41</v>
      </c>
      <c r="B57" s="39">
        <f>IFERROR(INDEX(Lu_Q,MATCH(A57,Lu_t,0),$C$4),0)</f>
        <v/>
      </c>
      <c r="C57" s="39">
        <f>(B56+B57)/2</f>
        <v/>
      </c>
      <c r="D57" s="39">
        <f>G56</f>
        <v/>
      </c>
      <c r="E57" s="45">
        <f>INDEX(QH_f1,M57,$F$4)+N57*(INDEX(QH_f1,M57+1,$F$4)-INDEX(QH_f1,M57,$F$4))</f>
        <v/>
      </c>
      <c r="F57" s="45">
        <f>E57+C57</f>
        <v/>
      </c>
      <c r="G57" s="46">
        <f>INDEX(QH_q,O57,$F$4)+P57*(INDEX(QH_q,O57+1,$F$4)-INDEX(QH_q,O57,$F$4))</f>
        <v/>
      </c>
      <c r="H57" s="47">
        <f>INDEX(QH_Z,O57)+P57*(INDEX(QH_Z,O57+1)-INDEX(QH_Z,O57))</f>
        <v/>
      </c>
      <c r="I57" s="48">
        <f>INDEX(QH_qtc,O57,$F$4)+P57*(INDEX(QH_qtc,O57+1,$F$4)-INDEX(QH_qtc,O57,$F$4))</f>
        <v/>
      </c>
      <c r="J57" s="49">
        <f>INDEX(QH_qsc,O57)+P57*(INDEX(QH_qsc,O57+1)-INDEX(QH_qsc,O57))</f>
        <v/>
      </c>
      <c r="K57" s="25">
        <f>INDEX(QH_V,O57)+P57*(INDEX(QH_V,O57+1)-INDEX(QH_V,O57))</f>
        <v/>
      </c>
      <c r="L57" s="39">
        <f>K57*1000000/dt_s+G57/2</f>
        <v/>
      </c>
      <c r="M57" s="50">
        <f>MATCH(D57,INDEX(QH_q,0,$F$4),1)</f>
        <v/>
      </c>
      <c r="N57" s="51">
        <f>(D57-INDEX(QH_q,M57,$F$4))/(INDEX(QH_q,M57+1,$F$4)-INDEX(QH_q,M57,$F$4))</f>
        <v/>
      </c>
      <c r="O57" s="50">
        <f>MATCH(F57,INDEX(QH_f2,0,$F$4),1)</f>
        <v/>
      </c>
      <c r="P57" s="51">
        <f>(F57-INDEX(QH_f2,O57,$F$4))/(INDEX(QH_f2,O57+1,$F$4)-INDEX(QH_f2,O57,$F$4))</f>
        <v/>
      </c>
    </row>
    <row r="58">
      <c r="A58" s="44" t="n">
        <v>42</v>
      </c>
      <c r="B58" s="39">
        <f>IFERROR(INDEX(Lu_Q,MATCH(A58,Lu_t,0),$C$4),0)</f>
        <v/>
      </c>
      <c r="C58" s="39">
        <f>(B57+B58)/2</f>
        <v/>
      </c>
      <c r="D58" s="39">
        <f>G57</f>
        <v/>
      </c>
      <c r="E58" s="45">
        <f>INDEX(QH_f1,M58,$F$4)+N58*(INDEX(QH_f1,M58+1,$F$4)-INDEX(QH_f1,M58,$F$4))</f>
        <v/>
      </c>
      <c r="F58" s="45">
        <f>E58+C58</f>
        <v/>
      </c>
      <c r="G58" s="46">
        <f>INDEX(QH_q,O58,$F$4)+P58*(INDEX(QH_q,O58+1,$F$4)-INDEX(QH_q,O58,$F$4))</f>
        <v/>
      </c>
      <c r="H58" s="47">
        <f>INDEX(QH_Z,O58)+P58*(INDEX(QH_Z,O58+1)-INDEX(QH_Z,O58))</f>
        <v/>
      </c>
      <c r="I58" s="48">
        <f>INDEX(QH_qtc,O58,$F$4)+P58*(INDEX(QH_qtc,O58+1,$F$4)-INDEX(QH_qtc,O58,$F$4))</f>
        <v/>
      </c>
      <c r="J58" s="49">
        <f>INDEX(QH_qsc,O58)+P58*(INDEX(QH_qsc,O58+1)-INDEX(QH_qsc,O58))</f>
        <v/>
      </c>
      <c r="K58" s="25">
        <f>INDEX(QH_V,O58)+P58*(INDEX(QH_V,O58+1)-INDEX(QH_V,O58))</f>
        <v/>
      </c>
      <c r="L58" s="39">
        <f>K58*1000000/dt_s+G58/2</f>
        <v/>
      </c>
      <c r="M58" s="50">
        <f>MATCH(D58,INDEX(QH_q,0,$F$4),1)</f>
        <v/>
      </c>
      <c r="N58" s="51">
        <f>(D58-INDEX(QH_q,M58,$F$4))/(INDEX(QH_q,M58+1,$F$4)-INDEX(QH_q,M58,$F$4))</f>
        <v/>
      </c>
      <c r="O58" s="50">
        <f>MATCH(F58,INDEX(QH_f2,0,$F$4),1)</f>
        <v/>
      </c>
      <c r="P58" s="51">
        <f>(F58-INDEX(QH_f2,O58,$F$4))/(INDEX(QH_f2,O58+1,$F$4)-INDEX(QH_f2,O58,$F$4))</f>
        <v/>
      </c>
    </row>
    <row r="59">
      <c r="A59" s="44" t="n">
        <v>43</v>
      </c>
      <c r="B59" s="39">
        <f>IFERROR(INDEX(Lu_Q,MATCH(A59,Lu_t,0),$C$4),0)</f>
        <v/>
      </c>
      <c r="C59" s="39">
        <f>(B58+B59)/2</f>
        <v/>
      </c>
      <c r="D59" s="39">
        <f>G58</f>
        <v/>
      </c>
      <c r="E59" s="45">
        <f>INDEX(QH_f1,M59,$F$4)+N59*(INDEX(QH_f1,M59+1,$F$4)-INDEX(QH_f1,M59,$F$4))</f>
        <v/>
      </c>
      <c r="F59" s="45">
        <f>E59+C59</f>
        <v/>
      </c>
      <c r="G59" s="46">
        <f>INDEX(QH_q,O59,$F$4)+P59*(INDEX(QH_q,O59+1,$F$4)-INDEX(QH_q,O59,$F$4))</f>
        <v/>
      </c>
      <c r="H59" s="47">
        <f>INDEX(QH_Z,O59)+P59*(INDEX(QH_Z,O59+1)-INDEX(QH_Z,O59))</f>
        <v/>
      </c>
      <c r="I59" s="48">
        <f>INDEX(QH_qtc,O59,$F$4)+P59*(INDEX(QH_qtc,O59+1,$F$4)-INDEX(QH_qtc,O59,$F$4))</f>
        <v/>
      </c>
      <c r="J59" s="49">
        <f>INDEX(QH_qsc,O59)+P59*(INDEX(QH_qsc,O59+1)-INDEX(QH_qsc,O59))</f>
        <v/>
      </c>
      <c r="K59" s="25">
        <f>INDEX(QH_V,O59)+P59*(INDEX(QH_V,O59+1)-INDEX(QH_V,O59))</f>
        <v/>
      </c>
      <c r="L59" s="39">
        <f>K59*1000000/dt_s+G59/2</f>
        <v/>
      </c>
      <c r="M59" s="50">
        <f>MATCH(D59,INDEX(QH_q,0,$F$4),1)</f>
        <v/>
      </c>
      <c r="N59" s="51">
        <f>(D59-INDEX(QH_q,M59,$F$4))/(INDEX(QH_q,M59+1,$F$4)-INDEX(QH_q,M59,$F$4))</f>
        <v/>
      </c>
      <c r="O59" s="50">
        <f>MATCH(F59,INDEX(QH_f2,0,$F$4),1)</f>
        <v/>
      </c>
      <c r="P59" s="51">
        <f>(F59-INDEX(QH_f2,O59,$F$4))/(INDEX(QH_f2,O59+1,$F$4)-INDEX(QH_f2,O59,$F$4))</f>
        <v/>
      </c>
    </row>
    <row r="60">
      <c r="A60" s="44" t="n">
        <v>44</v>
      </c>
      <c r="B60" s="39">
        <f>IFERROR(INDEX(Lu_Q,MATCH(A60,Lu_t,0),$C$4),0)</f>
        <v/>
      </c>
      <c r="C60" s="39">
        <f>(B59+B60)/2</f>
        <v/>
      </c>
      <c r="D60" s="39">
        <f>G59</f>
        <v/>
      </c>
      <c r="E60" s="45">
        <f>INDEX(QH_f1,M60,$F$4)+N60*(INDEX(QH_f1,M60+1,$F$4)-INDEX(QH_f1,M60,$F$4))</f>
        <v/>
      </c>
      <c r="F60" s="45">
        <f>E60+C60</f>
        <v/>
      </c>
      <c r="G60" s="46">
        <f>INDEX(QH_q,O60,$F$4)+P60*(INDEX(QH_q,O60+1,$F$4)-INDEX(QH_q,O60,$F$4))</f>
        <v/>
      </c>
      <c r="H60" s="47">
        <f>INDEX(QH_Z,O60)+P60*(INDEX(QH_Z,O60+1)-INDEX(QH_Z,O60))</f>
        <v/>
      </c>
      <c r="I60" s="48">
        <f>INDEX(QH_qtc,O60,$F$4)+P60*(INDEX(QH_qtc,O60+1,$F$4)-INDEX(QH_qtc,O60,$F$4))</f>
        <v/>
      </c>
      <c r="J60" s="49">
        <f>INDEX(QH_qsc,O60)+P60*(INDEX(QH_qsc,O60+1)-INDEX(QH_qsc,O60))</f>
        <v/>
      </c>
      <c r="K60" s="25">
        <f>INDEX(QH_V,O60)+P60*(INDEX(QH_V,O60+1)-INDEX(QH_V,O60))</f>
        <v/>
      </c>
      <c r="L60" s="39">
        <f>K60*1000000/dt_s+G60/2</f>
        <v/>
      </c>
      <c r="M60" s="50">
        <f>MATCH(D60,INDEX(QH_q,0,$F$4),1)</f>
        <v/>
      </c>
      <c r="N60" s="51">
        <f>(D60-INDEX(QH_q,M60,$F$4))/(INDEX(QH_q,M60+1,$F$4)-INDEX(QH_q,M60,$F$4))</f>
        <v/>
      </c>
      <c r="O60" s="50">
        <f>MATCH(F60,INDEX(QH_f2,0,$F$4),1)</f>
        <v/>
      </c>
      <c r="P60" s="51">
        <f>(F60-INDEX(QH_f2,O60,$F$4))/(INDEX(QH_f2,O60+1,$F$4)-INDEX(QH_f2,O60,$F$4))</f>
        <v/>
      </c>
    </row>
    <row r="61">
      <c r="A61" s="44" t="n">
        <v>45</v>
      </c>
      <c r="B61" s="39">
        <f>IFERROR(INDEX(Lu_Q,MATCH(A61,Lu_t,0),$C$4),0)</f>
        <v/>
      </c>
      <c r="C61" s="39">
        <f>(B60+B61)/2</f>
        <v/>
      </c>
      <c r="D61" s="39">
        <f>G60</f>
        <v/>
      </c>
      <c r="E61" s="45">
        <f>INDEX(QH_f1,M61,$F$4)+N61*(INDEX(QH_f1,M61+1,$F$4)-INDEX(QH_f1,M61,$F$4))</f>
        <v/>
      </c>
      <c r="F61" s="45">
        <f>E61+C61</f>
        <v/>
      </c>
      <c r="G61" s="46">
        <f>INDEX(QH_q,O61,$F$4)+P61*(INDEX(QH_q,O61+1,$F$4)-INDEX(QH_q,O61,$F$4))</f>
        <v/>
      </c>
      <c r="H61" s="47">
        <f>INDEX(QH_Z,O61)+P61*(INDEX(QH_Z,O61+1)-INDEX(QH_Z,O61))</f>
        <v/>
      </c>
      <c r="I61" s="48">
        <f>INDEX(QH_qtc,O61,$F$4)+P61*(INDEX(QH_qtc,O61+1,$F$4)-INDEX(QH_qtc,O61,$F$4))</f>
        <v/>
      </c>
      <c r="J61" s="49">
        <f>INDEX(QH_qsc,O61)+P61*(INDEX(QH_qsc,O61+1)-INDEX(QH_qsc,O61))</f>
        <v/>
      </c>
      <c r="K61" s="25">
        <f>INDEX(QH_V,O61)+P61*(INDEX(QH_V,O61+1)-INDEX(QH_V,O61))</f>
        <v/>
      </c>
      <c r="L61" s="39">
        <f>K61*1000000/dt_s+G61/2</f>
        <v/>
      </c>
      <c r="M61" s="50">
        <f>MATCH(D61,INDEX(QH_q,0,$F$4),1)</f>
        <v/>
      </c>
      <c r="N61" s="51">
        <f>(D61-INDEX(QH_q,M61,$F$4))/(INDEX(QH_q,M61+1,$F$4)-INDEX(QH_q,M61,$F$4))</f>
        <v/>
      </c>
      <c r="O61" s="50">
        <f>MATCH(F61,INDEX(QH_f2,0,$F$4),1)</f>
        <v/>
      </c>
      <c r="P61" s="51">
        <f>(F61-INDEX(QH_f2,O61,$F$4))/(INDEX(QH_f2,O61+1,$F$4)-INDEX(QH_f2,O61,$F$4))</f>
        <v/>
      </c>
    </row>
    <row r="62">
      <c r="A62" s="44" t="n">
        <v>46</v>
      </c>
      <c r="B62" s="39">
        <f>IFERROR(INDEX(Lu_Q,MATCH(A62,Lu_t,0),$C$4),0)</f>
        <v/>
      </c>
      <c r="C62" s="39">
        <f>(B61+B62)/2</f>
        <v/>
      </c>
      <c r="D62" s="39">
        <f>G61</f>
        <v/>
      </c>
      <c r="E62" s="45">
        <f>INDEX(QH_f1,M62,$F$4)+N62*(INDEX(QH_f1,M62+1,$F$4)-INDEX(QH_f1,M62,$F$4))</f>
        <v/>
      </c>
      <c r="F62" s="45">
        <f>E62+C62</f>
        <v/>
      </c>
      <c r="G62" s="46">
        <f>INDEX(QH_q,O62,$F$4)+P62*(INDEX(QH_q,O62+1,$F$4)-INDEX(QH_q,O62,$F$4))</f>
        <v/>
      </c>
      <c r="H62" s="47">
        <f>INDEX(QH_Z,O62)+P62*(INDEX(QH_Z,O62+1)-INDEX(QH_Z,O62))</f>
        <v/>
      </c>
      <c r="I62" s="48">
        <f>INDEX(QH_qtc,O62,$F$4)+P62*(INDEX(QH_qtc,O62+1,$F$4)-INDEX(QH_qtc,O62,$F$4))</f>
        <v/>
      </c>
      <c r="J62" s="49">
        <f>INDEX(QH_qsc,O62)+P62*(INDEX(QH_qsc,O62+1)-INDEX(QH_qsc,O62))</f>
        <v/>
      </c>
      <c r="K62" s="25">
        <f>INDEX(QH_V,O62)+P62*(INDEX(QH_V,O62+1)-INDEX(QH_V,O62))</f>
        <v/>
      </c>
      <c r="L62" s="39">
        <f>K62*1000000/dt_s+G62/2</f>
        <v/>
      </c>
      <c r="M62" s="50">
        <f>MATCH(D62,INDEX(QH_q,0,$F$4),1)</f>
        <v/>
      </c>
      <c r="N62" s="51">
        <f>(D62-INDEX(QH_q,M62,$F$4))/(INDEX(QH_q,M62+1,$F$4)-INDEX(QH_q,M62,$F$4))</f>
        <v/>
      </c>
      <c r="O62" s="50">
        <f>MATCH(F62,INDEX(QH_f2,0,$F$4),1)</f>
        <v/>
      </c>
      <c r="P62" s="51">
        <f>(F62-INDEX(QH_f2,O62,$F$4))/(INDEX(QH_f2,O62+1,$F$4)-INDEX(QH_f2,O62,$F$4))</f>
        <v/>
      </c>
    </row>
    <row r="63">
      <c r="A63" s="44" t="n">
        <v>47</v>
      </c>
      <c r="B63" s="39">
        <f>IFERROR(INDEX(Lu_Q,MATCH(A63,Lu_t,0),$C$4),0)</f>
        <v/>
      </c>
      <c r="C63" s="39">
        <f>(B62+B63)/2</f>
        <v/>
      </c>
      <c r="D63" s="39">
        <f>G62</f>
        <v/>
      </c>
      <c r="E63" s="45">
        <f>INDEX(QH_f1,M63,$F$4)+N63*(INDEX(QH_f1,M63+1,$F$4)-INDEX(QH_f1,M63,$F$4))</f>
        <v/>
      </c>
      <c r="F63" s="45">
        <f>E63+C63</f>
        <v/>
      </c>
      <c r="G63" s="46">
        <f>INDEX(QH_q,O63,$F$4)+P63*(INDEX(QH_q,O63+1,$F$4)-INDEX(QH_q,O63,$F$4))</f>
        <v/>
      </c>
      <c r="H63" s="47">
        <f>INDEX(QH_Z,O63)+P63*(INDEX(QH_Z,O63+1)-INDEX(QH_Z,O63))</f>
        <v/>
      </c>
      <c r="I63" s="48">
        <f>INDEX(QH_qtc,O63,$F$4)+P63*(INDEX(QH_qtc,O63+1,$F$4)-INDEX(QH_qtc,O63,$F$4))</f>
        <v/>
      </c>
      <c r="J63" s="49">
        <f>INDEX(QH_qsc,O63)+P63*(INDEX(QH_qsc,O63+1)-INDEX(QH_qsc,O63))</f>
        <v/>
      </c>
      <c r="K63" s="25">
        <f>INDEX(QH_V,O63)+P63*(INDEX(QH_V,O63+1)-INDEX(QH_V,O63))</f>
        <v/>
      </c>
      <c r="L63" s="39">
        <f>K63*1000000/dt_s+G63/2</f>
        <v/>
      </c>
      <c r="M63" s="50">
        <f>MATCH(D63,INDEX(QH_q,0,$F$4),1)</f>
        <v/>
      </c>
      <c r="N63" s="51">
        <f>(D63-INDEX(QH_q,M63,$F$4))/(INDEX(QH_q,M63+1,$F$4)-INDEX(QH_q,M63,$F$4))</f>
        <v/>
      </c>
      <c r="O63" s="50">
        <f>MATCH(F63,INDEX(QH_f2,0,$F$4),1)</f>
        <v/>
      </c>
      <c r="P63" s="51">
        <f>(F63-INDEX(QH_f2,O63,$F$4))/(INDEX(QH_f2,O63+1,$F$4)-INDEX(QH_f2,O63,$F$4))</f>
        <v/>
      </c>
    </row>
    <row r="64">
      <c r="A64" s="44" t="n">
        <v>48</v>
      </c>
      <c r="B64" s="39">
        <f>IFERROR(INDEX(Lu_Q,MATCH(A64,Lu_t,0),$C$4),0)</f>
        <v/>
      </c>
      <c r="C64" s="39">
        <f>(B63+B64)/2</f>
        <v/>
      </c>
      <c r="D64" s="39">
        <f>G63</f>
        <v/>
      </c>
      <c r="E64" s="45">
        <f>INDEX(QH_f1,M64,$F$4)+N64*(INDEX(QH_f1,M64+1,$F$4)-INDEX(QH_f1,M64,$F$4))</f>
        <v/>
      </c>
      <c r="F64" s="45">
        <f>E64+C64</f>
        <v/>
      </c>
      <c r="G64" s="46">
        <f>INDEX(QH_q,O64,$F$4)+P64*(INDEX(QH_q,O64+1,$F$4)-INDEX(QH_q,O64,$F$4))</f>
        <v/>
      </c>
      <c r="H64" s="47">
        <f>INDEX(QH_Z,O64)+P64*(INDEX(QH_Z,O64+1)-INDEX(QH_Z,O64))</f>
        <v/>
      </c>
      <c r="I64" s="48">
        <f>INDEX(QH_qtc,O64,$F$4)+P64*(INDEX(QH_qtc,O64+1,$F$4)-INDEX(QH_qtc,O64,$F$4))</f>
        <v/>
      </c>
      <c r="J64" s="49">
        <f>INDEX(QH_qsc,O64)+P64*(INDEX(QH_qsc,O64+1)-INDEX(QH_qsc,O64))</f>
        <v/>
      </c>
      <c r="K64" s="25">
        <f>INDEX(QH_V,O64)+P64*(INDEX(QH_V,O64+1)-INDEX(QH_V,O64))</f>
        <v/>
      </c>
      <c r="L64" s="39">
        <f>K64*1000000/dt_s+G64/2</f>
        <v/>
      </c>
      <c r="M64" s="50">
        <f>MATCH(D64,INDEX(QH_q,0,$F$4),1)</f>
        <v/>
      </c>
      <c r="N64" s="51">
        <f>(D64-INDEX(QH_q,M64,$F$4))/(INDEX(QH_q,M64+1,$F$4)-INDEX(QH_q,M64,$F$4))</f>
        <v/>
      </c>
      <c r="O64" s="50">
        <f>MATCH(F64,INDEX(QH_f2,0,$F$4),1)</f>
        <v/>
      </c>
      <c r="P64" s="51">
        <f>(F64-INDEX(QH_f2,O64,$F$4))/(INDEX(QH_f2,O64+1,$F$4)-INDEX(QH_f2,O64,$F$4))</f>
        <v/>
      </c>
    </row>
  </sheetData>
  <mergeCells count="12">
    <mergeCell ref="F3:G3"/>
    <mergeCell ref="A4:B4"/>
    <mergeCell ref="A12:E12"/>
    <mergeCell ref="A7:E7"/>
    <mergeCell ref="A10:E10"/>
    <mergeCell ref="A11:E11"/>
    <mergeCell ref="D4:E4"/>
    <mergeCell ref="A8:E8"/>
    <mergeCell ref="A6:E6"/>
    <mergeCell ref="D3:E3"/>
    <mergeCell ref="A3:B3"/>
    <mergeCell ref="A9:E9"/>
  </mergeCells>
  <conditionalFormatting sqref="A16:P64">
    <cfRule type="expression" priority="1" dxfId="0">
      <formula>$H16=MAX($H$16:$H$64)</formula>
    </cfRule>
  </conditionalFormatting>
  <dataValidations count="2">
    <dataValidation sqref="C3" showDropDown="0" showInputMessage="0" showErrorMessage="0" allowBlank="0" type="list">
      <formula1>"1,0.2"</formula1>
    </dataValidation>
    <dataValidation sqref="F3" showDropDown="0" showInputMessage="0" showErrorMessage="0" allowBlank="0" type="list">
      <formula1>"Bình thường,Sự cố"</formula1>
    </dataValidation>
  </dataValidation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8A8984"/>
    <outlinePr summaryBelow="1" summaryRight="1"/>
    <pageSetUpPr fitToPage="1"/>
  </sheetPr>
  <dimension ref="A1:M10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BẢNG QUAN HỆ PHỤ TRỢ PÔ-TA-PỐP (q ~ f₁, q ~ f₂) – DÙNG ĐỂ IN VÀO THUYẾT MINH</t>
        </is>
      </c>
    </row>
    <row r="2">
      <c r="A2" s="7" t="inlineStr">
        <is>
          <t>Chọn mực nước đầu, cuối, bước ở ô vàng; bảng tự rút gọn. Chọn vùng có số liệu → Copy → Word: dán “Giữ văn bản” (Keep Text Only) rồi chuyển thành bảng, hoặc Excel khác: Paste Special → Values.</t>
        </is>
      </c>
    </row>
    <row r="4">
      <c r="A4" s="12" t="inlineStr">
        <is>
          <t>Z đầu (m)</t>
        </is>
      </c>
      <c r="B4" s="11" t="n"/>
      <c r="C4" s="13" t="n">
        <v>74.7</v>
      </c>
      <c r="D4" s="12" t="inlineStr">
        <is>
          <t>Z cuối (m)</t>
        </is>
      </c>
      <c r="E4" s="11" t="n"/>
      <c r="F4" s="13" t="n">
        <v>79</v>
      </c>
      <c r="G4" s="12" t="inlineStr">
        <is>
          <t>Bước (m)</t>
        </is>
      </c>
      <c r="H4" s="11" t="n"/>
      <c r="I4" s="41" t="n">
        <v>0.1</v>
      </c>
    </row>
    <row r="6" ht="45" customHeight="1">
      <c r="A6" s="9" t="inlineStr">
        <is>
          <t>TT</t>
        </is>
      </c>
      <c r="B6" s="9" t="inlineStr">
        <is>
          <t>Z (m)</t>
        </is>
      </c>
      <c r="C6" s="9" t="inlineStr">
        <is>
          <t>q tràn chính 9 khoang</t>
        </is>
      </c>
      <c r="D6" s="9" t="inlineStr">
        <is>
          <t>q tràn chính 8 khoang</t>
        </is>
      </c>
      <c r="E6" s="9" t="inlineStr">
        <is>
          <t>q tràn sự cố</t>
        </is>
      </c>
      <c r="F6" s="9" t="inlineStr">
        <is>
          <t>q BT</t>
        </is>
      </c>
      <c r="G6" s="9" t="inlineStr">
        <is>
          <t>q SC</t>
        </is>
      </c>
      <c r="H6" s="9" t="inlineStr">
        <is>
          <t>V (10⁶ m³)</t>
        </is>
      </c>
      <c r="I6" s="9" t="inlineStr">
        <is>
          <t>V/Δt (m³/s)</t>
        </is>
      </c>
      <c r="J6" s="9" t="inlineStr">
        <is>
          <t>f₁ BT = V/Δt − q/2</t>
        </is>
      </c>
      <c r="K6" s="9" t="inlineStr">
        <is>
          <t>f₂ BT = V/Δt + q/2</t>
        </is>
      </c>
      <c r="L6" s="9" t="inlineStr">
        <is>
          <t>f₁ SC</t>
        </is>
      </c>
      <c r="M6" s="9" t="inlineStr">
        <is>
          <t>f₂ SC</t>
        </is>
      </c>
    </row>
    <row r="7">
      <c r="A7" s="52">
        <f>IF(B7="","",ROW()-6)</f>
        <v/>
      </c>
      <c r="B7" s="26">
        <f>Z_dau_in</f>
        <v/>
      </c>
      <c r="C7" s="28">
        <f>IF(B7="","",INDEX(QuanHe!$H$5:$H$105,MATCH(B7,QH_Z,1)))</f>
        <v/>
      </c>
      <c r="D7" s="28">
        <f>IF(B7="","",INDEX(QuanHe!$I$5:$I$105,MATCH(B7,QH_Z,1)))</f>
        <v/>
      </c>
      <c r="E7" s="28">
        <f>IF(B7="","",INDEX(QuanHe!$L$5:$L$105,MATCH(B7,QH_Z,1)))</f>
        <v/>
      </c>
      <c r="F7" s="28">
        <f>IF(B7="","",INDEX(QuanHe!$M$5:$M$105,MATCH(B7,QH_Z,1)))</f>
        <v/>
      </c>
      <c r="G7" s="28">
        <f>IF(B7="","",INDEX(QuanHe!$N$5:$N$105,MATCH(B7,QH_Z,1)))</f>
        <v/>
      </c>
      <c r="H7" s="27">
        <f>IF(B7="","",INDEX(QuanHe!$C$5:$C$105,MATCH(B7,QH_Z,1)))</f>
        <v/>
      </c>
      <c r="I7" s="28">
        <f>IF(B7="","",INDEX(QuanHe!$D$5:$D$105,MATCH(B7,QH_Z,1)))</f>
        <v/>
      </c>
      <c r="J7" s="28">
        <f>IF(B7="","",INDEX(QuanHe!$O$5:$O$105,MATCH(B7,QH_Z,1)))</f>
        <v/>
      </c>
      <c r="K7" s="28">
        <f>IF(B7="","",INDEX(QuanHe!$Q$5:$Q$105,MATCH(B7,QH_Z,1)))</f>
        <v/>
      </c>
      <c r="L7" s="28">
        <f>IF(B7="","",INDEX(QuanHe!$P$5:$P$105,MATCH(B7,QH_Z,1)))</f>
        <v/>
      </c>
      <c r="M7" s="28">
        <f>IF(B7="","",INDEX(QuanHe!$R$5:$R$105,MATCH(B7,QH_Z,1)))</f>
        <v/>
      </c>
    </row>
    <row r="8">
      <c r="A8" s="52">
        <f>IF(B8="","",ROW()-6)</f>
        <v/>
      </c>
      <c r="B8" s="26">
        <f>IF(B7="","",IF(B7+Buoc_in&gt;Z_cuoi_in+0.000001,"",ROUND(B7+Buoc_in,2)))</f>
        <v/>
      </c>
      <c r="C8" s="28">
        <f>IF(B8="","",INDEX(QuanHe!$H$5:$H$105,MATCH(B8,QH_Z,1)))</f>
        <v/>
      </c>
      <c r="D8" s="28">
        <f>IF(B8="","",INDEX(QuanHe!$I$5:$I$105,MATCH(B8,QH_Z,1)))</f>
        <v/>
      </c>
      <c r="E8" s="28">
        <f>IF(B8="","",INDEX(QuanHe!$L$5:$L$105,MATCH(B8,QH_Z,1)))</f>
        <v/>
      </c>
      <c r="F8" s="28">
        <f>IF(B8="","",INDEX(QuanHe!$M$5:$M$105,MATCH(B8,QH_Z,1)))</f>
        <v/>
      </c>
      <c r="G8" s="28">
        <f>IF(B8="","",INDEX(QuanHe!$N$5:$N$105,MATCH(B8,QH_Z,1)))</f>
        <v/>
      </c>
      <c r="H8" s="27">
        <f>IF(B8="","",INDEX(QuanHe!$C$5:$C$105,MATCH(B8,QH_Z,1)))</f>
        <v/>
      </c>
      <c r="I8" s="28">
        <f>IF(B8="","",INDEX(QuanHe!$D$5:$D$105,MATCH(B8,QH_Z,1)))</f>
        <v/>
      </c>
      <c r="J8" s="28">
        <f>IF(B8="","",INDEX(QuanHe!$O$5:$O$105,MATCH(B8,QH_Z,1)))</f>
        <v/>
      </c>
      <c r="K8" s="28">
        <f>IF(B8="","",INDEX(QuanHe!$Q$5:$Q$105,MATCH(B8,QH_Z,1)))</f>
        <v/>
      </c>
      <c r="L8" s="28">
        <f>IF(B8="","",INDEX(QuanHe!$P$5:$P$105,MATCH(B8,QH_Z,1)))</f>
        <v/>
      </c>
      <c r="M8" s="28">
        <f>IF(B8="","",INDEX(QuanHe!$R$5:$R$105,MATCH(B8,QH_Z,1)))</f>
        <v/>
      </c>
    </row>
    <row r="9">
      <c r="A9" s="52">
        <f>IF(B9="","",ROW()-6)</f>
        <v/>
      </c>
      <c r="B9" s="26">
        <f>IF(B8="","",IF(B8+Buoc_in&gt;Z_cuoi_in+0.000001,"",ROUND(B8+Buoc_in,2)))</f>
        <v/>
      </c>
      <c r="C9" s="28">
        <f>IF(B9="","",INDEX(QuanHe!$H$5:$H$105,MATCH(B9,QH_Z,1)))</f>
        <v/>
      </c>
      <c r="D9" s="28">
        <f>IF(B9="","",INDEX(QuanHe!$I$5:$I$105,MATCH(B9,QH_Z,1)))</f>
        <v/>
      </c>
      <c r="E9" s="28">
        <f>IF(B9="","",INDEX(QuanHe!$L$5:$L$105,MATCH(B9,QH_Z,1)))</f>
        <v/>
      </c>
      <c r="F9" s="28">
        <f>IF(B9="","",INDEX(QuanHe!$M$5:$M$105,MATCH(B9,QH_Z,1)))</f>
        <v/>
      </c>
      <c r="G9" s="28">
        <f>IF(B9="","",INDEX(QuanHe!$N$5:$N$105,MATCH(B9,QH_Z,1)))</f>
        <v/>
      </c>
      <c r="H9" s="27">
        <f>IF(B9="","",INDEX(QuanHe!$C$5:$C$105,MATCH(B9,QH_Z,1)))</f>
        <v/>
      </c>
      <c r="I9" s="28">
        <f>IF(B9="","",INDEX(QuanHe!$D$5:$D$105,MATCH(B9,QH_Z,1)))</f>
        <v/>
      </c>
      <c r="J9" s="28">
        <f>IF(B9="","",INDEX(QuanHe!$O$5:$O$105,MATCH(B9,QH_Z,1)))</f>
        <v/>
      </c>
      <c r="K9" s="28">
        <f>IF(B9="","",INDEX(QuanHe!$Q$5:$Q$105,MATCH(B9,QH_Z,1)))</f>
        <v/>
      </c>
      <c r="L9" s="28">
        <f>IF(B9="","",INDEX(QuanHe!$P$5:$P$105,MATCH(B9,QH_Z,1)))</f>
        <v/>
      </c>
      <c r="M9" s="28">
        <f>IF(B9="","",INDEX(QuanHe!$R$5:$R$105,MATCH(B9,QH_Z,1)))</f>
        <v/>
      </c>
    </row>
    <row r="10">
      <c r="A10" s="52">
        <f>IF(B10="","",ROW()-6)</f>
        <v/>
      </c>
      <c r="B10" s="26">
        <f>IF(B9="","",IF(B9+Buoc_in&gt;Z_cuoi_in+0.000001,"",ROUND(B9+Buoc_in,2)))</f>
        <v/>
      </c>
      <c r="C10" s="28">
        <f>IF(B10="","",INDEX(QuanHe!$H$5:$H$105,MATCH(B10,QH_Z,1)))</f>
        <v/>
      </c>
      <c r="D10" s="28">
        <f>IF(B10="","",INDEX(QuanHe!$I$5:$I$105,MATCH(B10,QH_Z,1)))</f>
        <v/>
      </c>
      <c r="E10" s="28">
        <f>IF(B10="","",INDEX(QuanHe!$L$5:$L$105,MATCH(B10,QH_Z,1)))</f>
        <v/>
      </c>
      <c r="F10" s="28">
        <f>IF(B10="","",INDEX(QuanHe!$M$5:$M$105,MATCH(B10,QH_Z,1)))</f>
        <v/>
      </c>
      <c r="G10" s="28">
        <f>IF(B10="","",INDEX(QuanHe!$N$5:$N$105,MATCH(B10,QH_Z,1)))</f>
        <v/>
      </c>
      <c r="H10" s="27">
        <f>IF(B10="","",INDEX(QuanHe!$C$5:$C$105,MATCH(B10,QH_Z,1)))</f>
        <v/>
      </c>
      <c r="I10" s="28">
        <f>IF(B10="","",INDEX(QuanHe!$D$5:$D$105,MATCH(B10,QH_Z,1)))</f>
        <v/>
      </c>
      <c r="J10" s="28">
        <f>IF(B10="","",INDEX(QuanHe!$O$5:$O$105,MATCH(B10,QH_Z,1)))</f>
        <v/>
      </c>
      <c r="K10" s="28">
        <f>IF(B10="","",INDEX(QuanHe!$Q$5:$Q$105,MATCH(B10,QH_Z,1)))</f>
        <v/>
      </c>
      <c r="L10" s="28">
        <f>IF(B10="","",INDEX(QuanHe!$P$5:$P$105,MATCH(B10,QH_Z,1)))</f>
        <v/>
      </c>
      <c r="M10" s="28">
        <f>IF(B10="","",INDEX(QuanHe!$R$5:$R$105,MATCH(B10,QH_Z,1)))</f>
        <v/>
      </c>
    </row>
    <row r="11">
      <c r="A11" s="52">
        <f>IF(B11="","",ROW()-6)</f>
        <v/>
      </c>
      <c r="B11" s="26">
        <f>IF(B10="","",IF(B10+Buoc_in&gt;Z_cuoi_in+0.000001,"",ROUND(B10+Buoc_in,2)))</f>
        <v/>
      </c>
      <c r="C11" s="28">
        <f>IF(B11="","",INDEX(QuanHe!$H$5:$H$105,MATCH(B11,QH_Z,1)))</f>
        <v/>
      </c>
      <c r="D11" s="28">
        <f>IF(B11="","",INDEX(QuanHe!$I$5:$I$105,MATCH(B11,QH_Z,1)))</f>
        <v/>
      </c>
      <c r="E11" s="28">
        <f>IF(B11="","",INDEX(QuanHe!$L$5:$L$105,MATCH(B11,QH_Z,1)))</f>
        <v/>
      </c>
      <c r="F11" s="28">
        <f>IF(B11="","",INDEX(QuanHe!$M$5:$M$105,MATCH(B11,QH_Z,1)))</f>
        <v/>
      </c>
      <c r="G11" s="28">
        <f>IF(B11="","",INDEX(QuanHe!$N$5:$N$105,MATCH(B11,QH_Z,1)))</f>
        <v/>
      </c>
      <c r="H11" s="27">
        <f>IF(B11="","",INDEX(QuanHe!$C$5:$C$105,MATCH(B11,QH_Z,1)))</f>
        <v/>
      </c>
      <c r="I11" s="28">
        <f>IF(B11="","",INDEX(QuanHe!$D$5:$D$105,MATCH(B11,QH_Z,1)))</f>
        <v/>
      </c>
      <c r="J11" s="28">
        <f>IF(B11="","",INDEX(QuanHe!$O$5:$O$105,MATCH(B11,QH_Z,1)))</f>
        <v/>
      </c>
      <c r="K11" s="28">
        <f>IF(B11="","",INDEX(QuanHe!$Q$5:$Q$105,MATCH(B11,QH_Z,1)))</f>
        <v/>
      </c>
      <c r="L11" s="28">
        <f>IF(B11="","",INDEX(QuanHe!$P$5:$P$105,MATCH(B11,QH_Z,1)))</f>
        <v/>
      </c>
      <c r="M11" s="28">
        <f>IF(B11="","",INDEX(QuanHe!$R$5:$R$105,MATCH(B11,QH_Z,1)))</f>
        <v/>
      </c>
    </row>
    <row r="12">
      <c r="A12" s="52">
        <f>IF(B12="","",ROW()-6)</f>
        <v/>
      </c>
      <c r="B12" s="26">
        <f>IF(B11="","",IF(B11+Buoc_in&gt;Z_cuoi_in+0.000001,"",ROUND(B11+Buoc_in,2)))</f>
        <v/>
      </c>
      <c r="C12" s="28">
        <f>IF(B12="","",INDEX(QuanHe!$H$5:$H$105,MATCH(B12,QH_Z,1)))</f>
        <v/>
      </c>
      <c r="D12" s="28">
        <f>IF(B12="","",INDEX(QuanHe!$I$5:$I$105,MATCH(B12,QH_Z,1)))</f>
        <v/>
      </c>
      <c r="E12" s="28">
        <f>IF(B12="","",INDEX(QuanHe!$L$5:$L$105,MATCH(B12,QH_Z,1)))</f>
        <v/>
      </c>
      <c r="F12" s="28">
        <f>IF(B12="","",INDEX(QuanHe!$M$5:$M$105,MATCH(B12,QH_Z,1)))</f>
        <v/>
      </c>
      <c r="G12" s="28">
        <f>IF(B12="","",INDEX(QuanHe!$N$5:$N$105,MATCH(B12,QH_Z,1)))</f>
        <v/>
      </c>
      <c r="H12" s="27">
        <f>IF(B12="","",INDEX(QuanHe!$C$5:$C$105,MATCH(B12,QH_Z,1)))</f>
        <v/>
      </c>
      <c r="I12" s="28">
        <f>IF(B12="","",INDEX(QuanHe!$D$5:$D$105,MATCH(B12,QH_Z,1)))</f>
        <v/>
      </c>
      <c r="J12" s="28">
        <f>IF(B12="","",INDEX(QuanHe!$O$5:$O$105,MATCH(B12,QH_Z,1)))</f>
        <v/>
      </c>
      <c r="K12" s="28">
        <f>IF(B12="","",INDEX(QuanHe!$Q$5:$Q$105,MATCH(B12,QH_Z,1)))</f>
        <v/>
      </c>
      <c r="L12" s="28">
        <f>IF(B12="","",INDEX(QuanHe!$P$5:$P$105,MATCH(B12,QH_Z,1)))</f>
        <v/>
      </c>
      <c r="M12" s="28">
        <f>IF(B12="","",INDEX(QuanHe!$R$5:$R$105,MATCH(B12,QH_Z,1)))</f>
        <v/>
      </c>
    </row>
    <row r="13">
      <c r="A13" s="52">
        <f>IF(B13="","",ROW()-6)</f>
        <v/>
      </c>
      <c r="B13" s="26">
        <f>IF(B12="","",IF(B12+Buoc_in&gt;Z_cuoi_in+0.000001,"",ROUND(B12+Buoc_in,2)))</f>
        <v/>
      </c>
      <c r="C13" s="28">
        <f>IF(B13="","",INDEX(QuanHe!$H$5:$H$105,MATCH(B13,QH_Z,1)))</f>
        <v/>
      </c>
      <c r="D13" s="28">
        <f>IF(B13="","",INDEX(QuanHe!$I$5:$I$105,MATCH(B13,QH_Z,1)))</f>
        <v/>
      </c>
      <c r="E13" s="28">
        <f>IF(B13="","",INDEX(QuanHe!$L$5:$L$105,MATCH(B13,QH_Z,1)))</f>
        <v/>
      </c>
      <c r="F13" s="28">
        <f>IF(B13="","",INDEX(QuanHe!$M$5:$M$105,MATCH(B13,QH_Z,1)))</f>
        <v/>
      </c>
      <c r="G13" s="28">
        <f>IF(B13="","",INDEX(QuanHe!$N$5:$N$105,MATCH(B13,QH_Z,1)))</f>
        <v/>
      </c>
      <c r="H13" s="27">
        <f>IF(B13="","",INDEX(QuanHe!$C$5:$C$105,MATCH(B13,QH_Z,1)))</f>
        <v/>
      </c>
      <c r="I13" s="28">
        <f>IF(B13="","",INDEX(QuanHe!$D$5:$D$105,MATCH(B13,QH_Z,1)))</f>
        <v/>
      </c>
      <c r="J13" s="28">
        <f>IF(B13="","",INDEX(QuanHe!$O$5:$O$105,MATCH(B13,QH_Z,1)))</f>
        <v/>
      </c>
      <c r="K13" s="28">
        <f>IF(B13="","",INDEX(QuanHe!$Q$5:$Q$105,MATCH(B13,QH_Z,1)))</f>
        <v/>
      </c>
      <c r="L13" s="28">
        <f>IF(B13="","",INDEX(QuanHe!$P$5:$P$105,MATCH(B13,QH_Z,1)))</f>
        <v/>
      </c>
      <c r="M13" s="28">
        <f>IF(B13="","",INDEX(QuanHe!$R$5:$R$105,MATCH(B13,QH_Z,1)))</f>
        <v/>
      </c>
    </row>
    <row r="14">
      <c r="A14" s="52">
        <f>IF(B14="","",ROW()-6)</f>
        <v/>
      </c>
      <c r="B14" s="26">
        <f>IF(B13="","",IF(B13+Buoc_in&gt;Z_cuoi_in+0.000001,"",ROUND(B13+Buoc_in,2)))</f>
        <v/>
      </c>
      <c r="C14" s="28">
        <f>IF(B14="","",INDEX(QuanHe!$H$5:$H$105,MATCH(B14,QH_Z,1)))</f>
        <v/>
      </c>
      <c r="D14" s="28">
        <f>IF(B14="","",INDEX(QuanHe!$I$5:$I$105,MATCH(B14,QH_Z,1)))</f>
        <v/>
      </c>
      <c r="E14" s="28">
        <f>IF(B14="","",INDEX(QuanHe!$L$5:$L$105,MATCH(B14,QH_Z,1)))</f>
        <v/>
      </c>
      <c r="F14" s="28">
        <f>IF(B14="","",INDEX(QuanHe!$M$5:$M$105,MATCH(B14,QH_Z,1)))</f>
        <v/>
      </c>
      <c r="G14" s="28">
        <f>IF(B14="","",INDEX(QuanHe!$N$5:$N$105,MATCH(B14,QH_Z,1)))</f>
        <v/>
      </c>
      <c r="H14" s="27">
        <f>IF(B14="","",INDEX(QuanHe!$C$5:$C$105,MATCH(B14,QH_Z,1)))</f>
        <v/>
      </c>
      <c r="I14" s="28">
        <f>IF(B14="","",INDEX(QuanHe!$D$5:$D$105,MATCH(B14,QH_Z,1)))</f>
        <v/>
      </c>
      <c r="J14" s="28">
        <f>IF(B14="","",INDEX(QuanHe!$O$5:$O$105,MATCH(B14,QH_Z,1)))</f>
        <v/>
      </c>
      <c r="K14" s="28">
        <f>IF(B14="","",INDEX(QuanHe!$Q$5:$Q$105,MATCH(B14,QH_Z,1)))</f>
        <v/>
      </c>
      <c r="L14" s="28">
        <f>IF(B14="","",INDEX(QuanHe!$P$5:$P$105,MATCH(B14,QH_Z,1)))</f>
        <v/>
      </c>
      <c r="M14" s="28">
        <f>IF(B14="","",INDEX(QuanHe!$R$5:$R$105,MATCH(B14,QH_Z,1)))</f>
        <v/>
      </c>
    </row>
    <row r="15">
      <c r="A15" s="52">
        <f>IF(B15="","",ROW()-6)</f>
        <v/>
      </c>
      <c r="B15" s="26">
        <f>IF(B14="","",IF(B14+Buoc_in&gt;Z_cuoi_in+0.000001,"",ROUND(B14+Buoc_in,2)))</f>
        <v/>
      </c>
      <c r="C15" s="28">
        <f>IF(B15="","",INDEX(QuanHe!$H$5:$H$105,MATCH(B15,QH_Z,1)))</f>
        <v/>
      </c>
      <c r="D15" s="28">
        <f>IF(B15="","",INDEX(QuanHe!$I$5:$I$105,MATCH(B15,QH_Z,1)))</f>
        <v/>
      </c>
      <c r="E15" s="28">
        <f>IF(B15="","",INDEX(QuanHe!$L$5:$L$105,MATCH(B15,QH_Z,1)))</f>
        <v/>
      </c>
      <c r="F15" s="28">
        <f>IF(B15="","",INDEX(QuanHe!$M$5:$M$105,MATCH(B15,QH_Z,1)))</f>
        <v/>
      </c>
      <c r="G15" s="28">
        <f>IF(B15="","",INDEX(QuanHe!$N$5:$N$105,MATCH(B15,QH_Z,1)))</f>
        <v/>
      </c>
      <c r="H15" s="27">
        <f>IF(B15="","",INDEX(QuanHe!$C$5:$C$105,MATCH(B15,QH_Z,1)))</f>
        <v/>
      </c>
      <c r="I15" s="28">
        <f>IF(B15="","",INDEX(QuanHe!$D$5:$D$105,MATCH(B15,QH_Z,1)))</f>
        <v/>
      </c>
      <c r="J15" s="28">
        <f>IF(B15="","",INDEX(QuanHe!$O$5:$O$105,MATCH(B15,QH_Z,1)))</f>
        <v/>
      </c>
      <c r="K15" s="28">
        <f>IF(B15="","",INDEX(QuanHe!$Q$5:$Q$105,MATCH(B15,QH_Z,1)))</f>
        <v/>
      </c>
      <c r="L15" s="28">
        <f>IF(B15="","",INDEX(QuanHe!$P$5:$P$105,MATCH(B15,QH_Z,1)))</f>
        <v/>
      </c>
      <c r="M15" s="28">
        <f>IF(B15="","",INDEX(QuanHe!$R$5:$R$105,MATCH(B15,QH_Z,1)))</f>
        <v/>
      </c>
    </row>
    <row r="16">
      <c r="A16" s="52">
        <f>IF(B16="","",ROW()-6)</f>
        <v/>
      </c>
      <c r="B16" s="26">
        <f>IF(B15="","",IF(B15+Buoc_in&gt;Z_cuoi_in+0.000001,"",ROUND(B15+Buoc_in,2)))</f>
        <v/>
      </c>
      <c r="C16" s="28">
        <f>IF(B16="","",INDEX(QuanHe!$H$5:$H$105,MATCH(B16,QH_Z,1)))</f>
        <v/>
      </c>
      <c r="D16" s="28">
        <f>IF(B16="","",INDEX(QuanHe!$I$5:$I$105,MATCH(B16,QH_Z,1)))</f>
        <v/>
      </c>
      <c r="E16" s="28">
        <f>IF(B16="","",INDEX(QuanHe!$L$5:$L$105,MATCH(B16,QH_Z,1)))</f>
        <v/>
      </c>
      <c r="F16" s="28">
        <f>IF(B16="","",INDEX(QuanHe!$M$5:$M$105,MATCH(B16,QH_Z,1)))</f>
        <v/>
      </c>
      <c r="G16" s="28">
        <f>IF(B16="","",INDEX(QuanHe!$N$5:$N$105,MATCH(B16,QH_Z,1)))</f>
        <v/>
      </c>
      <c r="H16" s="27">
        <f>IF(B16="","",INDEX(QuanHe!$C$5:$C$105,MATCH(B16,QH_Z,1)))</f>
        <v/>
      </c>
      <c r="I16" s="28">
        <f>IF(B16="","",INDEX(QuanHe!$D$5:$D$105,MATCH(B16,QH_Z,1)))</f>
        <v/>
      </c>
      <c r="J16" s="28">
        <f>IF(B16="","",INDEX(QuanHe!$O$5:$O$105,MATCH(B16,QH_Z,1)))</f>
        <v/>
      </c>
      <c r="K16" s="28">
        <f>IF(B16="","",INDEX(QuanHe!$Q$5:$Q$105,MATCH(B16,QH_Z,1)))</f>
        <v/>
      </c>
      <c r="L16" s="28">
        <f>IF(B16="","",INDEX(QuanHe!$P$5:$P$105,MATCH(B16,QH_Z,1)))</f>
        <v/>
      </c>
      <c r="M16" s="28">
        <f>IF(B16="","",INDEX(QuanHe!$R$5:$R$105,MATCH(B16,QH_Z,1)))</f>
        <v/>
      </c>
    </row>
    <row r="17">
      <c r="A17" s="52">
        <f>IF(B17="","",ROW()-6)</f>
        <v/>
      </c>
      <c r="B17" s="26">
        <f>IF(B16="","",IF(B16+Buoc_in&gt;Z_cuoi_in+0.000001,"",ROUND(B16+Buoc_in,2)))</f>
        <v/>
      </c>
      <c r="C17" s="28">
        <f>IF(B17="","",INDEX(QuanHe!$H$5:$H$105,MATCH(B17,QH_Z,1)))</f>
        <v/>
      </c>
      <c r="D17" s="28">
        <f>IF(B17="","",INDEX(QuanHe!$I$5:$I$105,MATCH(B17,QH_Z,1)))</f>
        <v/>
      </c>
      <c r="E17" s="28">
        <f>IF(B17="","",INDEX(QuanHe!$L$5:$L$105,MATCH(B17,QH_Z,1)))</f>
        <v/>
      </c>
      <c r="F17" s="28">
        <f>IF(B17="","",INDEX(QuanHe!$M$5:$M$105,MATCH(B17,QH_Z,1)))</f>
        <v/>
      </c>
      <c r="G17" s="28">
        <f>IF(B17="","",INDEX(QuanHe!$N$5:$N$105,MATCH(B17,QH_Z,1)))</f>
        <v/>
      </c>
      <c r="H17" s="27">
        <f>IF(B17="","",INDEX(QuanHe!$C$5:$C$105,MATCH(B17,QH_Z,1)))</f>
        <v/>
      </c>
      <c r="I17" s="28">
        <f>IF(B17="","",INDEX(QuanHe!$D$5:$D$105,MATCH(B17,QH_Z,1)))</f>
        <v/>
      </c>
      <c r="J17" s="28">
        <f>IF(B17="","",INDEX(QuanHe!$O$5:$O$105,MATCH(B17,QH_Z,1)))</f>
        <v/>
      </c>
      <c r="K17" s="28">
        <f>IF(B17="","",INDEX(QuanHe!$Q$5:$Q$105,MATCH(B17,QH_Z,1)))</f>
        <v/>
      </c>
      <c r="L17" s="28">
        <f>IF(B17="","",INDEX(QuanHe!$P$5:$P$105,MATCH(B17,QH_Z,1)))</f>
        <v/>
      </c>
      <c r="M17" s="28">
        <f>IF(B17="","",INDEX(QuanHe!$R$5:$R$105,MATCH(B17,QH_Z,1)))</f>
        <v/>
      </c>
    </row>
    <row r="18">
      <c r="A18" s="52">
        <f>IF(B18="","",ROW()-6)</f>
        <v/>
      </c>
      <c r="B18" s="26">
        <f>IF(B17="","",IF(B17+Buoc_in&gt;Z_cuoi_in+0.000001,"",ROUND(B17+Buoc_in,2)))</f>
        <v/>
      </c>
      <c r="C18" s="28">
        <f>IF(B18="","",INDEX(QuanHe!$H$5:$H$105,MATCH(B18,QH_Z,1)))</f>
        <v/>
      </c>
      <c r="D18" s="28">
        <f>IF(B18="","",INDEX(QuanHe!$I$5:$I$105,MATCH(B18,QH_Z,1)))</f>
        <v/>
      </c>
      <c r="E18" s="28">
        <f>IF(B18="","",INDEX(QuanHe!$L$5:$L$105,MATCH(B18,QH_Z,1)))</f>
        <v/>
      </c>
      <c r="F18" s="28">
        <f>IF(B18="","",INDEX(QuanHe!$M$5:$M$105,MATCH(B18,QH_Z,1)))</f>
        <v/>
      </c>
      <c r="G18" s="28">
        <f>IF(B18="","",INDEX(QuanHe!$N$5:$N$105,MATCH(B18,QH_Z,1)))</f>
        <v/>
      </c>
      <c r="H18" s="27">
        <f>IF(B18="","",INDEX(QuanHe!$C$5:$C$105,MATCH(B18,QH_Z,1)))</f>
        <v/>
      </c>
      <c r="I18" s="28">
        <f>IF(B18="","",INDEX(QuanHe!$D$5:$D$105,MATCH(B18,QH_Z,1)))</f>
        <v/>
      </c>
      <c r="J18" s="28">
        <f>IF(B18="","",INDEX(QuanHe!$O$5:$O$105,MATCH(B18,QH_Z,1)))</f>
        <v/>
      </c>
      <c r="K18" s="28">
        <f>IF(B18="","",INDEX(QuanHe!$Q$5:$Q$105,MATCH(B18,QH_Z,1)))</f>
        <v/>
      </c>
      <c r="L18" s="28">
        <f>IF(B18="","",INDEX(QuanHe!$P$5:$P$105,MATCH(B18,QH_Z,1)))</f>
        <v/>
      </c>
      <c r="M18" s="28">
        <f>IF(B18="","",INDEX(QuanHe!$R$5:$R$105,MATCH(B18,QH_Z,1)))</f>
        <v/>
      </c>
    </row>
    <row r="19">
      <c r="A19" s="52">
        <f>IF(B19="","",ROW()-6)</f>
        <v/>
      </c>
      <c r="B19" s="26">
        <f>IF(B18="","",IF(B18+Buoc_in&gt;Z_cuoi_in+0.000001,"",ROUND(B18+Buoc_in,2)))</f>
        <v/>
      </c>
      <c r="C19" s="28">
        <f>IF(B19="","",INDEX(QuanHe!$H$5:$H$105,MATCH(B19,QH_Z,1)))</f>
        <v/>
      </c>
      <c r="D19" s="28">
        <f>IF(B19="","",INDEX(QuanHe!$I$5:$I$105,MATCH(B19,QH_Z,1)))</f>
        <v/>
      </c>
      <c r="E19" s="28">
        <f>IF(B19="","",INDEX(QuanHe!$L$5:$L$105,MATCH(B19,QH_Z,1)))</f>
        <v/>
      </c>
      <c r="F19" s="28">
        <f>IF(B19="","",INDEX(QuanHe!$M$5:$M$105,MATCH(B19,QH_Z,1)))</f>
        <v/>
      </c>
      <c r="G19" s="28">
        <f>IF(B19="","",INDEX(QuanHe!$N$5:$N$105,MATCH(B19,QH_Z,1)))</f>
        <v/>
      </c>
      <c r="H19" s="27">
        <f>IF(B19="","",INDEX(QuanHe!$C$5:$C$105,MATCH(B19,QH_Z,1)))</f>
        <v/>
      </c>
      <c r="I19" s="28">
        <f>IF(B19="","",INDEX(QuanHe!$D$5:$D$105,MATCH(B19,QH_Z,1)))</f>
        <v/>
      </c>
      <c r="J19" s="28">
        <f>IF(B19="","",INDEX(QuanHe!$O$5:$O$105,MATCH(B19,QH_Z,1)))</f>
        <v/>
      </c>
      <c r="K19" s="28">
        <f>IF(B19="","",INDEX(QuanHe!$Q$5:$Q$105,MATCH(B19,QH_Z,1)))</f>
        <v/>
      </c>
      <c r="L19" s="28">
        <f>IF(B19="","",INDEX(QuanHe!$P$5:$P$105,MATCH(B19,QH_Z,1)))</f>
        <v/>
      </c>
      <c r="M19" s="28">
        <f>IF(B19="","",INDEX(QuanHe!$R$5:$R$105,MATCH(B19,QH_Z,1)))</f>
        <v/>
      </c>
    </row>
    <row r="20">
      <c r="A20" s="52">
        <f>IF(B20="","",ROW()-6)</f>
        <v/>
      </c>
      <c r="B20" s="26">
        <f>IF(B19="","",IF(B19+Buoc_in&gt;Z_cuoi_in+0.000001,"",ROUND(B19+Buoc_in,2)))</f>
        <v/>
      </c>
      <c r="C20" s="28">
        <f>IF(B20="","",INDEX(QuanHe!$H$5:$H$105,MATCH(B20,QH_Z,1)))</f>
        <v/>
      </c>
      <c r="D20" s="28">
        <f>IF(B20="","",INDEX(QuanHe!$I$5:$I$105,MATCH(B20,QH_Z,1)))</f>
        <v/>
      </c>
      <c r="E20" s="28">
        <f>IF(B20="","",INDEX(QuanHe!$L$5:$L$105,MATCH(B20,QH_Z,1)))</f>
        <v/>
      </c>
      <c r="F20" s="28">
        <f>IF(B20="","",INDEX(QuanHe!$M$5:$M$105,MATCH(B20,QH_Z,1)))</f>
        <v/>
      </c>
      <c r="G20" s="28">
        <f>IF(B20="","",INDEX(QuanHe!$N$5:$N$105,MATCH(B20,QH_Z,1)))</f>
        <v/>
      </c>
      <c r="H20" s="27">
        <f>IF(B20="","",INDEX(QuanHe!$C$5:$C$105,MATCH(B20,QH_Z,1)))</f>
        <v/>
      </c>
      <c r="I20" s="28">
        <f>IF(B20="","",INDEX(QuanHe!$D$5:$D$105,MATCH(B20,QH_Z,1)))</f>
        <v/>
      </c>
      <c r="J20" s="28">
        <f>IF(B20="","",INDEX(QuanHe!$O$5:$O$105,MATCH(B20,QH_Z,1)))</f>
        <v/>
      </c>
      <c r="K20" s="28">
        <f>IF(B20="","",INDEX(QuanHe!$Q$5:$Q$105,MATCH(B20,QH_Z,1)))</f>
        <v/>
      </c>
      <c r="L20" s="28">
        <f>IF(B20="","",INDEX(QuanHe!$P$5:$P$105,MATCH(B20,QH_Z,1)))</f>
        <v/>
      </c>
      <c r="M20" s="28">
        <f>IF(B20="","",INDEX(QuanHe!$R$5:$R$105,MATCH(B20,QH_Z,1)))</f>
        <v/>
      </c>
    </row>
    <row r="21">
      <c r="A21" s="52">
        <f>IF(B21="","",ROW()-6)</f>
        <v/>
      </c>
      <c r="B21" s="26">
        <f>IF(B20="","",IF(B20+Buoc_in&gt;Z_cuoi_in+0.000001,"",ROUND(B20+Buoc_in,2)))</f>
        <v/>
      </c>
      <c r="C21" s="28">
        <f>IF(B21="","",INDEX(QuanHe!$H$5:$H$105,MATCH(B21,QH_Z,1)))</f>
        <v/>
      </c>
      <c r="D21" s="28">
        <f>IF(B21="","",INDEX(QuanHe!$I$5:$I$105,MATCH(B21,QH_Z,1)))</f>
        <v/>
      </c>
      <c r="E21" s="28">
        <f>IF(B21="","",INDEX(QuanHe!$L$5:$L$105,MATCH(B21,QH_Z,1)))</f>
        <v/>
      </c>
      <c r="F21" s="28">
        <f>IF(B21="","",INDEX(QuanHe!$M$5:$M$105,MATCH(B21,QH_Z,1)))</f>
        <v/>
      </c>
      <c r="G21" s="28">
        <f>IF(B21="","",INDEX(QuanHe!$N$5:$N$105,MATCH(B21,QH_Z,1)))</f>
        <v/>
      </c>
      <c r="H21" s="27">
        <f>IF(B21="","",INDEX(QuanHe!$C$5:$C$105,MATCH(B21,QH_Z,1)))</f>
        <v/>
      </c>
      <c r="I21" s="28">
        <f>IF(B21="","",INDEX(QuanHe!$D$5:$D$105,MATCH(B21,QH_Z,1)))</f>
        <v/>
      </c>
      <c r="J21" s="28">
        <f>IF(B21="","",INDEX(QuanHe!$O$5:$O$105,MATCH(B21,QH_Z,1)))</f>
        <v/>
      </c>
      <c r="K21" s="28">
        <f>IF(B21="","",INDEX(QuanHe!$Q$5:$Q$105,MATCH(B21,QH_Z,1)))</f>
        <v/>
      </c>
      <c r="L21" s="28">
        <f>IF(B21="","",INDEX(QuanHe!$P$5:$P$105,MATCH(B21,QH_Z,1)))</f>
        <v/>
      </c>
      <c r="M21" s="28">
        <f>IF(B21="","",INDEX(QuanHe!$R$5:$R$105,MATCH(B21,QH_Z,1)))</f>
        <v/>
      </c>
    </row>
    <row r="22">
      <c r="A22" s="52">
        <f>IF(B22="","",ROW()-6)</f>
        <v/>
      </c>
      <c r="B22" s="26">
        <f>IF(B21="","",IF(B21+Buoc_in&gt;Z_cuoi_in+0.000001,"",ROUND(B21+Buoc_in,2)))</f>
        <v/>
      </c>
      <c r="C22" s="28">
        <f>IF(B22="","",INDEX(QuanHe!$H$5:$H$105,MATCH(B22,QH_Z,1)))</f>
        <v/>
      </c>
      <c r="D22" s="28">
        <f>IF(B22="","",INDEX(QuanHe!$I$5:$I$105,MATCH(B22,QH_Z,1)))</f>
        <v/>
      </c>
      <c r="E22" s="28">
        <f>IF(B22="","",INDEX(QuanHe!$L$5:$L$105,MATCH(B22,QH_Z,1)))</f>
        <v/>
      </c>
      <c r="F22" s="28">
        <f>IF(B22="","",INDEX(QuanHe!$M$5:$M$105,MATCH(B22,QH_Z,1)))</f>
        <v/>
      </c>
      <c r="G22" s="28">
        <f>IF(B22="","",INDEX(QuanHe!$N$5:$N$105,MATCH(B22,QH_Z,1)))</f>
        <v/>
      </c>
      <c r="H22" s="27">
        <f>IF(B22="","",INDEX(QuanHe!$C$5:$C$105,MATCH(B22,QH_Z,1)))</f>
        <v/>
      </c>
      <c r="I22" s="28">
        <f>IF(B22="","",INDEX(QuanHe!$D$5:$D$105,MATCH(B22,QH_Z,1)))</f>
        <v/>
      </c>
      <c r="J22" s="28">
        <f>IF(B22="","",INDEX(QuanHe!$O$5:$O$105,MATCH(B22,QH_Z,1)))</f>
        <v/>
      </c>
      <c r="K22" s="28">
        <f>IF(B22="","",INDEX(QuanHe!$Q$5:$Q$105,MATCH(B22,QH_Z,1)))</f>
        <v/>
      </c>
      <c r="L22" s="28">
        <f>IF(B22="","",INDEX(QuanHe!$P$5:$P$105,MATCH(B22,QH_Z,1)))</f>
        <v/>
      </c>
      <c r="M22" s="28">
        <f>IF(B22="","",INDEX(QuanHe!$R$5:$R$105,MATCH(B22,QH_Z,1)))</f>
        <v/>
      </c>
    </row>
    <row r="23">
      <c r="A23" s="52">
        <f>IF(B23="","",ROW()-6)</f>
        <v/>
      </c>
      <c r="B23" s="26">
        <f>IF(B22="","",IF(B22+Buoc_in&gt;Z_cuoi_in+0.000001,"",ROUND(B22+Buoc_in,2)))</f>
        <v/>
      </c>
      <c r="C23" s="28">
        <f>IF(B23="","",INDEX(QuanHe!$H$5:$H$105,MATCH(B23,QH_Z,1)))</f>
        <v/>
      </c>
      <c r="D23" s="28">
        <f>IF(B23="","",INDEX(QuanHe!$I$5:$I$105,MATCH(B23,QH_Z,1)))</f>
        <v/>
      </c>
      <c r="E23" s="28">
        <f>IF(B23="","",INDEX(QuanHe!$L$5:$L$105,MATCH(B23,QH_Z,1)))</f>
        <v/>
      </c>
      <c r="F23" s="28">
        <f>IF(B23="","",INDEX(QuanHe!$M$5:$M$105,MATCH(B23,QH_Z,1)))</f>
        <v/>
      </c>
      <c r="G23" s="28">
        <f>IF(B23="","",INDEX(QuanHe!$N$5:$N$105,MATCH(B23,QH_Z,1)))</f>
        <v/>
      </c>
      <c r="H23" s="27">
        <f>IF(B23="","",INDEX(QuanHe!$C$5:$C$105,MATCH(B23,QH_Z,1)))</f>
        <v/>
      </c>
      <c r="I23" s="28">
        <f>IF(B23="","",INDEX(QuanHe!$D$5:$D$105,MATCH(B23,QH_Z,1)))</f>
        <v/>
      </c>
      <c r="J23" s="28">
        <f>IF(B23="","",INDEX(QuanHe!$O$5:$O$105,MATCH(B23,QH_Z,1)))</f>
        <v/>
      </c>
      <c r="K23" s="28">
        <f>IF(B23="","",INDEX(QuanHe!$Q$5:$Q$105,MATCH(B23,QH_Z,1)))</f>
        <v/>
      </c>
      <c r="L23" s="28">
        <f>IF(B23="","",INDEX(QuanHe!$P$5:$P$105,MATCH(B23,QH_Z,1)))</f>
        <v/>
      </c>
      <c r="M23" s="28">
        <f>IF(B23="","",INDEX(QuanHe!$R$5:$R$105,MATCH(B23,QH_Z,1)))</f>
        <v/>
      </c>
    </row>
    <row r="24">
      <c r="A24" s="52">
        <f>IF(B24="","",ROW()-6)</f>
        <v/>
      </c>
      <c r="B24" s="26">
        <f>IF(B23="","",IF(B23+Buoc_in&gt;Z_cuoi_in+0.000001,"",ROUND(B23+Buoc_in,2)))</f>
        <v/>
      </c>
      <c r="C24" s="28">
        <f>IF(B24="","",INDEX(QuanHe!$H$5:$H$105,MATCH(B24,QH_Z,1)))</f>
        <v/>
      </c>
      <c r="D24" s="28">
        <f>IF(B24="","",INDEX(QuanHe!$I$5:$I$105,MATCH(B24,QH_Z,1)))</f>
        <v/>
      </c>
      <c r="E24" s="28">
        <f>IF(B24="","",INDEX(QuanHe!$L$5:$L$105,MATCH(B24,QH_Z,1)))</f>
        <v/>
      </c>
      <c r="F24" s="28">
        <f>IF(B24="","",INDEX(QuanHe!$M$5:$M$105,MATCH(B24,QH_Z,1)))</f>
        <v/>
      </c>
      <c r="G24" s="28">
        <f>IF(B24="","",INDEX(QuanHe!$N$5:$N$105,MATCH(B24,QH_Z,1)))</f>
        <v/>
      </c>
      <c r="H24" s="27">
        <f>IF(B24="","",INDEX(QuanHe!$C$5:$C$105,MATCH(B24,QH_Z,1)))</f>
        <v/>
      </c>
      <c r="I24" s="28">
        <f>IF(B24="","",INDEX(QuanHe!$D$5:$D$105,MATCH(B24,QH_Z,1)))</f>
        <v/>
      </c>
      <c r="J24" s="28">
        <f>IF(B24="","",INDEX(QuanHe!$O$5:$O$105,MATCH(B24,QH_Z,1)))</f>
        <v/>
      </c>
      <c r="K24" s="28">
        <f>IF(B24="","",INDEX(QuanHe!$Q$5:$Q$105,MATCH(B24,QH_Z,1)))</f>
        <v/>
      </c>
      <c r="L24" s="28">
        <f>IF(B24="","",INDEX(QuanHe!$P$5:$P$105,MATCH(B24,QH_Z,1)))</f>
        <v/>
      </c>
      <c r="M24" s="28">
        <f>IF(B24="","",INDEX(QuanHe!$R$5:$R$105,MATCH(B24,QH_Z,1)))</f>
        <v/>
      </c>
    </row>
    <row r="25">
      <c r="A25" s="52">
        <f>IF(B25="","",ROW()-6)</f>
        <v/>
      </c>
      <c r="B25" s="26">
        <f>IF(B24="","",IF(B24+Buoc_in&gt;Z_cuoi_in+0.000001,"",ROUND(B24+Buoc_in,2)))</f>
        <v/>
      </c>
      <c r="C25" s="28">
        <f>IF(B25="","",INDEX(QuanHe!$H$5:$H$105,MATCH(B25,QH_Z,1)))</f>
        <v/>
      </c>
      <c r="D25" s="28">
        <f>IF(B25="","",INDEX(QuanHe!$I$5:$I$105,MATCH(B25,QH_Z,1)))</f>
        <v/>
      </c>
      <c r="E25" s="28">
        <f>IF(B25="","",INDEX(QuanHe!$L$5:$L$105,MATCH(B25,QH_Z,1)))</f>
        <v/>
      </c>
      <c r="F25" s="28">
        <f>IF(B25="","",INDEX(QuanHe!$M$5:$M$105,MATCH(B25,QH_Z,1)))</f>
        <v/>
      </c>
      <c r="G25" s="28">
        <f>IF(B25="","",INDEX(QuanHe!$N$5:$N$105,MATCH(B25,QH_Z,1)))</f>
        <v/>
      </c>
      <c r="H25" s="27">
        <f>IF(B25="","",INDEX(QuanHe!$C$5:$C$105,MATCH(B25,QH_Z,1)))</f>
        <v/>
      </c>
      <c r="I25" s="28">
        <f>IF(B25="","",INDEX(QuanHe!$D$5:$D$105,MATCH(B25,QH_Z,1)))</f>
        <v/>
      </c>
      <c r="J25" s="28">
        <f>IF(B25="","",INDEX(QuanHe!$O$5:$O$105,MATCH(B25,QH_Z,1)))</f>
        <v/>
      </c>
      <c r="K25" s="28">
        <f>IF(B25="","",INDEX(QuanHe!$Q$5:$Q$105,MATCH(B25,QH_Z,1)))</f>
        <v/>
      </c>
      <c r="L25" s="28">
        <f>IF(B25="","",INDEX(QuanHe!$P$5:$P$105,MATCH(B25,QH_Z,1)))</f>
        <v/>
      </c>
      <c r="M25" s="28">
        <f>IF(B25="","",INDEX(QuanHe!$R$5:$R$105,MATCH(B25,QH_Z,1)))</f>
        <v/>
      </c>
    </row>
    <row r="26">
      <c r="A26" s="52">
        <f>IF(B26="","",ROW()-6)</f>
        <v/>
      </c>
      <c r="B26" s="26">
        <f>IF(B25="","",IF(B25+Buoc_in&gt;Z_cuoi_in+0.000001,"",ROUND(B25+Buoc_in,2)))</f>
        <v/>
      </c>
      <c r="C26" s="28">
        <f>IF(B26="","",INDEX(QuanHe!$H$5:$H$105,MATCH(B26,QH_Z,1)))</f>
        <v/>
      </c>
      <c r="D26" s="28">
        <f>IF(B26="","",INDEX(QuanHe!$I$5:$I$105,MATCH(B26,QH_Z,1)))</f>
        <v/>
      </c>
      <c r="E26" s="28">
        <f>IF(B26="","",INDEX(QuanHe!$L$5:$L$105,MATCH(B26,QH_Z,1)))</f>
        <v/>
      </c>
      <c r="F26" s="28">
        <f>IF(B26="","",INDEX(QuanHe!$M$5:$M$105,MATCH(B26,QH_Z,1)))</f>
        <v/>
      </c>
      <c r="G26" s="28">
        <f>IF(B26="","",INDEX(QuanHe!$N$5:$N$105,MATCH(B26,QH_Z,1)))</f>
        <v/>
      </c>
      <c r="H26" s="27">
        <f>IF(B26="","",INDEX(QuanHe!$C$5:$C$105,MATCH(B26,QH_Z,1)))</f>
        <v/>
      </c>
      <c r="I26" s="28">
        <f>IF(B26="","",INDEX(QuanHe!$D$5:$D$105,MATCH(B26,QH_Z,1)))</f>
        <v/>
      </c>
      <c r="J26" s="28">
        <f>IF(B26="","",INDEX(QuanHe!$O$5:$O$105,MATCH(B26,QH_Z,1)))</f>
        <v/>
      </c>
      <c r="K26" s="28">
        <f>IF(B26="","",INDEX(QuanHe!$Q$5:$Q$105,MATCH(B26,QH_Z,1)))</f>
        <v/>
      </c>
      <c r="L26" s="28">
        <f>IF(B26="","",INDEX(QuanHe!$P$5:$P$105,MATCH(B26,QH_Z,1)))</f>
        <v/>
      </c>
      <c r="M26" s="28">
        <f>IF(B26="","",INDEX(QuanHe!$R$5:$R$105,MATCH(B26,QH_Z,1)))</f>
        <v/>
      </c>
    </row>
    <row r="27">
      <c r="A27" s="52">
        <f>IF(B27="","",ROW()-6)</f>
        <v/>
      </c>
      <c r="B27" s="26">
        <f>IF(B26="","",IF(B26+Buoc_in&gt;Z_cuoi_in+0.000001,"",ROUND(B26+Buoc_in,2)))</f>
        <v/>
      </c>
      <c r="C27" s="28">
        <f>IF(B27="","",INDEX(QuanHe!$H$5:$H$105,MATCH(B27,QH_Z,1)))</f>
        <v/>
      </c>
      <c r="D27" s="28">
        <f>IF(B27="","",INDEX(QuanHe!$I$5:$I$105,MATCH(B27,QH_Z,1)))</f>
        <v/>
      </c>
      <c r="E27" s="28">
        <f>IF(B27="","",INDEX(QuanHe!$L$5:$L$105,MATCH(B27,QH_Z,1)))</f>
        <v/>
      </c>
      <c r="F27" s="28">
        <f>IF(B27="","",INDEX(QuanHe!$M$5:$M$105,MATCH(B27,QH_Z,1)))</f>
        <v/>
      </c>
      <c r="G27" s="28">
        <f>IF(B27="","",INDEX(QuanHe!$N$5:$N$105,MATCH(B27,QH_Z,1)))</f>
        <v/>
      </c>
      <c r="H27" s="27">
        <f>IF(B27="","",INDEX(QuanHe!$C$5:$C$105,MATCH(B27,QH_Z,1)))</f>
        <v/>
      </c>
      <c r="I27" s="28">
        <f>IF(B27="","",INDEX(QuanHe!$D$5:$D$105,MATCH(B27,QH_Z,1)))</f>
        <v/>
      </c>
      <c r="J27" s="28">
        <f>IF(B27="","",INDEX(QuanHe!$O$5:$O$105,MATCH(B27,QH_Z,1)))</f>
        <v/>
      </c>
      <c r="K27" s="28">
        <f>IF(B27="","",INDEX(QuanHe!$Q$5:$Q$105,MATCH(B27,QH_Z,1)))</f>
        <v/>
      </c>
      <c r="L27" s="28">
        <f>IF(B27="","",INDEX(QuanHe!$P$5:$P$105,MATCH(B27,QH_Z,1)))</f>
        <v/>
      </c>
      <c r="M27" s="28">
        <f>IF(B27="","",INDEX(QuanHe!$R$5:$R$105,MATCH(B27,QH_Z,1)))</f>
        <v/>
      </c>
    </row>
    <row r="28">
      <c r="A28" s="52">
        <f>IF(B28="","",ROW()-6)</f>
        <v/>
      </c>
      <c r="B28" s="26">
        <f>IF(B27="","",IF(B27+Buoc_in&gt;Z_cuoi_in+0.000001,"",ROUND(B27+Buoc_in,2)))</f>
        <v/>
      </c>
      <c r="C28" s="28">
        <f>IF(B28="","",INDEX(QuanHe!$H$5:$H$105,MATCH(B28,QH_Z,1)))</f>
        <v/>
      </c>
      <c r="D28" s="28">
        <f>IF(B28="","",INDEX(QuanHe!$I$5:$I$105,MATCH(B28,QH_Z,1)))</f>
        <v/>
      </c>
      <c r="E28" s="28">
        <f>IF(B28="","",INDEX(QuanHe!$L$5:$L$105,MATCH(B28,QH_Z,1)))</f>
        <v/>
      </c>
      <c r="F28" s="28">
        <f>IF(B28="","",INDEX(QuanHe!$M$5:$M$105,MATCH(B28,QH_Z,1)))</f>
        <v/>
      </c>
      <c r="G28" s="28">
        <f>IF(B28="","",INDEX(QuanHe!$N$5:$N$105,MATCH(B28,QH_Z,1)))</f>
        <v/>
      </c>
      <c r="H28" s="27">
        <f>IF(B28="","",INDEX(QuanHe!$C$5:$C$105,MATCH(B28,QH_Z,1)))</f>
        <v/>
      </c>
      <c r="I28" s="28">
        <f>IF(B28="","",INDEX(QuanHe!$D$5:$D$105,MATCH(B28,QH_Z,1)))</f>
        <v/>
      </c>
      <c r="J28" s="28">
        <f>IF(B28="","",INDEX(QuanHe!$O$5:$O$105,MATCH(B28,QH_Z,1)))</f>
        <v/>
      </c>
      <c r="K28" s="28">
        <f>IF(B28="","",INDEX(QuanHe!$Q$5:$Q$105,MATCH(B28,QH_Z,1)))</f>
        <v/>
      </c>
      <c r="L28" s="28">
        <f>IF(B28="","",INDEX(QuanHe!$P$5:$P$105,MATCH(B28,QH_Z,1)))</f>
        <v/>
      </c>
      <c r="M28" s="28">
        <f>IF(B28="","",INDEX(QuanHe!$R$5:$R$105,MATCH(B28,QH_Z,1)))</f>
        <v/>
      </c>
    </row>
    <row r="29">
      <c r="A29" s="52">
        <f>IF(B29="","",ROW()-6)</f>
        <v/>
      </c>
      <c r="B29" s="26">
        <f>IF(B28="","",IF(B28+Buoc_in&gt;Z_cuoi_in+0.000001,"",ROUND(B28+Buoc_in,2)))</f>
        <v/>
      </c>
      <c r="C29" s="28">
        <f>IF(B29="","",INDEX(QuanHe!$H$5:$H$105,MATCH(B29,QH_Z,1)))</f>
        <v/>
      </c>
      <c r="D29" s="28">
        <f>IF(B29="","",INDEX(QuanHe!$I$5:$I$105,MATCH(B29,QH_Z,1)))</f>
        <v/>
      </c>
      <c r="E29" s="28">
        <f>IF(B29="","",INDEX(QuanHe!$L$5:$L$105,MATCH(B29,QH_Z,1)))</f>
        <v/>
      </c>
      <c r="F29" s="28">
        <f>IF(B29="","",INDEX(QuanHe!$M$5:$M$105,MATCH(B29,QH_Z,1)))</f>
        <v/>
      </c>
      <c r="G29" s="28">
        <f>IF(B29="","",INDEX(QuanHe!$N$5:$N$105,MATCH(B29,QH_Z,1)))</f>
        <v/>
      </c>
      <c r="H29" s="27">
        <f>IF(B29="","",INDEX(QuanHe!$C$5:$C$105,MATCH(B29,QH_Z,1)))</f>
        <v/>
      </c>
      <c r="I29" s="28">
        <f>IF(B29="","",INDEX(QuanHe!$D$5:$D$105,MATCH(B29,QH_Z,1)))</f>
        <v/>
      </c>
      <c r="J29" s="28">
        <f>IF(B29="","",INDEX(QuanHe!$O$5:$O$105,MATCH(B29,QH_Z,1)))</f>
        <v/>
      </c>
      <c r="K29" s="28">
        <f>IF(B29="","",INDEX(QuanHe!$Q$5:$Q$105,MATCH(B29,QH_Z,1)))</f>
        <v/>
      </c>
      <c r="L29" s="28">
        <f>IF(B29="","",INDEX(QuanHe!$P$5:$P$105,MATCH(B29,QH_Z,1)))</f>
        <v/>
      </c>
      <c r="M29" s="28">
        <f>IF(B29="","",INDEX(QuanHe!$R$5:$R$105,MATCH(B29,QH_Z,1)))</f>
        <v/>
      </c>
    </row>
    <row r="30">
      <c r="A30" s="52">
        <f>IF(B30="","",ROW()-6)</f>
        <v/>
      </c>
      <c r="B30" s="26">
        <f>IF(B29="","",IF(B29+Buoc_in&gt;Z_cuoi_in+0.000001,"",ROUND(B29+Buoc_in,2)))</f>
        <v/>
      </c>
      <c r="C30" s="28">
        <f>IF(B30="","",INDEX(QuanHe!$H$5:$H$105,MATCH(B30,QH_Z,1)))</f>
        <v/>
      </c>
      <c r="D30" s="28">
        <f>IF(B30="","",INDEX(QuanHe!$I$5:$I$105,MATCH(B30,QH_Z,1)))</f>
        <v/>
      </c>
      <c r="E30" s="28">
        <f>IF(B30="","",INDEX(QuanHe!$L$5:$L$105,MATCH(B30,QH_Z,1)))</f>
        <v/>
      </c>
      <c r="F30" s="28">
        <f>IF(B30="","",INDEX(QuanHe!$M$5:$M$105,MATCH(B30,QH_Z,1)))</f>
        <v/>
      </c>
      <c r="G30" s="28">
        <f>IF(B30="","",INDEX(QuanHe!$N$5:$N$105,MATCH(B30,QH_Z,1)))</f>
        <v/>
      </c>
      <c r="H30" s="27">
        <f>IF(B30="","",INDEX(QuanHe!$C$5:$C$105,MATCH(B30,QH_Z,1)))</f>
        <v/>
      </c>
      <c r="I30" s="28">
        <f>IF(B30="","",INDEX(QuanHe!$D$5:$D$105,MATCH(B30,QH_Z,1)))</f>
        <v/>
      </c>
      <c r="J30" s="28">
        <f>IF(B30="","",INDEX(QuanHe!$O$5:$O$105,MATCH(B30,QH_Z,1)))</f>
        <v/>
      </c>
      <c r="K30" s="28">
        <f>IF(B30="","",INDEX(QuanHe!$Q$5:$Q$105,MATCH(B30,QH_Z,1)))</f>
        <v/>
      </c>
      <c r="L30" s="28">
        <f>IF(B30="","",INDEX(QuanHe!$P$5:$P$105,MATCH(B30,QH_Z,1)))</f>
        <v/>
      </c>
      <c r="M30" s="28">
        <f>IF(B30="","",INDEX(QuanHe!$R$5:$R$105,MATCH(B30,QH_Z,1)))</f>
        <v/>
      </c>
    </row>
    <row r="31">
      <c r="A31" s="52">
        <f>IF(B31="","",ROW()-6)</f>
        <v/>
      </c>
      <c r="B31" s="26">
        <f>IF(B30="","",IF(B30+Buoc_in&gt;Z_cuoi_in+0.000001,"",ROUND(B30+Buoc_in,2)))</f>
        <v/>
      </c>
      <c r="C31" s="28">
        <f>IF(B31="","",INDEX(QuanHe!$H$5:$H$105,MATCH(B31,QH_Z,1)))</f>
        <v/>
      </c>
      <c r="D31" s="28">
        <f>IF(B31="","",INDEX(QuanHe!$I$5:$I$105,MATCH(B31,QH_Z,1)))</f>
        <v/>
      </c>
      <c r="E31" s="28">
        <f>IF(B31="","",INDEX(QuanHe!$L$5:$L$105,MATCH(B31,QH_Z,1)))</f>
        <v/>
      </c>
      <c r="F31" s="28">
        <f>IF(B31="","",INDEX(QuanHe!$M$5:$M$105,MATCH(B31,QH_Z,1)))</f>
        <v/>
      </c>
      <c r="G31" s="28">
        <f>IF(B31="","",INDEX(QuanHe!$N$5:$N$105,MATCH(B31,QH_Z,1)))</f>
        <v/>
      </c>
      <c r="H31" s="27">
        <f>IF(B31="","",INDEX(QuanHe!$C$5:$C$105,MATCH(B31,QH_Z,1)))</f>
        <v/>
      </c>
      <c r="I31" s="28">
        <f>IF(B31="","",INDEX(QuanHe!$D$5:$D$105,MATCH(B31,QH_Z,1)))</f>
        <v/>
      </c>
      <c r="J31" s="28">
        <f>IF(B31="","",INDEX(QuanHe!$O$5:$O$105,MATCH(B31,QH_Z,1)))</f>
        <v/>
      </c>
      <c r="K31" s="28">
        <f>IF(B31="","",INDEX(QuanHe!$Q$5:$Q$105,MATCH(B31,QH_Z,1)))</f>
        <v/>
      </c>
      <c r="L31" s="28">
        <f>IF(B31="","",INDEX(QuanHe!$P$5:$P$105,MATCH(B31,QH_Z,1)))</f>
        <v/>
      </c>
      <c r="M31" s="28">
        <f>IF(B31="","",INDEX(QuanHe!$R$5:$R$105,MATCH(B31,QH_Z,1)))</f>
        <v/>
      </c>
    </row>
    <row r="32">
      <c r="A32" s="52">
        <f>IF(B32="","",ROW()-6)</f>
        <v/>
      </c>
      <c r="B32" s="26">
        <f>IF(B31="","",IF(B31+Buoc_in&gt;Z_cuoi_in+0.000001,"",ROUND(B31+Buoc_in,2)))</f>
        <v/>
      </c>
      <c r="C32" s="28">
        <f>IF(B32="","",INDEX(QuanHe!$H$5:$H$105,MATCH(B32,QH_Z,1)))</f>
        <v/>
      </c>
      <c r="D32" s="28">
        <f>IF(B32="","",INDEX(QuanHe!$I$5:$I$105,MATCH(B32,QH_Z,1)))</f>
        <v/>
      </c>
      <c r="E32" s="28">
        <f>IF(B32="","",INDEX(QuanHe!$L$5:$L$105,MATCH(B32,QH_Z,1)))</f>
        <v/>
      </c>
      <c r="F32" s="28">
        <f>IF(B32="","",INDEX(QuanHe!$M$5:$M$105,MATCH(B32,QH_Z,1)))</f>
        <v/>
      </c>
      <c r="G32" s="28">
        <f>IF(B32="","",INDEX(QuanHe!$N$5:$N$105,MATCH(B32,QH_Z,1)))</f>
        <v/>
      </c>
      <c r="H32" s="27">
        <f>IF(B32="","",INDEX(QuanHe!$C$5:$C$105,MATCH(B32,QH_Z,1)))</f>
        <v/>
      </c>
      <c r="I32" s="28">
        <f>IF(B32="","",INDEX(QuanHe!$D$5:$D$105,MATCH(B32,QH_Z,1)))</f>
        <v/>
      </c>
      <c r="J32" s="28">
        <f>IF(B32="","",INDEX(QuanHe!$O$5:$O$105,MATCH(B32,QH_Z,1)))</f>
        <v/>
      </c>
      <c r="K32" s="28">
        <f>IF(B32="","",INDEX(QuanHe!$Q$5:$Q$105,MATCH(B32,QH_Z,1)))</f>
        <v/>
      </c>
      <c r="L32" s="28">
        <f>IF(B32="","",INDEX(QuanHe!$P$5:$P$105,MATCH(B32,QH_Z,1)))</f>
        <v/>
      </c>
      <c r="M32" s="28">
        <f>IF(B32="","",INDEX(QuanHe!$R$5:$R$105,MATCH(B32,QH_Z,1)))</f>
        <v/>
      </c>
    </row>
    <row r="33">
      <c r="A33" s="52">
        <f>IF(B33="","",ROW()-6)</f>
        <v/>
      </c>
      <c r="B33" s="26">
        <f>IF(B32="","",IF(B32+Buoc_in&gt;Z_cuoi_in+0.000001,"",ROUND(B32+Buoc_in,2)))</f>
        <v/>
      </c>
      <c r="C33" s="28">
        <f>IF(B33="","",INDEX(QuanHe!$H$5:$H$105,MATCH(B33,QH_Z,1)))</f>
        <v/>
      </c>
      <c r="D33" s="28">
        <f>IF(B33="","",INDEX(QuanHe!$I$5:$I$105,MATCH(B33,QH_Z,1)))</f>
        <v/>
      </c>
      <c r="E33" s="28">
        <f>IF(B33="","",INDEX(QuanHe!$L$5:$L$105,MATCH(B33,QH_Z,1)))</f>
        <v/>
      </c>
      <c r="F33" s="28">
        <f>IF(B33="","",INDEX(QuanHe!$M$5:$M$105,MATCH(B33,QH_Z,1)))</f>
        <v/>
      </c>
      <c r="G33" s="28">
        <f>IF(B33="","",INDEX(QuanHe!$N$5:$N$105,MATCH(B33,QH_Z,1)))</f>
        <v/>
      </c>
      <c r="H33" s="27">
        <f>IF(B33="","",INDEX(QuanHe!$C$5:$C$105,MATCH(B33,QH_Z,1)))</f>
        <v/>
      </c>
      <c r="I33" s="28">
        <f>IF(B33="","",INDEX(QuanHe!$D$5:$D$105,MATCH(B33,QH_Z,1)))</f>
        <v/>
      </c>
      <c r="J33" s="28">
        <f>IF(B33="","",INDEX(QuanHe!$O$5:$O$105,MATCH(B33,QH_Z,1)))</f>
        <v/>
      </c>
      <c r="K33" s="28">
        <f>IF(B33="","",INDEX(QuanHe!$Q$5:$Q$105,MATCH(B33,QH_Z,1)))</f>
        <v/>
      </c>
      <c r="L33" s="28">
        <f>IF(B33="","",INDEX(QuanHe!$P$5:$P$105,MATCH(B33,QH_Z,1)))</f>
        <v/>
      </c>
      <c r="M33" s="28">
        <f>IF(B33="","",INDEX(QuanHe!$R$5:$R$105,MATCH(B33,QH_Z,1)))</f>
        <v/>
      </c>
    </row>
    <row r="34">
      <c r="A34" s="52">
        <f>IF(B34="","",ROW()-6)</f>
        <v/>
      </c>
      <c r="B34" s="26">
        <f>IF(B33="","",IF(B33+Buoc_in&gt;Z_cuoi_in+0.000001,"",ROUND(B33+Buoc_in,2)))</f>
        <v/>
      </c>
      <c r="C34" s="28">
        <f>IF(B34="","",INDEX(QuanHe!$H$5:$H$105,MATCH(B34,QH_Z,1)))</f>
        <v/>
      </c>
      <c r="D34" s="28">
        <f>IF(B34="","",INDEX(QuanHe!$I$5:$I$105,MATCH(B34,QH_Z,1)))</f>
        <v/>
      </c>
      <c r="E34" s="28">
        <f>IF(B34="","",INDEX(QuanHe!$L$5:$L$105,MATCH(B34,QH_Z,1)))</f>
        <v/>
      </c>
      <c r="F34" s="28">
        <f>IF(B34="","",INDEX(QuanHe!$M$5:$M$105,MATCH(B34,QH_Z,1)))</f>
        <v/>
      </c>
      <c r="G34" s="28">
        <f>IF(B34="","",INDEX(QuanHe!$N$5:$N$105,MATCH(B34,QH_Z,1)))</f>
        <v/>
      </c>
      <c r="H34" s="27">
        <f>IF(B34="","",INDEX(QuanHe!$C$5:$C$105,MATCH(B34,QH_Z,1)))</f>
        <v/>
      </c>
      <c r="I34" s="28">
        <f>IF(B34="","",INDEX(QuanHe!$D$5:$D$105,MATCH(B34,QH_Z,1)))</f>
        <v/>
      </c>
      <c r="J34" s="28">
        <f>IF(B34="","",INDEX(QuanHe!$O$5:$O$105,MATCH(B34,QH_Z,1)))</f>
        <v/>
      </c>
      <c r="K34" s="28">
        <f>IF(B34="","",INDEX(QuanHe!$Q$5:$Q$105,MATCH(B34,QH_Z,1)))</f>
        <v/>
      </c>
      <c r="L34" s="28">
        <f>IF(B34="","",INDEX(QuanHe!$P$5:$P$105,MATCH(B34,QH_Z,1)))</f>
        <v/>
      </c>
      <c r="M34" s="28">
        <f>IF(B34="","",INDEX(QuanHe!$R$5:$R$105,MATCH(B34,QH_Z,1)))</f>
        <v/>
      </c>
    </row>
    <row r="35">
      <c r="A35" s="52">
        <f>IF(B35="","",ROW()-6)</f>
        <v/>
      </c>
      <c r="B35" s="26">
        <f>IF(B34="","",IF(B34+Buoc_in&gt;Z_cuoi_in+0.000001,"",ROUND(B34+Buoc_in,2)))</f>
        <v/>
      </c>
      <c r="C35" s="28">
        <f>IF(B35="","",INDEX(QuanHe!$H$5:$H$105,MATCH(B35,QH_Z,1)))</f>
        <v/>
      </c>
      <c r="D35" s="28">
        <f>IF(B35="","",INDEX(QuanHe!$I$5:$I$105,MATCH(B35,QH_Z,1)))</f>
        <v/>
      </c>
      <c r="E35" s="28">
        <f>IF(B35="","",INDEX(QuanHe!$L$5:$L$105,MATCH(B35,QH_Z,1)))</f>
        <v/>
      </c>
      <c r="F35" s="28">
        <f>IF(B35="","",INDEX(QuanHe!$M$5:$M$105,MATCH(B35,QH_Z,1)))</f>
        <v/>
      </c>
      <c r="G35" s="28">
        <f>IF(B35="","",INDEX(QuanHe!$N$5:$N$105,MATCH(B35,QH_Z,1)))</f>
        <v/>
      </c>
      <c r="H35" s="27">
        <f>IF(B35="","",INDEX(QuanHe!$C$5:$C$105,MATCH(B35,QH_Z,1)))</f>
        <v/>
      </c>
      <c r="I35" s="28">
        <f>IF(B35="","",INDEX(QuanHe!$D$5:$D$105,MATCH(B35,QH_Z,1)))</f>
        <v/>
      </c>
      <c r="J35" s="28">
        <f>IF(B35="","",INDEX(QuanHe!$O$5:$O$105,MATCH(B35,QH_Z,1)))</f>
        <v/>
      </c>
      <c r="K35" s="28">
        <f>IF(B35="","",INDEX(QuanHe!$Q$5:$Q$105,MATCH(B35,QH_Z,1)))</f>
        <v/>
      </c>
      <c r="L35" s="28">
        <f>IF(B35="","",INDEX(QuanHe!$P$5:$P$105,MATCH(B35,QH_Z,1)))</f>
        <v/>
      </c>
      <c r="M35" s="28">
        <f>IF(B35="","",INDEX(QuanHe!$R$5:$R$105,MATCH(B35,QH_Z,1)))</f>
        <v/>
      </c>
    </row>
    <row r="36">
      <c r="A36" s="52">
        <f>IF(B36="","",ROW()-6)</f>
        <v/>
      </c>
      <c r="B36" s="26">
        <f>IF(B35="","",IF(B35+Buoc_in&gt;Z_cuoi_in+0.000001,"",ROUND(B35+Buoc_in,2)))</f>
        <v/>
      </c>
      <c r="C36" s="28">
        <f>IF(B36="","",INDEX(QuanHe!$H$5:$H$105,MATCH(B36,QH_Z,1)))</f>
        <v/>
      </c>
      <c r="D36" s="28">
        <f>IF(B36="","",INDEX(QuanHe!$I$5:$I$105,MATCH(B36,QH_Z,1)))</f>
        <v/>
      </c>
      <c r="E36" s="28">
        <f>IF(B36="","",INDEX(QuanHe!$L$5:$L$105,MATCH(B36,QH_Z,1)))</f>
        <v/>
      </c>
      <c r="F36" s="28">
        <f>IF(B36="","",INDEX(QuanHe!$M$5:$M$105,MATCH(B36,QH_Z,1)))</f>
        <v/>
      </c>
      <c r="G36" s="28">
        <f>IF(B36="","",INDEX(QuanHe!$N$5:$N$105,MATCH(B36,QH_Z,1)))</f>
        <v/>
      </c>
      <c r="H36" s="27">
        <f>IF(B36="","",INDEX(QuanHe!$C$5:$C$105,MATCH(B36,QH_Z,1)))</f>
        <v/>
      </c>
      <c r="I36" s="28">
        <f>IF(B36="","",INDEX(QuanHe!$D$5:$D$105,MATCH(B36,QH_Z,1)))</f>
        <v/>
      </c>
      <c r="J36" s="28">
        <f>IF(B36="","",INDEX(QuanHe!$O$5:$O$105,MATCH(B36,QH_Z,1)))</f>
        <v/>
      </c>
      <c r="K36" s="28">
        <f>IF(B36="","",INDEX(QuanHe!$Q$5:$Q$105,MATCH(B36,QH_Z,1)))</f>
        <v/>
      </c>
      <c r="L36" s="28">
        <f>IF(B36="","",INDEX(QuanHe!$P$5:$P$105,MATCH(B36,QH_Z,1)))</f>
        <v/>
      </c>
      <c r="M36" s="28">
        <f>IF(B36="","",INDEX(QuanHe!$R$5:$R$105,MATCH(B36,QH_Z,1)))</f>
        <v/>
      </c>
    </row>
    <row r="37">
      <c r="A37" s="52">
        <f>IF(B37="","",ROW()-6)</f>
        <v/>
      </c>
      <c r="B37" s="26">
        <f>IF(B36="","",IF(B36+Buoc_in&gt;Z_cuoi_in+0.000001,"",ROUND(B36+Buoc_in,2)))</f>
        <v/>
      </c>
      <c r="C37" s="28">
        <f>IF(B37="","",INDEX(QuanHe!$H$5:$H$105,MATCH(B37,QH_Z,1)))</f>
        <v/>
      </c>
      <c r="D37" s="28">
        <f>IF(B37="","",INDEX(QuanHe!$I$5:$I$105,MATCH(B37,QH_Z,1)))</f>
        <v/>
      </c>
      <c r="E37" s="28">
        <f>IF(B37="","",INDEX(QuanHe!$L$5:$L$105,MATCH(B37,QH_Z,1)))</f>
        <v/>
      </c>
      <c r="F37" s="28">
        <f>IF(B37="","",INDEX(QuanHe!$M$5:$M$105,MATCH(B37,QH_Z,1)))</f>
        <v/>
      </c>
      <c r="G37" s="28">
        <f>IF(B37="","",INDEX(QuanHe!$N$5:$N$105,MATCH(B37,QH_Z,1)))</f>
        <v/>
      </c>
      <c r="H37" s="27">
        <f>IF(B37="","",INDEX(QuanHe!$C$5:$C$105,MATCH(B37,QH_Z,1)))</f>
        <v/>
      </c>
      <c r="I37" s="28">
        <f>IF(B37="","",INDEX(QuanHe!$D$5:$D$105,MATCH(B37,QH_Z,1)))</f>
        <v/>
      </c>
      <c r="J37" s="28">
        <f>IF(B37="","",INDEX(QuanHe!$O$5:$O$105,MATCH(B37,QH_Z,1)))</f>
        <v/>
      </c>
      <c r="K37" s="28">
        <f>IF(B37="","",INDEX(QuanHe!$Q$5:$Q$105,MATCH(B37,QH_Z,1)))</f>
        <v/>
      </c>
      <c r="L37" s="28">
        <f>IF(B37="","",INDEX(QuanHe!$P$5:$P$105,MATCH(B37,QH_Z,1)))</f>
        <v/>
      </c>
      <c r="M37" s="28">
        <f>IF(B37="","",INDEX(QuanHe!$R$5:$R$105,MATCH(B37,QH_Z,1)))</f>
        <v/>
      </c>
    </row>
    <row r="38">
      <c r="A38" s="52">
        <f>IF(B38="","",ROW()-6)</f>
        <v/>
      </c>
      <c r="B38" s="26">
        <f>IF(B37="","",IF(B37+Buoc_in&gt;Z_cuoi_in+0.000001,"",ROUND(B37+Buoc_in,2)))</f>
        <v/>
      </c>
      <c r="C38" s="28">
        <f>IF(B38="","",INDEX(QuanHe!$H$5:$H$105,MATCH(B38,QH_Z,1)))</f>
        <v/>
      </c>
      <c r="D38" s="28">
        <f>IF(B38="","",INDEX(QuanHe!$I$5:$I$105,MATCH(B38,QH_Z,1)))</f>
        <v/>
      </c>
      <c r="E38" s="28">
        <f>IF(B38="","",INDEX(QuanHe!$L$5:$L$105,MATCH(B38,QH_Z,1)))</f>
        <v/>
      </c>
      <c r="F38" s="28">
        <f>IF(B38="","",INDEX(QuanHe!$M$5:$M$105,MATCH(B38,QH_Z,1)))</f>
        <v/>
      </c>
      <c r="G38" s="28">
        <f>IF(B38="","",INDEX(QuanHe!$N$5:$N$105,MATCH(B38,QH_Z,1)))</f>
        <v/>
      </c>
      <c r="H38" s="27">
        <f>IF(B38="","",INDEX(QuanHe!$C$5:$C$105,MATCH(B38,QH_Z,1)))</f>
        <v/>
      </c>
      <c r="I38" s="28">
        <f>IF(B38="","",INDEX(QuanHe!$D$5:$D$105,MATCH(B38,QH_Z,1)))</f>
        <v/>
      </c>
      <c r="J38" s="28">
        <f>IF(B38="","",INDEX(QuanHe!$O$5:$O$105,MATCH(B38,QH_Z,1)))</f>
        <v/>
      </c>
      <c r="K38" s="28">
        <f>IF(B38="","",INDEX(QuanHe!$Q$5:$Q$105,MATCH(B38,QH_Z,1)))</f>
        <v/>
      </c>
      <c r="L38" s="28">
        <f>IF(B38="","",INDEX(QuanHe!$P$5:$P$105,MATCH(B38,QH_Z,1)))</f>
        <v/>
      </c>
      <c r="M38" s="28">
        <f>IF(B38="","",INDEX(QuanHe!$R$5:$R$105,MATCH(B38,QH_Z,1)))</f>
        <v/>
      </c>
    </row>
    <row r="39">
      <c r="A39" s="52">
        <f>IF(B39="","",ROW()-6)</f>
        <v/>
      </c>
      <c r="B39" s="26">
        <f>IF(B38="","",IF(B38+Buoc_in&gt;Z_cuoi_in+0.000001,"",ROUND(B38+Buoc_in,2)))</f>
        <v/>
      </c>
      <c r="C39" s="28">
        <f>IF(B39="","",INDEX(QuanHe!$H$5:$H$105,MATCH(B39,QH_Z,1)))</f>
        <v/>
      </c>
      <c r="D39" s="28">
        <f>IF(B39="","",INDEX(QuanHe!$I$5:$I$105,MATCH(B39,QH_Z,1)))</f>
        <v/>
      </c>
      <c r="E39" s="28">
        <f>IF(B39="","",INDEX(QuanHe!$L$5:$L$105,MATCH(B39,QH_Z,1)))</f>
        <v/>
      </c>
      <c r="F39" s="28">
        <f>IF(B39="","",INDEX(QuanHe!$M$5:$M$105,MATCH(B39,QH_Z,1)))</f>
        <v/>
      </c>
      <c r="G39" s="28">
        <f>IF(B39="","",INDEX(QuanHe!$N$5:$N$105,MATCH(B39,QH_Z,1)))</f>
        <v/>
      </c>
      <c r="H39" s="27">
        <f>IF(B39="","",INDEX(QuanHe!$C$5:$C$105,MATCH(B39,QH_Z,1)))</f>
        <v/>
      </c>
      <c r="I39" s="28">
        <f>IF(B39="","",INDEX(QuanHe!$D$5:$D$105,MATCH(B39,QH_Z,1)))</f>
        <v/>
      </c>
      <c r="J39" s="28">
        <f>IF(B39="","",INDEX(QuanHe!$O$5:$O$105,MATCH(B39,QH_Z,1)))</f>
        <v/>
      </c>
      <c r="K39" s="28">
        <f>IF(B39="","",INDEX(QuanHe!$Q$5:$Q$105,MATCH(B39,QH_Z,1)))</f>
        <v/>
      </c>
      <c r="L39" s="28">
        <f>IF(B39="","",INDEX(QuanHe!$P$5:$P$105,MATCH(B39,QH_Z,1)))</f>
        <v/>
      </c>
      <c r="M39" s="28">
        <f>IF(B39="","",INDEX(QuanHe!$R$5:$R$105,MATCH(B39,QH_Z,1)))</f>
        <v/>
      </c>
    </row>
    <row r="40">
      <c r="A40" s="52">
        <f>IF(B40="","",ROW()-6)</f>
        <v/>
      </c>
      <c r="B40" s="26">
        <f>IF(B39="","",IF(B39+Buoc_in&gt;Z_cuoi_in+0.000001,"",ROUND(B39+Buoc_in,2)))</f>
        <v/>
      </c>
      <c r="C40" s="28">
        <f>IF(B40="","",INDEX(QuanHe!$H$5:$H$105,MATCH(B40,QH_Z,1)))</f>
        <v/>
      </c>
      <c r="D40" s="28">
        <f>IF(B40="","",INDEX(QuanHe!$I$5:$I$105,MATCH(B40,QH_Z,1)))</f>
        <v/>
      </c>
      <c r="E40" s="28">
        <f>IF(B40="","",INDEX(QuanHe!$L$5:$L$105,MATCH(B40,QH_Z,1)))</f>
        <v/>
      </c>
      <c r="F40" s="28">
        <f>IF(B40="","",INDEX(QuanHe!$M$5:$M$105,MATCH(B40,QH_Z,1)))</f>
        <v/>
      </c>
      <c r="G40" s="28">
        <f>IF(B40="","",INDEX(QuanHe!$N$5:$N$105,MATCH(B40,QH_Z,1)))</f>
        <v/>
      </c>
      <c r="H40" s="27">
        <f>IF(B40="","",INDEX(QuanHe!$C$5:$C$105,MATCH(B40,QH_Z,1)))</f>
        <v/>
      </c>
      <c r="I40" s="28">
        <f>IF(B40="","",INDEX(QuanHe!$D$5:$D$105,MATCH(B40,QH_Z,1)))</f>
        <v/>
      </c>
      <c r="J40" s="28">
        <f>IF(B40="","",INDEX(QuanHe!$O$5:$O$105,MATCH(B40,QH_Z,1)))</f>
        <v/>
      </c>
      <c r="K40" s="28">
        <f>IF(B40="","",INDEX(QuanHe!$Q$5:$Q$105,MATCH(B40,QH_Z,1)))</f>
        <v/>
      </c>
      <c r="L40" s="28">
        <f>IF(B40="","",INDEX(QuanHe!$P$5:$P$105,MATCH(B40,QH_Z,1)))</f>
        <v/>
      </c>
      <c r="M40" s="28">
        <f>IF(B40="","",INDEX(QuanHe!$R$5:$R$105,MATCH(B40,QH_Z,1)))</f>
        <v/>
      </c>
    </row>
    <row r="41">
      <c r="A41" s="52">
        <f>IF(B41="","",ROW()-6)</f>
        <v/>
      </c>
      <c r="B41" s="26">
        <f>IF(B40="","",IF(B40+Buoc_in&gt;Z_cuoi_in+0.000001,"",ROUND(B40+Buoc_in,2)))</f>
        <v/>
      </c>
      <c r="C41" s="28">
        <f>IF(B41="","",INDEX(QuanHe!$H$5:$H$105,MATCH(B41,QH_Z,1)))</f>
        <v/>
      </c>
      <c r="D41" s="28">
        <f>IF(B41="","",INDEX(QuanHe!$I$5:$I$105,MATCH(B41,QH_Z,1)))</f>
        <v/>
      </c>
      <c r="E41" s="28">
        <f>IF(B41="","",INDEX(QuanHe!$L$5:$L$105,MATCH(B41,QH_Z,1)))</f>
        <v/>
      </c>
      <c r="F41" s="28">
        <f>IF(B41="","",INDEX(QuanHe!$M$5:$M$105,MATCH(B41,QH_Z,1)))</f>
        <v/>
      </c>
      <c r="G41" s="28">
        <f>IF(B41="","",INDEX(QuanHe!$N$5:$N$105,MATCH(B41,QH_Z,1)))</f>
        <v/>
      </c>
      <c r="H41" s="27">
        <f>IF(B41="","",INDEX(QuanHe!$C$5:$C$105,MATCH(B41,QH_Z,1)))</f>
        <v/>
      </c>
      <c r="I41" s="28">
        <f>IF(B41="","",INDEX(QuanHe!$D$5:$D$105,MATCH(B41,QH_Z,1)))</f>
        <v/>
      </c>
      <c r="J41" s="28">
        <f>IF(B41="","",INDEX(QuanHe!$O$5:$O$105,MATCH(B41,QH_Z,1)))</f>
        <v/>
      </c>
      <c r="K41" s="28">
        <f>IF(B41="","",INDEX(QuanHe!$Q$5:$Q$105,MATCH(B41,QH_Z,1)))</f>
        <v/>
      </c>
      <c r="L41" s="28">
        <f>IF(B41="","",INDEX(QuanHe!$P$5:$P$105,MATCH(B41,QH_Z,1)))</f>
        <v/>
      </c>
      <c r="M41" s="28">
        <f>IF(B41="","",INDEX(QuanHe!$R$5:$R$105,MATCH(B41,QH_Z,1)))</f>
        <v/>
      </c>
    </row>
    <row r="42">
      <c r="A42" s="52">
        <f>IF(B42="","",ROW()-6)</f>
        <v/>
      </c>
      <c r="B42" s="26">
        <f>IF(B41="","",IF(B41+Buoc_in&gt;Z_cuoi_in+0.000001,"",ROUND(B41+Buoc_in,2)))</f>
        <v/>
      </c>
      <c r="C42" s="28">
        <f>IF(B42="","",INDEX(QuanHe!$H$5:$H$105,MATCH(B42,QH_Z,1)))</f>
        <v/>
      </c>
      <c r="D42" s="28">
        <f>IF(B42="","",INDEX(QuanHe!$I$5:$I$105,MATCH(B42,QH_Z,1)))</f>
        <v/>
      </c>
      <c r="E42" s="28">
        <f>IF(B42="","",INDEX(QuanHe!$L$5:$L$105,MATCH(B42,QH_Z,1)))</f>
        <v/>
      </c>
      <c r="F42" s="28">
        <f>IF(B42="","",INDEX(QuanHe!$M$5:$M$105,MATCH(B42,QH_Z,1)))</f>
        <v/>
      </c>
      <c r="G42" s="28">
        <f>IF(B42="","",INDEX(QuanHe!$N$5:$N$105,MATCH(B42,QH_Z,1)))</f>
        <v/>
      </c>
      <c r="H42" s="27">
        <f>IF(B42="","",INDEX(QuanHe!$C$5:$C$105,MATCH(B42,QH_Z,1)))</f>
        <v/>
      </c>
      <c r="I42" s="28">
        <f>IF(B42="","",INDEX(QuanHe!$D$5:$D$105,MATCH(B42,QH_Z,1)))</f>
        <v/>
      </c>
      <c r="J42" s="28">
        <f>IF(B42="","",INDEX(QuanHe!$O$5:$O$105,MATCH(B42,QH_Z,1)))</f>
        <v/>
      </c>
      <c r="K42" s="28">
        <f>IF(B42="","",INDEX(QuanHe!$Q$5:$Q$105,MATCH(B42,QH_Z,1)))</f>
        <v/>
      </c>
      <c r="L42" s="28">
        <f>IF(B42="","",INDEX(QuanHe!$P$5:$P$105,MATCH(B42,QH_Z,1)))</f>
        <v/>
      </c>
      <c r="M42" s="28">
        <f>IF(B42="","",INDEX(QuanHe!$R$5:$R$105,MATCH(B42,QH_Z,1)))</f>
        <v/>
      </c>
    </row>
    <row r="43">
      <c r="A43" s="52">
        <f>IF(B43="","",ROW()-6)</f>
        <v/>
      </c>
      <c r="B43" s="26">
        <f>IF(B42="","",IF(B42+Buoc_in&gt;Z_cuoi_in+0.000001,"",ROUND(B42+Buoc_in,2)))</f>
        <v/>
      </c>
      <c r="C43" s="28">
        <f>IF(B43="","",INDEX(QuanHe!$H$5:$H$105,MATCH(B43,QH_Z,1)))</f>
        <v/>
      </c>
      <c r="D43" s="28">
        <f>IF(B43="","",INDEX(QuanHe!$I$5:$I$105,MATCH(B43,QH_Z,1)))</f>
        <v/>
      </c>
      <c r="E43" s="28">
        <f>IF(B43="","",INDEX(QuanHe!$L$5:$L$105,MATCH(B43,QH_Z,1)))</f>
        <v/>
      </c>
      <c r="F43" s="28">
        <f>IF(B43="","",INDEX(QuanHe!$M$5:$M$105,MATCH(B43,QH_Z,1)))</f>
        <v/>
      </c>
      <c r="G43" s="28">
        <f>IF(B43="","",INDEX(QuanHe!$N$5:$N$105,MATCH(B43,QH_Z,1)))</f>
        <v/>
      </c>
      <c r="H43" s="27">
        <f>IF(B43="","",INDEX(QuanHe!$C$5:$C$105,MATCH(B43,QH_Z,1)))</f>
        <v/>
      </c>
      <c r="I43" s="28">
        <f>IF(B43="","",INDEX(QuanHe!$D$5:$D$105,MATCH(B43,QH_Z,1)))</f>
        <v/>
      </c>
      <c r="J43" s="28">
        <f>IF(B43="","",INDEX(QuanHe!$O$5:$O$105,MATCH(B43,QH_Z,1)))</f>
        <v/>
      </c>
      <c r="K43" s="28">
        <f>IF(B43="","",INDEX(QuanHe!$Q$5:$Q$105,MATCH(B43,QH_Z,1)))</f>
        <v/>
      </c>
      <c r="L43" s="28">
        <f>IF(B43="","",INDEX(QuanHe!$P$5:$P$105,MATCH(B43,QH_Z,1)))</f>
        <v/>
      </c>
      <c r="M43" s="28">
        <f>IF(B43="","",INDEX(QuanHe!$R$5:$R$105,MATCH(B43,QH_Z,1)))</f>
        <v/>
      </c>
    </row>
    <row r="44">
      <c r="A44" s="52">
        <f>IF(B44="","",ROW()-6)</f>
        <v/>
      </c>
      <c r="B44" s="26">
        <f>IF(B43="","",IF(B43+Buoc_in&gt;Z_cuoi_in+0.000001,"",ROUND(B43+Buoc_in,2)))</f>
        <v/>
      </c>
      <c r="C44" s="28">
        <f>IF(B44="","",INDEX(QuanHe!$H$5:$H$105,MATCH(B44,QH_Z,1)))</f>
        <v/>
      </c>
      <c r="D44" s="28">
        <f>IF(B44="","",INDEX(QuanHe!$I$5:$I$105,MATCH(B44,QH_Z,1)))</f>
        <v/>
      </c>
      <c r="E44" s="28">
        <f>IF(B44="","",INDEX(QuanHe!$L$5:$L$105,MATCH(B44,QH_Z,1)))</f>
        <v/>
      </c>
      <c r="F44" s="28">
        <f>IF(B44="","",INDEX(QuanHe!$M$5:$M$105,MATCH(B44,QH_Z,1)))</f>
        <v/>
      </c>
      <c r="G44" s="28">
        <f>IF(B44="","",INDEX(QuanHe!$N$5:$N$105,MATCH(B44,QH_Z,1)))</f>
        <v/>
      </c>
      <c r="H44" s="27">
        <f>IF(B44="","",INDEX(QuanHe!$C$5:$C$105,MATCH(B44,QH_Z,1)))</f>
        <v/>
      </c>
      <c r="I44" s="28">
        <f>IF(B44="","",INDEX(QuanHe!$D$5:$D$105,MATCH(B44,QH_Z,1)))</f>
        <v/>
      </c>
      <c r="J44" s="28">
        <f>IF(B44="","",INDEX(QuanHe!$O$5:$O$105,MATCH(B44,QH_Z,1)))</f>
        <v/>
      </c>
      <c r="K44" s="28">
        <f>IF(B44="","",INDEX(QuanHe!$Q$5:$Q$105,MATCH(B44,QH_Z,1)))</f>
        <v/>
      </c>
      <c r="L44" s="28">
        <f>IF(B44="","",INDEX(QuanHe!$P$5:$P$105,MATCH(B44,QH_Z,1)))</f>
        <v/>
      </c>
      <c r="M44" s="28">
        <f>IF(B44="","",INDEX(QuanHe!$R$5:$R$105,MATCH(B44,QH_Z,1)))</f>
        <v/>
      </c>
    </row>
    <row r="45">
      <c r="A45" s="52">
        <f>IF(B45="","",ROW()-6)</f>
        <v/>
      </c>
      <c r="B45" s="26">
        <f>IF(B44="","",IF(B44+Buoc_in&gt;Z_cuoi_in+0.000001,"",ROUND(B44+Buoc_in,2)))</f>
        <v/>
      </c>
      <c r="C45" s="28">
        <f>IF(B45="","",INDEX(QuanHe!$H$5:$H$105,MATCH(B45,QH_Z,1)))</f>
        <v/>
      </c>
      <c r="D45" s="28">
        <f>IF(B45="","",INDEX(QuanHe!$I$5:$I$105,MATCH(B45,QH_Z,1)))</f>
        <v/>
      </c>
      <c r="E45" s="28">
        <f>IF(B45="","",INDEX(QuanHe!$L$5:$L$105,MATCH(B45,QH_Z,1)))</f>
        <v/>
      </c>
      <c r="F45" s="28">
        <f>IF(B45="","",INDEX(QuanHe!$M$5:$M$105,MATCH(B45,QH_Z,1)))</f>
        <v/>
      </c>
      <c r="G45" s="28">
        <f>IF(B45="","",INDEX(QuanHe!$N$5:$N$105,MATCH(B45,QH_Z,1)))</f>
        <v/>
      </c>
      <c r="H45" s="27">
        <f>IF(B45="","",INDEX(QuanHe!$C$5:$C$105,MATCH(B45,QH_Z,1)))</f>
        <v/>
      </c>
      <c r="I45" s="28">
        <f>IF(B45="","",INDEX(QuanHe!$D$5:$D$105,MATCH(B45,QH_Z,1)))</f>
        <v/>
      </c>
      <c r="J45" s="28">
        <f>IF(B45="","",INDEX(QuanHe!$O$5:$O$105,MATCH(B45,QH_Z,1)))</f>
        <v/>
      </c>
      <c r="K45" s="28">
        <f>IF(B45="","",INDEX(QuanHe!$Q$5:$Q$105,MATCH(B45,QH_Z,1)))</f>
        <v/>
      </c>
      <c r="L45" s="28">
        <f>IF(B45="","",INDEX(QuanHe!$P$5:$P$105,MATCH(B45,QH_Z,1)))</f>
        <v/>
      </c>
      <c r="M45" s="28">
        <f>IF(B45="","",INDEX(QuanHe!$R$5:$R$105,MATCH(B45,QH_Z,1)))</f>
        <v/>
      </c>
    </row>
    <row r="46">
      <c r="A46" s="52">
        <f>IF(B46="","",ROW()-6)</f>
        <v/>
      </c>
      <c r="B46" s="26">
        <f>IF(B45="","",IF(B45+Buoc_in&gt;Z_cuoi_in+0.000001,"",ROUND(B45+Buoc_in,2)))</f>
        <v/>
      </c>
      <c r="C46" s="28">
        <f>IF(B46="","",INDEX(QuanHe!$H$5:$H$105,MATCH(B46,QH_Z,1)))</f>
        <v/>
      </c>
      <c r="D46" s="28">
        <f>IF(B46="","",INDEX(QuanHe!$I$5:$I$105,MATCH(B46,QH_Z,1)))</f>
        <v/>
      </c>
      <c r="E46" s="28">
        <f>IF(B46="","",INDEX(QuanHe!$L$5:$L$105,MATCH(B46,QH_Z,1)))</f>
        <v/>
      </c>
      <c r="F46" s="28">
        <f>IF(B46="","",INDEX(QuanHe!$M$5:$M$105,MATCH(B46,QH_Z,1)))</f>
        <v/>
      </c>
      <c r="G46" s="28">
        <f>IF(B46="","",INDEX(QuanHe!$N$5:$N$105,MATCH(B46,QH_Z,1)))</f>
        <v/>
      </c>
      <c r="H46" s="27">
        <f>IF(B46="","",INDEX(QuanHe!$C$5:$C$105,MATCH(B46,QH_Z,1)))</f>
        <v/>
      </c>
      <c r="I46" s="28">
        <f>IF(B46="","",INDEX(QuanHe!$D$5:$D$105,MATCH(B46,QH_Z,1)))</f>
        <v/>
      </c>
      <c r="J46" s="28">
        <f>IF(B46="","",INDEX(QuanHe!$O$5:$O$105,MATCH(B46,QH_Z,1)))</f>
        <v/>
      </c>
      <c r="K46" s="28">
        <f>IF(B46="","",INDEX(QuanHe!$Q$5:$Q$105,MATCH(B46,QH_Z,1)))</f>
        <v/>
      </c>
      <c r="L46" s="28">
        <f>IF(B46="","",INDEX(QuanHe!$P$5:$P$105,MATCH(B46,QH_Z,1)))</f>
        <v/>
      </c>
      <c r="M46" s="28">
        <f>IF(B46="","",INDEX(QuanHe!$R$5:$R$105,MATCH(B46,QH_Z,1)))</f>
        <v/>
      </c>
    </row>
    <row r="47">
      <c r="A47" s="52">
        <f>IF(B47="","",ROW()-6)</f>
        <v/>
      </c>
      <c r="B47" s="26">
        <f>IF(B46="","",IF(B46+Buoc_in&gt;Z_cuoi_in+0.000001,"",ROUND(B46+Buoc_in,2)))</f>
        <v/>
      </c>
      <c r="C47" s="28">
        <f>IF(B47="","",INDEX(QuanHe!$H$5:$H$105,MATCH(B47,QH_Z,1)))</f>
        <v/>
      </c>
      <c r="D47" s="28">
        <f>IF(B47="","",INDEX(QuanHe!$I$5:$I$105,MATCH(B47,QH_Z,1)))</f>
        <v/>
      </c>
      <c r="E47" s="28">
        <f>IF(B47="","",INDEX(QuanHe!$L$5:$L$105,MATCH(B47,QH_Z,1)))</f>
        <v/>
      </c>
      <c r="F47" s="28">
        <f>IF(B47="","",INDEX(QuanHe!$M$5:$M$105,MATCH(B47,QH_Z,1)))</f>
        <v/>
      </c>
      <c r="G47" s="28">
        <f>IF(B47="","",INDEX(QuanHe!$N$5:$N$105,MATCH(B47,QH_Z,1)))</f>
        <v/>
      </c>
      <c r="H47" s="27">
        <f>IF(B47="","",INDEX(QuanHe!$C$5:$C$105,MATCH(B47,QH_Z,1)))</f>
        <v/>
      </c>
      <c r="I47" s="28">
        <f>IF(B47="","",INDEX(QuanHe!$D$5:$D$105,MATCH(B47,QH_Z,1)))</f>
        <v/>
      </c>
      <c r="J47" s="28">
        <f>IF(B47="","",INDEX(QuanHe!$O$5:$O$105,MATCH(B47,QH_Z,1)))</f>
        <v/>
      </c>
      <c r="K47" s="28">
        <f>IF(B47="","",INDEX(QuanHe!$Q$5:$Q$105,MATCH(B47,QH_Z,1)))</f>
        <v/>
      </c>
      <c r="L47" s="28">
        <f>IF(B47="","",INDEX(QuanHe!$P$5:$P$105,MATCH(B47,QH_Z,1)))</f>
        <v/>
      </c>
      <c r="M47" s="28">
        <f>IF(B47="","",INDEX(QuanHe!$R$5:$R$105,MATCH(B47,QH_Z,1)))</f>
        <v/>
      </c>
    </row>
    <row r="48">
      <c r="A48" s="52">
        <f>IF(B48="","",ROW()-6)</f>
        <v/>
      </c>
      <c r="B48" s="26">
        <f>IF(B47="","",IF(B47+Buoc_in&gt;Z_cuoi_in+0.000001,"",ROUND(B47+Buoc_in,2)))</f>
        <v/>
      </c>
      <c r="C48" s="28">
        <f>IF(B48="","",INDEX(QuanHe!$H$5:$H$105,MATCH(B48,QH_Z,1)))</f>
        <v/>
      </c>
      <c r="D48" s="28">
        <f>IF(B48="","",INDEX(QuanHe!$I$5:$I$105,MATCH(B48,QH_Z,1)))</f>
        <v/>
      </c>
      <c r="E48" s="28">
        <f>IF(B48="","",INDEX(QuanHe!$L$5:$L$105,MATCH(B48,QH_Z,1)))</f>
        <v/>
      </c>
      <c r="F48" s="28">
        <f>IF(B48="","",INDEX(QuanHe!$M$5:$M$105,MATCH(B48,QH_Z,1)))</f>
        <v/>
      </c>
      <c r="G48" s="28">
        <f>IF(B48="","",INDEX(QuanHe!$N$5:$N$105,MATCH(B48,QH_Z,1)))</f>
        <v/>
      </c>
      <c r="H48" s="27">
        <f>IF(B48="","",INDEX(QuanHe!$C$5:$C$105,MATCH(B48,QH_Z,1)))</f>
        <v/>
      </c>
      <c r="I48" s="28">
        <f>IF(B48="","",INDEX(QuanHe!$D$5:$D$105,MATCH(B48,QH_Z,1)))</f>
        <v/>
      </c>
      <c r="J48" s="28">
        <f>IF(B48="","",INDEX(QuanHe!$O$5:$O$105,MATCH(B48,QH_Z,1)))</f>
        <v/>
      </c>
      <c r="K48" s="28">
        <f>IF(B48="","",INDEX(QuanHe!$Q$5:$Q$105,MATCH(B48,QH_Z,1)))</f>
        <v/>
      </c>
      <c r="L48" s="28">
        <f>IF(B48="","",INDEX(QuanHe!$P$5:$P$105,MATCH(B48,QH_Z,1)))</f>
        <v/>
      </c>
      <c r="M48" s="28">
        <f>IF(B48="","",INDEX(QuanHe!$R$5:$R$105,MATCH(B48,QH_Z,1)))</f>
        <v/>
      </c>
    </row>
    <row r="49">
      <c r="A49" s="52">
        <f>IF(B49="","",ROW()-6)</f>
        <v/>
      </c>
      <c r="B49" s="26">
        <f>IF(B48="","",IF(B48+Buoc_in&gt;Z_cuoi_in+0.000001,"",ROUND(B48+Buoc_in,2)))</f>
        <v/>
      </c>
      <c r="C49" s="28">
        <f>IF(B49="","",INDEX(QuanHe!$H$5:$H$105,MATCH(B49,QH_Z,1)))</f>
        <v/>
      </c>
      <c r="D49" s="28">
        <f>IF(B49="","",INDEX(QuanHe!$I$5:$I$105,MATCH(B49,QH_Z,1)))</f>
        <v/>
      </c>
      <c r="E49" s="28">
        <f>IF(B49="","",INDEX(QuanHe!$L$5:$L$105,MATCH(B49,QH_Z,1)))</f>
        <v/>
      </c>
      <c r="F49" s="28">
        <f>IF(B49="","",INDEX(QuanHe!$M$5:$M$105,MATCH(B49,QH_Z,1)))</f>
        <v/>
      </c>
      <c r="G49" s="28">
        <f>IF(B49="","",INDEX(QuanHe!$N$5:$N$105,MATCH(B49,QH_Z,1)))</f>
        <v/>
      </c>
      <c r="H49" s="27">
        <f>IF(B49="","",INDEX(QuanHe!$C$5:$C$105,MATCH(B49,QH_Z,1)))</f>
        <v/>
      </c>
      <c r="I49" s="28">
        <f>IF(B49="","",INDEX(QuanHe!$D$5:$D$105,MATCH(B49,QH_Z,1)))</f>
        <v/>
      </c>
      <c r="J49" s="28">
        <f>IF(B49="","",INDEX(QuanHe!$O$5:$O$105,MATCH(B49,QH_Z,1)))</f>
        <v/>
      </c>
      <c r="K49" s="28">
        <f>IF(B49="","",INDEX(QuanHe!$Q$5:$Q$105,MATCH(B49,QH_Z,1)))</f>
        <v/>
      </c>
      <c r="L49" s="28">
        <f>IF(B49="","",INDEX(QuanHe!$P$5:$P$105,MATCH(B49,QH_Z,1)))</f>
        <v/>
      </c>
      <c r="M49" s="28">
        <f>IF(B49="","",INDEX(QuanHe!$R$5:$R$105,MATCH(B49,QH_Z,1)))</f>
        <v/>
      </c>
    </row>
    <row r="50">
      <c r="A50" s="52">
        <f>IF(B50="","",ROW()-6)</f>
        <v/>
      </c>
      <c r="B50" s="26">
        <f>IF(B49="","",IF(B49+Buoc_in&gt;Z_cuoi_in+0.000001,"",ROUND(B49+Buoc_in,2)))</f>
        <v/>
      </c>
      <c r="C50" s="28">
        <f>IF(B50="","",INDEX(QuanHe!$H$5:$H$105,MATCH(B50,QH_Z,1)))</f>
        <v/>
      </c>
      <c r="D50" s="28">
        <f>IF(B50="","",INDEX(QuanHe!$I$5:$I$105,MATCH(B50,QH_Z,1)))</f>
        <v/>
      </c>
      <c r="E50" s="28">
        <f>IF(B50="","",INDEX(QuanHe!$L$5:$L$105,MATCH(B50,QH_Z,1)))</f>
        <v/>
      </c>
      <c r="F50" s="28">
        <f>IF(B50="","",INDEX(QuanHe!$M$5:$M$105,MATCH(B50,QH_Z,1)))</f>
        <v/>
      </c>
      <c r="G50" s="28">
        <f>IF(B50="","",INDEX(QuanHe!$N$5:$N$105,MATCH(B50,QH_Z,1)))</f>
        <v/>
      </c>
      <c r="H50" s="27">
        <f>IF(B50="","",INDEX(QuanHe!$C$5:$C$105,MATCH(B50,QH_Z,1)))</f>
        <v/>
      </c>
      <c r="I50" s="28">
        <f>IF(B50="","",INDEX(QuanHe!$D$5:$D$105,MATCH(B50,QH_Z,1)))</f>
        <v/>
      </c>
      <c r="J50" s="28">
        <f>IF(B50="","",INDEX(QuanHe!$O$5:$O$105,MATCH(B50,QH_Z,1)))</f>
        <v/>
      </c>
      <c r="K50" s="28">
        <f>IF(B50="","",INDEX(QuanHe!$Q$5:$Q$105,MATCH(B50,QH_Z,1)))</f>
        <v/>
      </c>
      <c r="L50" s="28">
        <f>IF(B50="","",INDEX(QuanHe!$P$5:$P$105,MATCH(B50,QH_Z,1)))</f>
        <v/>
      </c>
      <c r="M50" s="28">
        <f>IF(B50="","",INDEX(QuanHe!$R$5:$R$105,MATCH(B50,QH_Z,1)))</f>
        <v/>
      </c>
    </row>
    <row r="51">
      <c r="A51" s="52">
        <f>IF(B51="","",ROW()-6)</f>
        <v/>
      </c>
      <c r="B51" s="26">
        <f>IF(B50="","",IF(B50+Buoc_in&gt;Z_cuoi_in+0.000001,"",ROUND(B50+Buoc_in,2)))</f>
        <v/>
      </c>
      <c r="C51" s="28">
        <f>IF(B51="","",INDEX(QuanHe!$H$5:$H$105,MATCH(B51,QH_Z,1)))</f>
        <v/>
      </c>
      <c r="D51" s="28">
        <f>IF(B51="","",INDEX(QuanHe!$I$5:$I$105,MATCH(B51,QH_Z,1)))</f>
        <v/>
      </c>
      <c r="E51" s="28">
        <f>IF(B51="","",INDEX(QuanHe!$L$5:$L$105,MATCH(B51,QH_Z,1)))</f>
        <v/>
      </c>
      <c r="F51" s="28">
        <f>IF(B51="","",INDEX(QuanHe!$M$5:$M$105,MATCH(B51,QH_Z,1)))</f>
        <v/>
      </c>
      <c r="G51" s="28">
        <f>IF(B51="","",INDEX(QuanHe!$N$5:$N$105,MATCH(B51,QH_Z,1)))</f>
        <v/>
      </c>
      <c r="H51" s="27">
        <f>IF(B51="","",INDEX(QuanHe!$C$5:$C$105,MATCH(B51,QH_Z,1)))</f>
        <v/>
      </c>
      <c r="I51" s="28">
        <f>IF(B51="","",INDEX(QuanHe!$D$5:$D$105,MATCH(B51,QH_Z,1)))</f>
        <v/>
      </c>
      <c r="J51" s="28">
        <f>IF(B51="","",INDEX(QuanHe!$O$5:$O$105,MATCH(B51,QH_Z,1)))</f>
        <v/>
      </c>
      <c r="K51" s="28">
        <f>IF(B51="","",INDEX(QuanHe!$Q$5:$Q$105,MATCH(B51,QH_Z,1)))</f>
        <v/>
      </c>
      <c r="L51" s="28">
        <f>IF(B51="","",INDEX(QuanHe!$P$5:$P$105,MATCH(B51,QH_Z,1)))</f>
        <v/>
      </c>
      <c r="M51" s="28">
        <f>IF(B51="","",INDEX(QuanHe!$R$5:$R$105,MATCH(B51,QH_Z,1)))</f>
        <v/>
      </c>
    </row>
    <row r="52">
      <c r="A52" s="52">
        <f>IF(B52="","",ROW()-6)</f>
        <v/>
      </c>
      <c r="B52" s="26">
        <f>IF(B51="","",IF(B51+Buoc_in&gt;Z_cuoi_in+0.000001,"",ROUND(B51+Buoc_in,2)))</f>
        <v/>
      </c>
      <c r="C52" s="28">
        <f>IF(B52="","",INDEX(QuanHe!$H$5:$H$105,MATCH(B52,QH_Z,1)))</f>
        <v/>
      </c>
      <c r="D52" s="28">
        <f>IF(B52="","",INDEX(QuanHe!$I$5:$I$105,MATCH(B52,QH_Z,1)))</f>
        <v/>
      </c>
      <c r="E52" s="28">
        <f>IF(B52="","",INDEX(QuanHe!$L$5:$L$105,MATCH(B52,QH_Z,1)))</f>
        <v/>
      </c>
      <c r="F52" s="28">
        <f>IF(B52="","",INDEX(QuanHe!$M$5:$M$105,MATCH(B52,QH_Z,1)))</f>
        <v/>
      </c>
      <c r="G52" s="28">
        <f>IF(B52="","",INDEX(QuanHe!$N$5:$N$105,MATCH(B52,QH_Z,1)))</f>
        <v/>
      </c>
      <c r="H52" s="27">
        <f>IF(B52="","",INDEX(QuanHe!$C$5:$C$105,MATCH(B52,QH_Z,1)))</f>
        <v/>
      </c>
      <c r="I52" s="28">
        <f>IF(B52="","",INDEX(QuanHe!$D$5:$D$105,MATCH(B52,QH_Z,1)))</f>
        <v/>
      </c>
      <c r="J52" s="28">
        <f>IF(B52="","",INDEX(QuanHe!$O$5:$O$105,MATCH(B52,QH_Z,1)))</f>
        <v/>
      </c>
      <c r="K52" s="28">
        <f>IF(B52="","",INDEX(QuanHe!$Q$5:$Q$105,MATCH(B52,QH_Z,1)))</f>
        <v/>
      </c>
      <c r="L52" s="28">
        <f>IF(B52="","",INDEX(QuanHe!$P$5:$P$105,MATCH(B52,QH_Z,1)))</f>
        <v/>
      </c>
      <c r="M52" s="28">
        <f>IF(B52="","",INDEX(QuanHe!$R$5:$R$105,MATCH(B52,QH_Z,1)))</f>
        <v/>
      </c>
    </row>
    <row r="53">
      <c r="A53" s="52">
        <f>IF(B53="","",ROW()-6)</f>
        <v/>
      </c>
      <c r="B53" s="26">
        <f>IF(B52="","",IF(B52+Buoc_in&gt;Z_cuoi_in+0.000001,"",ROUND(B52+Buoc_in,2)))</f>
        <v/>
      </c>
      <c r="C53" s="28">
        <f>IF(B53="","",INDEX(QuanHe!$H$5:$H$105,MATCH(B53,QH_Z,1)))</f>
        <v/>
      </c>
      <c r="D53" s="28">
        <f>IF(B53="","",INDEX(QuanHe!$I$5:$I$105,MATCH(B53,QH_Z,1)))</f>
        <v/>
      </c>
      <c r="E53" s="28">
        <f>IF(B53="","",INDEX(QuanHe!$L$5:$L$105,MATCH(B53,QH_Z,1)))</f>
        <v/>
      </c>
      <c r="F53" s="28">
        <f>IF(B53="","",INDEX(QuanHe!$M$5:$M$105,MATCH(B53,QH_Z,1)))</f>
        <v/>
      </c>
      <c r="G53" s="28">
        <f>IF(B53="","",INDEX(QuanHe!$N$5:$N$105,MATCH(B53,QH_Z,1)))</f>
        <v/>
      </c>
      <c r="H53" s="27">
        <f>IF(B53="","",INDEX(QuanHe!$C$5:$C$105,MATCH(B53,QH_Z,1)))</f>
        <v/>
      </c>
      <c r="I53" s="28">
        <f>IF(B53="","",INDEX(QuanHe!$D$5:$D$105,MATCH(B53,QH_Z,1)))</f>
        <v/>
      </c>
      <c r="J53" s="28">
        <f>IF(B53="","",INDEX(QuanHe!$O$5:$O$105,MATCH(B53,QH_Z,1)))</f>
        <v/>
      </c>
      <c r="K53" s="28">
        <f>IF(B53="","",INDEX(QuanHe!$Q$5:$Q$105,MATCH(B53,QH_Z,1)))</f>
        <v/>
      </c>
      <c r="L53" s="28">
        <f>IF(B53="","",INDEX(QuanHe!$P$5:$P$105,MATCH(B53,QH_Z,1)))</f>
        <v/>
      </c>
      <c r="M53" s="28">
        <f>IF(B53="","",INDEX(QuanHe!$R$5:$R$105,MATCH(B53,QH_Z,1)))</f>
        <v/>
      </c>
    </row>
    <row r="54">
      <c r="A54" s="52">
        <f>IF(B54="","",ROW()-6)</f>
        <v/>
      </c>
      <c r="B54" s="26">
        <f>IF(B53="","",IF(B53+Buoc_in&gt;Z_cuoi_in+0.000001,"",ROUND(B53+Buoc_in,2)))</f>
        <v/>
      </c>
      <c r="C54" s="28">
        <f>IF(B54="","",INDEX(QuanHe!$H$5:$H$105,MATCH(B54,QH_Z,1)))</f>
        <v/>
      </c>
      <c r="D54" s="28">
        <f>IF(B54="","",INDEX(QuanHe!$I$5:$I$105,MATCH(B54,QH_Z,1)))</f>
        <v/>
      </c>
      <c r="E54" s="28">
        <f>IF(B54="","",INDEX(QuanHe!$L$5:$L$105,MATCH(B54,QH_Z,1)))</f>
        <v/>
      </c>
      <c r="F54" s="28">
        <f>IF(B54="","",INDEX(QuanHe!$M$5:$M$105,MATCH(B54,QH_Z,1)))</f>
        <v/>
      </c>
      <c r="G54" s="28">
        <f>IF(B54="","",INDEX(QuanHe!$N$5:$N$105,MATCH(B54,QH_Z,1)))</f>
        <v/>
      </c>
      <c r="H54" s="27">
        <f>IF(B54="","",INDEX(QuanHe!$C$5:$C$105,MATCH(B54,QH_Z,1)))</f>
        <v/>
      </c>
      <c r="I54" s="28">
        <f>IF(B54="","",INDEX(QuanHe!$D$5:$D$105,MATCH(B54,QH_Z,1)))</f>
        <v/>
      </c>
      <c r="J54" s="28">
        <f>IF(B54="","",INDEX(QuanHe!$O$5:$O$105,MATCH(B54,QH_Z,1)))</f>
        <v/>
      </c>
      <c r="K54" s="28">
        <f>IF(B54="","",INDEX(QuanHe!$Q$5:$Q$105,MATCH(B54,QH_Z,1)))</f>
        <v/>
      </c>
      <c r="L54" s="28">
        <f>IF(B54="","",INDEX(QuanHe!$P$5:$P$105,MATCH(B54,QH_Z,1)))</f>
        <v/>
      </c>
      <c r="M54" s="28">
        <f>IF(B54="","",INDEX(QuanHe!$R$5:$R$105,MATCH(B54,QH_Z,1)))</f>
        <v/>
      </c>
    </row>
    <row r="55">
      <c r="A55" s="52">
        <f>IF(B55="","",ROW()-6)</f>
        <v/>
      </c>
      <c r="B55" s="26">
        <f>IF(B54="","",IF(B54+Buoc_in&gt;Z_cuoi_in+0.000001,"",ROUND(B54+Buoc_in,2)))</f>
        <v/>
      </c>
      <c r="C55" s="28">
        <f>IF(B55="","",INDEX(QuanHe!$H$5:$H$105,MATCH(B55,QH_Z,1)))</f>
        <v/>
      </c>
      <c r="D55" s="28">
        <f>IF(B55="","",INDEX(QuanHe!$I$5:$I$105,MATCH(B55,QH_Z,1)))</f>
        <v/>
      </c>
      <c r="E55" s="28">
        <f>IF(B55="","",INDEX(QuanHe!$L$5:$L$105,MATCH(B55,QH_Z,1)))</f>
        <v/>
      </c>
      <c r="F55" s="28">
        <f>IF(B55="","",INDEX(QuanHe!$M$5:$M$105,MATCH(B55,QH_Z,1)))</f>
        <v/>
      </c>
      <c r="G55" s="28">
        <f>IF(B55="","",INDEX(QuanHe!$N$5:$N$105,MATCH(B55,QH_Z,1)))</f>
        <v/>
      </c>
      <c r="H55" s="27">
        <f>IF(B55="","",INDEX(QuanHe!$C$5:$C$105,MATCH(B55,QH_Z,1)))</f>
        <v/>
      </c>
      <c r="I55" s="28">
        <f>IF(B55="","",INDEX(QuanHe!$D$5:$D$105,MATCH(B55,QH_Z,1)))</f>
        <v/>
      </c>
      <c r="J55" s="28">
        <f>IF(B55="","",INDEX(QuanHe!$O$5:$O$105,MATCH(B55,QH_Z,1)))</f>
        <v/>
      </c>
      <c r="K55" s="28">
        <f>IF(B55="","",INDEX(QuanHe!$Q$5:$Q$105,MATCH(B55,QH_Z,1)))</f>
        <v/>
      </c>
      <c r="L55" s="28">
        <f>IF(B55="","",INDEX(QuanHe!$P$5:$P$105,MATCH(B55,QH_Z,1)))</f>
        <v/>
      </c>
      <c r="M55" s="28">
        <f>IF(B55="","",INDEX(QuanHe!$R$5:$R$105,MATCH(B55,QH_Z,1)))</f>
        <v/>
      </c>
    </row>
    <row r="56">
      <c r="A56" s="52">
        <f>IF(B56="","",ROW()-6)</f>
        <v/>
      </c>
      <c r="B56" s="26">
        <f>IF(B55="","",IF(B55+Buoc_in&gt;Z_cuoi_in+0.000001,"",ROUND(B55+Buoc_in,2)))</f>
        <v/>
      </c>
      <c r="C56" s="28">
        <f>IF(B56="","",INDEX(QuanHe!$H$5:$H$105,MATCH(B56,QH_Z,1)))</f>
        <v/>
      </c>
      <c r="D56" s="28">
        <f>IF(B56="","",INDEX(QuanHe!$I$5:$I$105,MATCH(B56,QH_Z,1)))</f>
        <v/>
      </c>
      <c r="E56" s="28">
        <f>IF(B56="","",INDEX(QuanHe!$L$5:$L$105,MATCH(B56,QH_Z,1)))</f>
        <v/>
      </c>
      <c r="F56" s="28">
        <f>IF(B56="","",INDEX(QuanHe!$M$5:$M$105,MATCH(B56,QH_Z,1)))</f>
        <v/>
      </c>
      <c r="G56" s="28">
        <f>IF(B56="","",INDEX(QuanHe!$N$5:$N$105,MATCH(B56,QH_Z,1)))</f>
        <v/>
      </c>
      <c r="H56" s="27">
        <f>IF(B56="","",INDEX(QuanHe!$C$5:$C$105,MATCH(B56,QH_Z,1)))</f>
        <v/>
      </c>
      <c r="I56" s="28">
        <f>IF(B56="","",INDEX(QuanHe!$D$5:$D$105,MATCH(B56,QH_Z,1)))</f>
        <v/>
      </c>
      <c r="J56" s="28">
        <f>IF(B56="","",INDEX(QuanHe!$O$5:$O$105,MATCH(B56,QH_Z,1)))</f>
        <v/>
      </c>
      <c r="K56" s="28">
        <f>IF(B56="","",INDEX(QuanHe!$Q$5:$Q$105,MATCH(B56,QH_Z,1)))</f>
        <v/>
      </c>
      <c r="L56" s="28">
        <f>IF(B56="","",INDEX(QuanHe!$P$5:$P$105,MATCH(B56,QH_Z,1)))</f>
        <v/>
      </c>
      <c r="M56" s="28">
        <f>IF(B56="","",INDEX(QuanHe!$R$5:$R$105,MATCH(B56,QH_Z,1)))</f>
        <v/>
      </c>
    </row>
    <row r="57">
      <c r="A57" s="52">
        <f>IF(B57="","",ROW()-6)</f>
        <v/>
      </c>
      <c r="B57" s="26">
        <f>IF(B56="","",IF(B56+Buoc_in&gt;Z_cuoi_in+0.000001,"",ROUND(B56+Buoc_in,2)))</f>
        <v/>
      </c>
      <c r="C57" s="28">
        <f>IF(B57="","",INDEX(QuanHe!$H$5:$H$105,MATCH(B57,QH_Z,1)))</f>
        <v/>
      </c>
      <c r="D57" s="28">
        <f>IF(B57="","",INDEX(QuanHe!$I$5:$I$105,MATCH(B57,QH_Z,1)))</f>
        <v/>
      </c>
      <c r="E57" s="28">
        <f>IF(B57="","",INDEX(QuanHe!$L$5:$L$105,MATCH(B57,QH_Z,1)))</f>
        <v/>
      </c>
      <c r="F57" s="28">
        <f>IF(B57="","",INDEX(QuanHe!$M$5:$M$105,MATCH(B57,QH_Z,1)))</f>
        <v/>
      </c>
      <c r="G57" s="28">
        <f>IF(B57="","",INDEX(QuanHe!$N$5:$N$105,MATCH(B57,QH_Z,1)))</f>
        <v/>
      </c>
      <c r="H57" s="27">
        <f>IF(B57="","",INDEX(QuanHe!$C$5:$C$105,MATCH(B57,QH_Z,1)))</f>
        <v/>
      </c>
      <c r="I57" s="28">
        <f>IF(B57="","",INDEX(QuanHe!$D$5:$D$105,MATCH(B57,QH_Z,1)))</f>
        <v/>
      </c>
      <c r="J57" s="28">
        <f>IF(B57="","",INDEX(QuanHe!$O$5:$O$105,MATCH(B57,QH_Z,1)))</f>
        <v/>
      </c>
      <c r="K57" s="28">
        <f>IF(B57="","",INDEX(QuanHe!$Q$5:$Q$105,MATCH(B57,QH_Z,1)))</f>
        <v/>
      </c>
      <c r="L57" s="28">
        <f>IF(B57="","",INDEX(QuanHe!$P$5:$P$105,MATCH(B57,QH_Z,1)))</f>
        <v/>
      </c>
      <c r="M57" s="28">
        <f>IF(B57="","",INDEX(QuanHe!$R$5:$R$105,MATCH(B57,QH_Z,1)))</f>
        <v/>
      </c>
    </row>
    <row r="58">
      <c r="A58" s="52">
        <f>IF(B58="","",ROW()-6)</f>
        <v/>
      </c>
      <c r="B58" s="26">
        <f>IF(B57="","",IF(B57+Buoc_in&gt;Z_cuoi_in+0.000001,"",ROUND(B57+Buoc_in,2)))</f>
        <v/>
      </c>
      <c r="C58" s="28">
        <f>IF(B58="","",INDEX(QuanHe!$H$5:$H$105,MATCH(B58,QH_Z,1)))</f>
        <v/>
      </c>
      <c r="D58" s="28">
        <f>IF(B58="","",INDEX(QuanHe!$I$5:$I$105,MATCH(B58,QH_Z,1)))</f>
        <v/>
      </c>
      <c r="E58" s="28">
        <f>IF(B58="","",INDEX(QuanHe!$L$5:$L$105,MATCH(B58,QH_Z,1)))</f>
        <v/>
      </c>
      <c r="F58" s="28">
        <f>IF(B58="","",INDEX(QuanHe!$M$5:$M$105,MATCH(B58,QH_Z,1)))</f>
        <v/>
      </c>
      <c r="G58" s="28">
        <f>IF(B58="","",INDEX(QuanHe!$N$5:$N$105,MATCH(B58,QH_Z,1)))</f>
        <v/>
      </c>
      <c r="H58" s="27">
        <f>IF(B58="","",INDEX(QuanHe!$C$5:$C$105,MATCH(B58,QH_Z,1)))</f>
        <v/>
      </c>
      <c r="I58" s="28">
        <f>IF(B58="","",INDEX(QuanHe!$D$5:$D$105,MATCH(B58,QH_Z,1)))</f>
        <v/>
      </c>
      <c r="J58" s="28">
        <f>IF(B58="","",INDEX(QuanHe!$O$5:$O$105,MATCH(B58,QH_Z,1)))</f>
        <v/>
      </c>
      <c r="K58" s="28">
        <f>IF(B58="","",INDEX(QuanHe!$Q$5:$Q$105,MATCH(B58,QH_Z,1)))</f>
        <v/>
      </c>
      <c r="L58" s="28">
        <f>IF(B58="","",INDEX(QuanHe!$P$5:$P$105,MATCH(B58,QH_Z,1)))</f>
        <v/>
      </c>
      <c r="M58" s="28">
        <f>IF(B58="","",INDEX(QuanHe!$R$5:$R$105,MATCH(B58,QH_Z,1)))</f>
        <v/>
      </c>
    </row>
    <row r="59">
      <c r="A59" s="52">
        <f>IF(B59="","",ROW()-6)</f>
        <v/>
      </c>
      <c r="B59" s="26">
        <f>IF(B58="","",IF(B58+Buoc_in&gt;Z_cuoi_in+0.000001,"",ROUND(B58+Buoc_in,2)))</f>
        <v/>
      </c>
      <c r="C59" s="28">
        <f>IF(B59="","",INDEX(QuanHe!$H$5:$H$105,MATCH(B59,QH_Z,1)))</f>
        <v/>
      </c>
      <c r="D59" s="28">
        <f>IF(B59="","",INDEX(QuanHe!$I$5:$I$105,MATCH(B59,QH_Z,1)))</f>
        <v/>
      </c>
      <c r="E59" s="28">
        <f>IF(B59="","",INDEX(QuanHe!$L$5:$L$105,MATCH(B59,QH_Z,1)))</f>
        <v/>
      </c>
      <c r="F59" s="28">
        <f>IF(B59="","",INDEX(QuanHe!$M$5:$M$105,MATCH(B59,QH_Z,1)))</f>
        <v/>
      </c>
      <c r="G59" s="28">
        <f>IF(B59="","",INDEX(QuanHe!$N$5:$N$105,MATCH(B59,QH_Z,1)))</f>
        <v/>
      </c>
      <c r="H59" s="27">
        <f>IF(B59="","",INDEX(QuanHe!$C$5:$C$105,MATCH(B59,QH_Z,1)))</f>
        <v/>
      </c>
      <c r="I59" s="28">
        <f>IF(B59="","",INDEX(QuanHe!$D$5:$D$105,MATCH(B59,QH_Z,1)))</f>
        <v/>
      </c>
      <c r="J59" s="28">
        <f>IF(B59="","",INDEX(QuanHe!$O$5:$O$105,MATCH(B59,QH_Z,1)))</f>
        <v/>
      </c>
      <c r="K59" s="28">
        <f>IF(B59="","",INDEX(QuanHe!$Q$5:$Q$105,MATCH(B59,QH_Z,1)))</f>
        <v/>
      </c>
      <c r="L59" s="28">
        <f>IF(B59="","",INDEX(QuanHe!$P$5:$P$105,MATCH(B59,QH_Z,1)))</f>
        <v/>
      </c>
      <c r="M59" s="28">
        <f>IF(B59="","",INDEX(QuanHe!$R$5:$R$105,MATCH(B59,QH_Z,1)))</f>
        <v/>
      </c>
    </row>
    <row r="60">
      <c r="A60" s="52">
        <f>IF(B60="","",ROW()-6)</f>
        <v/>
      </c>
      <c r="B60" s="26">
        <f>IF(B59="","",IF(B59+Buoc_in&gt;Z_cuoi_in+0.000001,"",ROUND(B59+Buoc_in,2)))</f>
        <v/>
      </c>
      <c r="C60" s="28">
        <f>IF(B60="","",INDEX(QuanHe!$H$5:$H$105,MATCH(B60,QH_Z,1)))</f>
        <v/>
      </c>
      <c r="D60" s="28">
        <f>IF(B60="","",INDEX(QuanHe!$I$5:$I$105,MATCH(B60,QH_Z,1)))</f>
        <v/>
      </c>
      <c r="E60" s="28">
        <f>IF(B60="","",INDEX(QuanHe!$L$5:$L$105,MATCH(B60,QH_Z,1)))</f>
        <v/>
      </c>
      <c r="F60" s="28">
        <f>IF(B60="","",INDEX(QuanHe!$M$5:$M$105,MATCH(B60,QH_Z,1)))</f>
        <v/>
      </c>
      <c r="G60" s="28">
        <f>IF(B60="","",INDEX(QuanHe!$N$5:$N$105,MATCH(B60,QH_Z,1)))</f>
        <v/>
      </c>
      <c r="H60" s="27">
        <f>IF(B60="","",INDEX(QuanHe!$C$5:$C$105,MATCH(B60,QH_Z,1)))</f>
        <v/>
      </c>
      <c r="I60" s="28">
        <f>IF(B60="","",INDEX(QuanHe!$D$5:$D$105,MATCH(B60,QH_Z,1)))</f>
        <v/>
      </c>
      <c r="J60" s="28">
        <f>IF(B60="","",INDEX(QuanHe!$O$5:$O$105,MATCH(B60,QH_Z,1)))</f>
        <v/>
      </c>
      <c r="K60" s="28">
        <f>IF(B60="","",INDEX(QuanHe!$Q$5:$Q$105,MATCH(B60,QH_Z,1)))</f>
        <v/>
      </c>
      <c r="L60" s="28">
        <f>IF(B60="","",INDEX(QuanHe!$P$5:$P$105,MATCH(B60,QH_Z,1)))</f>
        <v/>
      </c>
      <c r="M60" s="28">
        <f>IF(B60="","",INDEX(QuanHe!$R$5:$R$105,MATCH(B60,QH_Z,1)))</f>
        <v/>
      </c>
    </row>
    <row r="61">
      <c r="A61" s="52">
        <f>IF(B61="","",ROW()-6)</f>
        <v/>
      </c>
      <c r="B61" s="26">
        <f>IF(B60="","",IF(B60+Buoc_in&gt;Z_cuoi_in+0.000001,"",ROUND(B60+Buoc_in,2)))</f>
        <v/>
      </c>
      <c r="C61" s="28">
        <f>IF(B61="","",INDEX(QuanHe!$H$5:$H$105,MATCH(B61,QH_Z,1)))</f>
        <v/>
      </c>
      <c r="D61" s="28">
        <f>IF(B61="","",INDEX(QuanHe!$I$5:$I$105,MATCH(B61,QH_Z,1)))</f>
        <v/>
      </c>
      <c r="E61" s="28">
        <f>IF(B61="","",INDEX(QuanHe!$L$5:$L$105,MATCH(B61,QH_Z,1)))</f>
        <v/>
      </c>
      <c r="F61" s="28">
        <f>IF(B61="","",INDEX(QuanHe!$M$5:$M$105,MATCH(B61,QH_Z,1)))</f>
        <v/>
      </c>
      <c r="G61" s="28">
        <f>IF(B61="","",INDEX(QuanHe!$N$5:$N$105,MATCH(B61,QH_Z,1)))</f>
        <v/>
      </c>
      <c r="H61" s="27">
        <f>IF(B61="","",INDEX(QuanHe!$C$5:$C$105,MATCH(B61,QH_Z,1)))</f>
        <v/>
      </c>
      <c r="I61" s="28">
        <f>IF(B61="","",INDEX(QuanHe!$D$5:$D$105,MATCH(B61,QH_Z,1)))</f>
        <v/>
      </c>
      <c r="J61" s="28">
        <f>IF(B61="","",INDEX(QuanHe!$O$5:$O$105,MATCH(B61,QH_Z,1)))</f>
        <v/>
      </c>
      <c r="K61" s="28">
        <f>IF(B61="","",INDEX(QuanHe!$Q$5:$Q$105,MATCH(B61,QH_Z,1)))</f>
        <v/>
      </c>
      <c r="L61" s="28">
        <f>IF(B61="","",INDEX(QuanHe!$P$5:$P$105,MATCH(B61,QH_Z,1)))</f>
        <v/>
      </c>
      <c r="M61" s="28">
        <f>IF(B61="","",INDEX(QuanHe!$R$5:$R$105,MATCH(B61,QH_Z,1)))</f>
        <v/>
      </c>
    </row>
    <row r="62">
      <c r="A62" s="52">
        <f>IF(B62="","",ROW()-6)</f>
        <v/>
      </c>
      <c r="B62" s="26">
        <f>IF(B61="","",IF(B61+Buoc_in&gt;Z_cuoi_in+0.000001,"",ROUND(B61+Buoc_in,2)))</f>
        <v/>
      </c>
      <c r="C62" s="28">
        <f>IF(B62="","",INDEX(QuanHe!$H$5:$H$105,MATCH(B62,QH_Z,1)))</f>
        <v/>
      </c>
      <c r="D62" s="28">
        <f>IF(B62="","",INDEX(QuanHe!$I$5:$I$105,MATCH(B62,QH_Z,1)))</f>
        <v/>
      </c>
      <c r="E62" s="28">
        <f>IF(B62="","",INDEX(QuanHe!$L$5:$L$105,MATCH(B62,QH_Z,1)))</f>
        <v/>
      </c>
      <c r="F62" s="28">
        <f>IF(B62="","",INDEX(QuanHe!$M$5:$M$105,MATCH(B62,QH_Z,1)))</f>
        <v/>
      </c>
      <c r="G62" s="28">
        <f>IF(B62="","",INDEX(QuanHe!$N$5:$N$105,MATCH(B62,QH_Z,1)))</f>
        <v/>
      </c>
      <c r="H62" s="27">
        <f>IF(B62="","",INDEX(QuanHe!$C$5:$C$105,MATCH(B62,QH_Z,1)))</f>
        <v/>
      </c>
      <c r="I62" s="28">
        <f>IF(B62="","",INDEX(QuanHe!$D$5:$D$105,MATCH(B62,QH_Z,1)))</f>
        <v/>
      </c>
      <c r="J62" s="28">
        <f>IF(B62="","",INDEX(QuanHe!$O$5:$O$105,MATCH(B62,QH_Z,1)))</f>
        <v/>
      </c>
      <c r="K62" s="28">
        <f>IF(B62="","",INDEX(QuanHe!$Q$5:$Q$105,MATCH(B62,QH_Z,1)))</f>
        <v/>
      </c>
      <c r="L62" s="28">
        <f>IF(B62="","",INDEX(QuanHe!$P$5:$P$105,MATCH(B62,QH_Z,1)))</f>
        <v/>
      </c>
      <c r="M62" s="28">
        <f>IF(B62="","",INDEX(QuanHe!$R$5:$R$105,MATCH(B62,QH_Z,1)))</f>
        <v/>
      </c>
    </row>
    <row r="63">
      <c r="A63" s="52">
        <f>IF(B63="","",ROW()-6)</f>
        <v/>
      </c>
      <c r="B63" s="26">
        <f>IF(B62="","",IF(B62+Buoc_in&gt;Z_cuoi_in+0.000001,"",ROUND(B62+Buoc_in,2)))</f>
        <v/>
      </c>
      <c r="C63" s="28">
        <f>IF(B63="","",INDEX(QuanHe!$H$5:$H$105,MATCH(B63,QH_Z,1)))</f>
        <v/>
      </c>
      <c r="D63" s="28">
        <f>IF(B63="","",INDEX(QuanHe!$I$5:$I$105,MATCH(B63,QH_Z,1)))</f>
        <v/>
      </c>
      <c r="E63" s="28">
        <f>IF(B63="","",INDEX(QuanHe!$L$5:$L$105,MATCH(B63,QH_Z,1)))</f>
        <v/>
      </c>
      <c r="F63" s="28">
        <f>IF(B63="","",INDEX(QuanHe!$M$5:$M$105,MATCH(B63,QH_Z,1)))</f>
        <v/>
      </c>
      <c r="G63" s="28">
        <f>IF(B63="","",INDEX(QuanHe!$N$5:$N$105,MATCH(B63,QH_Z,1)))</f>
        <v/>
      </c>
      <c r="H63" s="27">
        <f>IF(B63="","",INDEX(QuanHe!$C$5:$C$105,MATCH(B63,QH_Z,1)))</f>
        <v/>
      </c>
      <c r="I63" s="28">
        <f>IF(B63="","",INDEX(QuanHe!$D$5:$D$105,MATCH(B63,QH_Z,1)))</f>
        <v/>
      </c>
      <c r="J63" s="28">
        <f>IF(B63="","",INDEX(QuanHe!$O$5:$O$105,MATCH(B63,QH_Z,1)))</f>
        <v/>
      </c>
      <c r="K63" s="28">
        <f>IF(B63="","",INDEX(QuanHe!$Q$5:$Q$105,MATCH(B63,QH_Z,1)))</f>
        <v/>
      </c>
      <c r="L63" s="28">
        <f>IF(B63="","",INDEX(QuanHe!$P$5:$P$105,MATCH(B63,QH_Z,1)))</f>
        <v/>
      </c>
      <c r="M63" s="28">
        <f>IF(B63="","",INDEX(QuanHe!$R$5:$R$105,MATCH(B63,QH_Z,1)))</f>
        <v/>
      </c>
    </row>
    <row r="64">
      <c r="A64" s="52">
        <f>IF(B64="","",ROW()-6)</f>
        <v/>
      </c>
      <c r="B64" s="26">
        <f>IF(B63="","",IF(B63+Buoc_in&gt;Z_cuoi_in+0.000001,"",ROUND(B63+Buoc_in,2)))</f>
        <v/>
      </c>
      <c r="C64" s="28">
        <f>IF(B64="","",INDEX(QuanHe!$H$5:$H$105,MATCH(B64,QH_Z,1)))</f>
        <v/>
      </c>
      <c r="D64" s="28">
        <f>IF(B64="","",INDEX(QuanHe!$I$5:$I$105,MATCH(B64,QH_Z,1)))</f>
        <v/>
      </c>
      <c r="E64" s="28">
        <f>IF(B64="","",INDEX(QuanHe!$L$5:$L$105,MATCH(B64,QH_Z,1)))</f>
        <v/>
      </c>
      <c r="F64" s="28">
        <f>IF(B64="","",INDEX(QuanHe!$M$5:$M$105,MATCH(B64,QH_Z,1)))</f>
        <v/>
      </c>
      <c r="G64" s="28">
        <f>IF(B64="","",INDEX(QuanHe!$N$5:$N$105,MATCH(B64,QH_Z,1)))</f>
        <v/>
      </c>
      <c r="H64" s="27">
        <f>IF(B64="","",INDEX(QuanHe!$C$5:$C$105,MATCH(B64,QH_Z,1)))</f>
        <v/>
      </c>
      <c r="I64" s="28">
        <f>IF(B64="","",INDEX(QuanHe!$D$5:$D$105,MATCH(B64,QH_Z,1)))</f>
        <v/>
      </c>
      <c r="J64" s="28">
        <f>IF(B64="","",INDEX(QuanHe!$O$5:$O$105,MATCH(B64,QH_Z,1)))</f>
        <v/>
      </c>
      <c r="K64" s="28">
        <f>IF(B64="","",INDEX(QuanHe!$Q$5:$Q$105,MATCH(B64,QH_Z,1)))</f>
        <v/>
      </c>
      <c r="L64" s="28">
        <f>IF(B64="","",INDEX(QuanHe!$P$5:$P$105,MATCH(B64,QH_Z,1)))</f>
        <v/>
      </c>
      <c r="M64" s="28">
        <f>IF(B64="","",INDEX(QuanHe!$R$5:$R$105,MATCH(B64,QH_Z,1)))</f>
        <v/>
      </c>
    </row>
    <row r="65">
      <c r="A65" s="52">
        <f>IF(B65="","",ROW()-6)</f>
        <v/>
      </c>
      <c r="B65" s="26">
        <f>IF(B64="","",IF(B64+Buoc_in&gt;Z_cuoi_in+0.000001,"",ROUND(B64+Buoc_in,2)))</f>
        <v/>
      </c>
      <c r="C65" s="28">
        <f>IF(B65="","",INDEX(QuanHe!$H$5:$H$105,MATCH(B65,QH_Z,1)))</f>
        <v/>
      </c>
      <c r="D65" s="28">
        <f>IF(B65="","",INDEX(QuanHe!$I$5:$I$105,MATCH(B65,QH_Z,1)))</f>
        <v/>
      </c>
      <c r="E65" s="28">
        <f>IF(B65="","",INDEX(QuanHe!$L$5:$L$105,MATCH(B65,QH_Z,1)))</f>
        <v/>
      </c>
      <c r="F65" s="28">
        <f>IF(B65="","",INDEX(QuanHe!$M$5:$M$105,MATCH(B65,QH_Z,1)))</f>
        <v/>
      </c>
      <c r="G65" s="28">
        <f>IF(B65="","",INDEX(QuanHe!$N$5:$N$105,MATCH(B65,QH_Z,1)))</f>
        <v/>
      </c>
      <c r="H65" s="27">
        <f>IF(B65="","",INDEX(QuanHe!$C$5:$C$105,MATCH(B65,QH_Z,1)))</f>
        <v/>
      </c>
      <c r="I65" s="28">
        <f>IF(B65="","",INDEX(QuanHe!$D$5:$D$105,MATCH(B65,QH_Z,1)))</f>
        <v/>
      </c>
      <c r="J65" s="28">
        <f>IF(B65="","",INDEX(QuanHe!$O$5:$O$105,MATCH(B65,QH_Z,1)))</f>
        <v/>
      </c>
      <c r="K65" s="28">
        <f>IF(B65="","",INDEX(QuanHe!$Q$5:$Q$105,MATCH(B65,QH_Z,1)))</f>
        <v/>
      </c>
      <c r="L65" s="28">
        <f>IF(B65="","",INDEX(QuanHe!$P$5:$P$105,MATCH(B65,QH_Z,1)))</f>
        <v/>
      </c>
      <c r="M65" s="28">
        <f>IF(B65="","",INDEX(QuanHe!$R$5:$R$105,MATCH(B65,QH_Z,1)))</f>
        <v/>
      </c>
    </row>
    <row r="66">
      <c r="A66" s="52">
        <f>IF(B66="","",ROW()-6)</f>
        <v/>
      </c>
      <c r="B66" s="26">
        <f>IF(B65="","",IF(B65+Buoc_in&gt;Z_cuoi_in+0.000001,"",ROUND(B65+Buoc_in,2)))</f>
        <v/>
      </c>
      <c r="C66" s="28">
        <f>IF(B66="","",INDEX(QuanHe!$H$5:$H$105,MATCH(B66,QH_Z,1)))</f>
        <v/>
      </c>
      <c r="D66" s="28">
        <f>IF(B66="","",INDEX(QuanHe!$I$5:$I$105,MATCH(B66,QH_Z,1)))</f>
        <v/>
      </c>
      <c r="E66" s="28">
        <f>IF(B66="","",INDEX(QuanHe!$L$5:$L$105,MATCH(B66,QH_Z,1)))</f>
        <v/>
      </c>
      <c r="F66" s="28">
        <f>IF(B66="","",INDEX(QuanHe!$M$5:$M$105,MATCH(B66,QH_Z,1)))</f>
        <v/>
      </c>
      <c r="G66" s="28">
        <f>IF(B66="","",INDEX(QuanHe!$N$5:$N$105,MATCH(B66,QH_Z,1)))</f>
        <v/>
      </c>
      <c r="H66" s="27">
        <f>IF(B66="","",INDEX(QuanHe!$C$5:$C$105,MATCH(B66,QH_Z,1)))</f>
        <v/>
      </c>
      <c r="I66" s="28">
        <f>IF(B66="","",INDEX(QuanHe!$D$5:$D$105,MATCH(B66,QH_Z,1)))</f>
        <v/>
      </c>
      <c r="J66" s="28">
        <f>IF(B66="","",INDEX(QuanHe!$O$5:$O$105,MATCH(B66,QH_Z,1)))</f>
        <v/>
      </c>
      <c r="K66" s="28">
        <f>IF(B66="","",INDEX(QuanHe!$Q$5:$Q$105,MATCH(B66,QH_Z,1)))</f>
        <v/>
      </c>
      <c r="L66" s="28">
        <f>IF(B66="","",INDEX(QuanHe!$P$5:$P$105,MATCH(B66,QH_Z,1)))</f>
        <v/>
      </c>
      <c r="M66" s="28">
        <f>IF(B66="","",INDEX(QuanHe!$R$5:$R$105,MATCH(B66,QH_Z,1)))</f>
        <v/>
      </c>
    </row>
    <row r="67">
      <c r="A67" s="52">
        <f>IF(B67="","",ROW()-6)</f>
        <v/>
      </c>
      <c r="B67" s="26">
        <f>IF(B66="","",IF(B66+Buoc_in&gt;Z_cuoi_in+0.000001,"",ROUND(B66+Buoc_in,2)))</f>
        <v/>
      </c>
      <c r="C67" s="28">
        <f>IF(B67="","",INDEX(QuanHe!$H$5:$H$105,MATCH(B67,QH_Z,1)))</f>
        <v/>
      </c>
      <c r="D67" s="28">
        <f>IF(B67="","",INDEX(QuanHe!$I$5:$I$105,MATCH(B67,QH_Z,1)))</f>
        <v/>
      </c>
      <c r="E67" s="28">
        <f>IF(B67="","",INDEX(QuanHe!$L$5:$L$105,MATCH(B67,QH_Z,1)))</f>
        <v/>
      </c>
      <c r="F67" s="28">
        <f>IF(B67="","",INDEX(QuanHe!$M$5:$M$105,MATCH(B67,QH_Z,1)))</f>
        <v/>
      </c>
      <c r="G67" s="28">
        <f>IF(B67="","",INDEX(QuanHe!$N$5:$N$105,MATCH(B67,QH_Z,1)))</f>
        <v/>
      </c>
      <c r="H67" s="27">
        <f>IF(B67="","",INDEX(QuanHe!$C$5:$C$105,MATCH(B67,QH_Z,1)))</f>
        <v/>
      </c>
      <c r="I67" s="28">
        <f>IF(B67="","",INDEX(QuanHe!$D$5:$D$105,MATCH(B67,QH_Z,1)))</f>
        <v/>
      </c>
      <c r="J67" s="28">
        <f>IF(B67="","",INDEX(QuanHe!$O$5:$O$105,MATCH(B67,QH_Z,1)))</f>
        <v/>
      </c>
      <c r="K67" s="28">
        <f>IF(B67="","",INDEX(QuanHe!$Q$5:$Q$105,MATCH(B67,QH_Z,1)))</f>
        <v/>
      </c>
      <c r="L67" s="28">
        <f>IF(B67="","",INDEX(QuanHe!$P$5:$P$105,MATCH(B67,QH_Z,1)))</f>
        <v/>
      </c>
      <c r="M67" s="28">
        <f>IF(B67="","",INDEX(QuanHe!$R$5:$R$105,MATCH(B67,QH_Z,1)))</f>
        <v/>
      </c>
    </row>
    <row r="68">
      <c r="A68" s="52">
        <f>IF(B68="","",ROW()-6)</f>
        <v/>
      </c>
      <c r="B68" s="26">
        <f>IF(B67="","",IF(B67+Buoc_in&gt;Z_cuoi_in+0.000001,"",ROUND(B67+Buoc_in,2)))</f>
        <v/>
      </c>
      <c r="C68" s="28">
        <f>IF(B68="","",INDEX(QuanHe!$H$5:$H$105,MATCH(B68,QH_Z,1)))</f>
        <v/>
      </c>
      <c r="D68" s="28">
        <f>IF(B68="","",INDEX(QuanHe!$I$5:$I$105,MATCH(B68,QH_Z,1)))</f>
        <v/>
      </c>
      <c r="E68" s="28">
        <f>IF(B68="","",INDEX(QuanHe!$L$5:$L$105,MATCH(B68,QH_Z,1)))</f>
        <v/>
      </c>
      <c r="F68" s="28">
        <f>IF(B68="","",INDEX(QuanHe!$M$5:$M$105,MATCH(B68,QH_Z,1)))</f>
        <v/>
      </c>
      <c r="G68" s="28">
        <f>IF(B68="","",INDEX(QuanHe!$N$5:$N$105,MATCH(B68,QH_Z,1)))</f>
        <v/>
      </c>
      <c r="H68" s="27">
        <f>IF(B68="","",INDEX(QuanHe!$C$5:$C$105,MATCH(B68,QH_Z,1)))</f>
        <v/>
      </c>
      <c r="I68" s="28">
        <f>IF(B68="","",INDEX(QuanHe!$D$5:$D$105,MATCH(B68,QH_Z,1)))</f>
        <v/>
      </c>
      <c r="J68" s="28">
        <f>IF(B68="","",INDEX(QuanHe!$O$5:$O$105,MATCH(B68,QH_Z,1)))</f>
        <v/>
      </c>
      <c r="K68" s="28">
        <f>IF(B68="","",INDEX(QuanHe!$Q$5:$Q$105,MATCH(B68,QH_Z,1)))</f>
        <v/>
      </c>
      <c r="L68" s="28">
        <f>IF(B68="","",INDEX(QuanHe!$P$5:$P$105,MATCH(B68,QH_Z,1)))</f>
        <v/>
      </c>
      <c r="M68" s="28">
        <f>IF(B68="","",INDEX(QuanHe!$R$5:$R$105,MATCH(B68,QH_Z,1)))</f>
        <v/>
      </c>
    </row>
    <row r="69">
      <c r="A69" s="52">
        <f>IF(B69="","",ROW()-6)</f>
        <v/>
      </c>
      <c r="B69" s="26">
        <f>IF(B68="","",IF(B68+Buoc_in&gt;Z_cuoi_in+0.000001,"",ROUND(B68+Buoc_in,2)))</f>
        <v/>
      </c>
      <c r="C69" s="28">
        <f>IF(B69="","",INDEX(QuanHe!$H$5:$H$105,MATCH(B69,QH_Z,1)))</f>
        <v/>
      </c>
      <c r="D69" s="28">
        <f>IF(B69="","",INDEX(QuanHe!$I$5:$I$105,MATCH(B69,QH_Z,1)))</f>
        <v/>
      </c>
      <c r="E69" s="28">
        <f>IF(B69="","",INDEX(QuanHe!$L$5:$L$105,MATCH(B69,QH_Z,1)))</f>
        <v/>
      </c>
      <c r="F69" s="28">
        <f>IF(B69="","",INDEX(QuanHe!$M$5:$M$105,MATCH(B69,QH_Z,1)))</f>
        <v/>
      </c>
      <c r="G69" s="28">
        <f>IF(B69="","",INDEX(QuanHe!$N$5:$N$105,MATCH(B69,QH_Z,1)))</f>
        <v/>
      </c>
      <c r="H69" s="27">
        <f>IF(B69="","",INDEX(QuanHe!$C$5:$C$105,MATCH(B69,QH_Z,1)))</f>
        <v/>
      </c>
      <c r="I69" s="28">
        <f>IF(B69="","",INDEX(QuanHe!$D$5:$D$105,MATCH(B69,QH_Z,1)))</f>
        <v/>
      </c>
      <c r="J69" s="28">
        <f>IF(B69="","",INDEX(QuanHe!$O$5:$O$105,MATCH(B69,QH_Z,1)))</f>
        <v/>
      </c>
      <c r="K69" s="28">
        <f>IF(B69="","",INDEX(QuanHe!$Q$5:$Q$105,MATCH(B69,QH_Z,1)))</f>
        <v/>
      </c>
      <c r="L69" s="28">
        <f>IF(B69="","",INDEX(QuanHe!$P$5:$P$105,MATCH(B69,QH_Z,1)))</f>
        <v/>
      </c>
      <c r="M69" s="28">
        <f>IF(B69="","",INDEX(QuanHe!$R$5:$R$105,MATCH(B69,QH_Z,1)))</f>
        <v/>
      </c>
    </row>
    <row r="70">
      <c r="A70" s="52">
        <f>IF(B70="","",ROW()-6)</f>
        <v/>
      </c>
      <c r="B70" s="26">
        <f>IF(B69="","",IF(B69+Buoc_in&gt;Z_cuoi_in+0.000001,"",ROUND(B69+Buoc_in,2)))</f>
        <v/>
      </c>
      <c r="C70" s="28">
        <f>IF(B70="","",INDEX(QuanHe!$H$5:$H$105,MATCH(B70,QH_Z,1)))</f>
        <v/>
      </c>
      <c r="D70" s="28">
        <f>IF(B70="","",INDEX(QuanHe!$I$5:$I$105,MATCH(B70,QH_Z,1)))</f>
        <v/>
      </c>
      <c r="E70" s="28">
        <f>IF(B70="","",INDEX(QuanHe!$L$5:$L$105,MATCH(B70,QH_Z,1)))</f>
        <v/>
      </c>
      <c r="F70" s="28">
        <f>IF(B70="","",INDEX(QuanHe!$M$5:$M$105,MATCH(B70,QH_Z,1)))</f>
        <v/>
      </c>
      <c r="G70" s="28">
        <f>IF(B70="","",INDEX(QuanHe!$N$5:$N$105,MATCH(B70,QH_Z,1)))</f>
        <v/>
      </c>
      <c r="H70" s="27">
        <f>IF(B70="","",INDEX(QuanHe!$C$5:$C$105,MATCH(B70,QH_Z,1)))</f>
        <v/>
      </c>
      <c r="I70" s="28">
        <f>IF(B70="","",INDEX(QuanHe!$D$5:$D$105,MATCH(B70,QH_Z,1)))</f>
        <v/>
      </c>
      <c r="J70" s="28">
        <f>IF(B70="","",INDEX(QuanHe!$O$5:$O$105,MATCH(B70,QH_Z,1)))</f>
        <v/>
      </c>
      <c r="K70" s="28">
        <f>IF(B70="","",INDEX(QuanHe!$Q$5:$Q$105,MATCH(B70,QH_Z,1)))</f>
        <v/>
      </c>
      <c r="L70" s="28">
        <f>IF(B70="","",INDEX(QuanHe!$P$5:$P$105,MATCH(B70,QH_Z,1)))</f>
        <v/>
      </c>
      <c r="M70" s="28">
        <f>IF(B70="","",INDEX(QuanHe!$R$5:$R$105,MATCH(B70,QH_Z,1)))</f>
        <v/>
      </c>
    </row>
    <row r="71">
      <c r="A71" s="52">
        <f>IF(B71="","",ROW()-6)</f>
        <v/>
      </c>
      <c r="B71" s="26">
        <f>IF(B70="","",IF(B70+Buoc_in&gt;Z_cuoi_in+0.000001,"",ROUND(B70+Buoc_in,2)))</f>
        <v/>
      </c>
      <c r="C71" s="28">
        <f>IF(B71="","",INDEX(QuanHe!$H$5:$H$105,MATCH(B71,QH_Z,1)))</f>
        <v/>
      </c>
      <c r="D71" s="28">
        <f>IF(B71="","",INDEX(QuanHe!$I$5:$I$105,MATCH(B71,QH_Z,1)))</f>
        <v/>
      </c>
      <c r="E71" s="28">
        <f>IF(B71="","",INDEX(QuanHe!$L$5:$L$105,MATCH(B71,QH_Z,1)))</f>
        <v/>
      </c>
      <c r="F71" s="28">
        <f>IF(B71="","",INDEX(QuanHe!$M$5:$M$105,MATCH(B71,QH_Z,1)))</f>
        <v/>
      </c>
      <c r="G71" s="28">
        <f>IF(B71="","",INDEX(QuanHe!$N$5:$N$105,MATCH(B71,QH_Z,1)))</f>
        <v/>
      </c>
      <c r="H71" s="27">
        <f>IF(B71="","",INDEX(QuanHe!$C$5:$C$105,MATCH(B71,QH_Z,1)))</f>
        <v/>
      </c>
      <c r="I71" s="28">
        <f>IF(B71="","",INDEX(QuanHe!$D$5:$D$105,MATCH(B71,QH_Z,1)))</f>
        <v/>
      </c>
      <c r="J71" s="28">
        <f>IF(B71="","",INDEX(QuanHe!$O$5:$O$105,MATCH(B71,QH_Z,1)))</f>
        <v/>
      </c>
      <c r="K71" s="28">
        <f>IF(B71="","",INDEX(QuanHe!$Q$5:$Q$105,MATCH(B71,QH_Z,1)))</f>
        <v/>
      </c>
      <c r="L71" s="28">
        <f>IF(B71="","",INDEX(QuanHe!$P$5:$P$105,MATCH(B71,QH_Z,1)))</f>
        <v/>
      </c>
      <c r="M71" s="28">
        <f>IF(B71="","",INDEX(QuanHe!$R$5:$R$105,MATCH(B71,QH_Z,1)))</f>
        <v/>
      </c>
    </row>
    <row r="72">
      <c r="A72" s="52">
        <f>IF(B72="","",ROW()-6)</f>
        <v/>
      </c>
      <c r="B72" s="26">
        <f>IF(B71="","",IF(B71+Buoc_in&gt;Z_cuoi_in+0.000001,"",ROUND(B71+Buoc_in,2)))</f>
        <v/>
      </c>
      <c r="C72" s="28">
        <f>IF(B72="","",INDEX(QuanHe!$H$5:$H$105,MATCH(B72,QH_Z,1)))</f>
        <v/>
      </c>
      <c r="D72" s="28">
        <f>IF(B72="","",INDEX(QuanHe!$I$5:$I$105,MATCH(B72,QH_Z,1)))</f>
        <v/>
      </c>
      <c r="E72" s="28">
        <f>IF(B72="","",INDEX(QuanHe!$L$5:$L$105,MATCH(B72,QH_Z,1)))</f>
        <v/>
      </c>
      <c r="F72" s="28">
        <f>IF(B72="","",INDEX(QuanHe!$M$5:$M$105,MATCH(B72,QH_Z,1)))</f>
        <v/>
      </c>
      <c r="G72" s="28">
        <f>IF(B72="","",INDEX(QuanHe!$N$5:$N$105,MATCH(B72,QH_Z,1)))</f>
        <v/>
      </c>
      <c r="H72" s="27">
        <f>IF(B72="","",INDEX(QuanHe!$C$5:$C$105,MATCH(B72,QH_Z,1)))</f>
        <v/>
      </c>
      <c r="I72" s="28">
        <f>IF(B72="","",INDEX(QuanHe!$D$5:$D$105,MATCH(B72,QH_Z,1)))</f>
        <v/>
      </c>
      <c r="J72" s="28">
        <f>IF(B72="","",INDEX(QuanHe!$O$5:$O$105,MATCH(B72,QH_Z,1)))</f>
        <v/>
      </c>
      <c r="K72" s="28">
        <f>IF(B72="","",INDEX(QuanHe!$Q$5:$Q$105,MATCH(B72,QH_Z,1)))</f>
        <v/>
      </c>
      <c r="L72" s="28">
        <f>IF(B72="","",INDEX(QuanHe!$P$5:$P$105,MATCH(B72,QH_Z,1)))</f>
        <v/>
      </c>
      <c r="M72" s="28">
        <f>IF(B72="","",INDEX(QuanHe!$R$5:$R$105,MATCH(B72,QH_Z,1)))</f>
        <v/>
      </c>
    </row>
    <row r="73">
      <c r="A73" s="52">
        <f>IF(B73="","",ROW()-6)</f>
        <v/>
      </c>
      <c r="B73" s="26">
        <f>IF(B72="","",IF(B72+Buoc_in&gt;Z_cuoi_in+0.000001,"",ROUND(B72+Buoc_in,2)))</f>
        <v/>
      </c>
      <c r="C73" s="28">
        <f>IF(B73="","",INDEX(QuanHe!$H$5:$H$105,MATCH(B73,QH_Z,1)))</f>
        <v/>
      </c>
      <c r="D73" s="28">
        <f>IF(B73="","",INDEX(QuanHe!$I$5:$I$105,MATCH(B73,QH_Z,1)))</f>
        <v/>
      </c>
      <c r="E73" s="28">
        <f>IF(B73="","",INDEX(QuanHe!$L$5:$L$105,MATCH(B73,QH_Z,1)))</f>
        <v/>
      </c>
      <c r="F73" s="28">
        <f>IF(B73="","",INDEX(QuanHe!$M$5:$M$105,MATCH(B73,QH_Z,1)))</f>
        <v/>
      </c>
      <c r="G73" s="28">
        <f>IF(B73="","",INDEX(QuanHe!$N$5:$N$105,MATCH(B73,QH_Z,1)))</f>
        <v/>
      </c>
      <c r="H73" s="27">
        <f>IF(B73="","",INDEX(QuanHe!$C$5:$C$105,MATCH(B73,QH_Z,1)))</f>
        <v/>
      </c>
      <c r="I73" s="28">
        <f>IF(B73="","",INDEX(QuanHe!$D$5:$D$105,MATCH(B73,QH_Z,1)))</f>
        <v/>
      </c>
      <c r="J73" s="28">
        <f>IF(B73="","",INDEX(QuanHe!$O$5:$O$105,MATCH(B73,QH_Z,1)))</f>
        <v/>
      </c>
      <c r="K73" s="28">
        <f>IF(B73="","",INDEX(QuanHe!$Q$5:$Q$105,MATCH(B73,QH_Z,1)))</f>
        <v/>
      </c>
      <c r="L73" s="28">
        <f>IF(B73="","",INDEX(QuanHe!$P$5:$P$105,MATCH(B73,QH_Z,1)))</f>
        <v/>
      </c>
      <c r="M73" s="28">
        <f>IF(B73="","",INDEX(QuanHe!$R$5:$R$105,MATCH(B73,QH_Z,1)))</f>
        <v/>
      </c>
    </row>
    <row r="74">
      <c r="A74" s="52">
        <f>IF(B74="","",ROW()-6)</f>
        <v/>
      </c>
      <c r="B74" s="26">
        <f>IF(B73="","",IF(B73+Buoc_in&gt;Z_cuoi_in+0.000001,"",ROUND(B73+Buoc_in,2)))</f>
        <v/>
      </c>
      <c r="C74" s="28">
        <f>IF(B74="","",INDEX(QuanHe!$H$5:$H$105,MATCH(B74,QH_Z,1)))</f>
        <v/>
      </c>
      <c r="D74" s="28">
        <f>IF(B74="","",INDEX(QuanHe!$I$5:$I$105,MATCH(B74,QH_Z,1)))</f>
        <v/>
      </c>
      <c r="E74" s="28">
        <f>IF(B74="","",INDEX(QuanHe!$L$5:$L$105,MATCH(B74,QH_Z,1)))</f>
        <v/>
      </c>
      <c r="F74" s="28">
        <f>IF(B74="","",INDEX(QuanHe!$M$5:$M$105,MATCH(B74,QH_Z,1)))</f>
        <v/>
      </c>
      <c r="G74" s="28">
        <f>IF(B74="","",INDEX(QuanHe!$N$5:$N$105,MATCH(B74,QH_Z,1)))</f>
        <v/>
      </c>
      <c r="H74" s="27">
        <f>IF(B74="","",INDEX(QuanHe!$C$5:$C$105,MATCH(B74,QH_Z,1)))</f>
        <v/>
      </c>
      <c r="I74" s="28">
        <f>IF(B74="","",INDEX(QuanHe!$D$5:$D$105,MATCH(B74,QH_Z,1)))</f>
        <v/>
      </c>
      <c r="J74" s="28">
        <f>IF(B74="","",INDEX(QuanHe!$O$5:$O$105,MATCH(B74,QH_Z,1)))</f>
        <v/>
      </c>
      <c r="K74" s="28">
        <f>IF(B74="","",INDEX(QuanHe!$Q$5:$Q$105,MATCH(B74,QH_Z,1)))</f>
        <v/>
      </c>
      <c r="L74" s="28">
        <f>IF(B74="","",INDEX(QuanHe!$P$5:$P$105,MATCH(B74,QH_Z,1)))</f>
        <v/>
      </c>
      <c r="M74" s="28">
        <f>IF(B74="","",INDEX(QuanHe!$R$5:$R$105,MATCH(B74,QH_Z,1)))</f>
        <v/>
      </c>
    </row>
    <row r="75">
      <c r="A75" s="52">
        <f>IF(B75="","",ROW()-6)</f>
        <v/>
      </c>
      <c r="B75" s="26">
        <f>IF(B74="","",IF(B74+Buoc_in&gt;Z_cuoi_in+0.000001,"",ROUND(B74+Buoc_in,2)))</f>
        <v/>
      </c>
      <c r="C75" s="28">
        <f>IF(B75="","",INDEX(QuanHe!$H$5:$H$105,MATCH(B75,QH_Z,1)))</f>
        <v/>
      </c>
      <c r="D75" s="28">
        <f>IF(B75="","",INDEX(QuanHe!$I$5:$I$105,MATCH(B75,QH_Z,1)))</f>
        <v/>
      </c>
      <c r="E75" s="28">
        <f>IF(B75="","",INDEX(QuanHe!$L$5:$L$105,MATCH(B75,QH_Z,1)))</f>
        <v/>
      </c>
      <c r="F75" s="28">
        <f>IF(B75="","",INDEX(QuanHe!$M$5:$M$105,MATCH(B75,QH_Z,1)))</f>
        <v/>
      </c>
      <c r="G75" s="28">
        <f>IF(B75="","",INDEX(QuanHe!$N$5:$N$105,MATCH(B75,QH_Z,1)))</f>
        <v/>
      </c>
      <c r="H75" s="27">
        <f>IF(B75="","",INDEX(QuanHe!$C$5:$C$105,MATCH(B75,QH_Z,1)))</f>
        <v/>
      </c>
      <c r="I75" s="28">
        <f>IF(B75="","",INDEX(QuanHe!$D$5:$D$105,MATCH(B75,QH_Z,1)))</f>
        <v/>
      </c>
      <c r="J75" s="28">
        <f>IF(B75="","",INDEX(QuanHe!$O$5:$O$105,MATCH(B75,QH_Z,1)))</f>
        <v/>
      </c>
      <c r="K75" s="28">
        <f>IF(B75="","",INDEX(QuanHe!$Q$5:$Q$105,MATCH(B75,QH_Z,1)))</f>
        <v/>
      </c>
      <c r="L75" s="28">
        <f>IF(B75="","",INDEX(QuanHe!$P$5:$P$105,MATCH(B75,QH_Z,1)))</f>
        <v/>
      </c>
      <c r="M75" s="28">
        <f>IF(B75="","",INDEX(QuanHe!$R$5:$R$105,MATCH(B75,QH_Z,1)))</f>
        <v/>
      </c>
    </row>
    <row r="76">
      <c r="A76" s="52">
        <f>IF(B76="","",ROW()-6)</f>
        <v/>
      </c>
      <c r="B76" s="26">
        <f>IF(B75="","",IF(B75+Buoc_in&gt;Z_cuoi_in+0.000001,"",ROUND(B75+Buoc_in,2)))</f>
        <v/>
      </c>
      <c r="C76" s="28">
        <f>IF(B76="","",INDEX(QuanHe!$H$5:$H$105,MATCH(B76,QH_Z,1)))</f>
        <v/>
      </c>
      <c r="D76" s="28">
        <f>IF(B76="","",INDEX(QuanHe!$I$5:$I$105,MATCH(B76,QH_Z,1)))</f>
        <v/>
      </c>
      <c r="E76" s="28">
        <f>IF(B76="","",INDEX(QuanHe!$L$5:$L$105,MATCH(B76,QH_Z,1)))</f>
        <v/>
      </c>
      <c r="F76" s="28">
        <f>IF(B76="","",INDEX(QuanHe!$M$5:$M$105,MATCH(B76,QH_Z,1)))</f>
        <v/>
      </c>
      <c r="G76" s="28">
        <f>IF(B76="","",INDEX(QuanHe!$N$5:$N$105,MATCH(B76,QH_Z,1)))</f>
        <v/>
      </c>
      <c r="H76" s="27">
        <f>IF(B76="","",INDEX(QuanHe!$C$5:$C$105,MATCH(B76,QH_Z,1)))</f>
        <v/>
      </c>
      <c r="I76" s="28">
        <f>IF(B76="","",INDEX(QuanHe!$D$5:$D$105,MATCH(B76,QH_Z,1)))</f>
        <v/>
      </c>
      <c r="J76" s="28">
        <f>IF(B76="","",INDEX(QuanHe!$O$5:$O$105,MATCH(B76,QH_Z,1)))</f>
        <v/>
      </c>
      <c r="K76" s="28">
        <f>IF(B76="","",INDEX(QuanHe!$Q$5:$Q$105,MATCH(B76,QH_Z,1)))</f>
        <v/>
      </c>
      <c r="L76" s="28">
        <f>IF(B76="","",INDEX(QuanHe!$P$5:$P$105,MATCH(B76,QH_Z,1)))</f>
        <v/>
      </c>
      <c r="M76" s="28">
        <f>IF(B76="","",INDEX(QuanHe!$R$5:$R$105,MATCH(B76,QH_Z,1)))</f>
        <v/>
      </c>
    </row>
    <row r="77">
      <c r="A77" s="52">
        <f>IF(B77="","",ROW()-6)</f>
        <v/>
      </c>
      <c r="B77" s="26">
        <f>IF(B76="","",IF(B76+Buoc_in&gt;Z_cuoi_in+0.000001,"",ROUND(B76+Buoc_in,2)))</f>
        <v/>
      </c>
      <c r="C77" s="28">
        <f>IF(B77="","",INDEX(QuanHe!$H$5:$H$105,MATCH(B77,QH_Z,1)))</f>
        <v/>
      </c>
      <c r="D77" s="28">
        <f>IF(B77="","",INDEX(QuanHe!$I$5:$I$105,MATCH(B77,QH_Z,1)))</f>
        <v/>
      </c>
      <c r="E77" s="28">
        <f>IF(B77="","",INDEX(QuanHe!$L$5:$L$105,MATCH(B77,QH_Z,1)))</f>
        <v/>
      </c>
      <c r="F77" s="28">
        <f>IF(B77="","",INDEX(QuanHe!$M$5:$M$105,MATCH(B77,QH_Z,1)))</f>
        <v/>
      </c>
      <c r="G77" s="28">
        <f>IF(B77="","",INDEX(QuanHe!$N$5:$N$105,MATCH(B77,QH_Z,1)))</f>
        <v/>
      </c>
      <c r="H77" s="27">
        <f>IF(B77="","",INDEX(QuanHe!$C$5:$C$105,MATCH(B77,QH_Z,1)))</f>
        <v/>
      </c>
      <c r="I77" s="28">
        <f>IF(B77="","",INDEX(QuanHe!$D$5:$D$105,MATCH(B77,QH_Z,1)))</f>
        <v/>
      </c>
      <c r="J77" s="28">
        <f>IF(B77="","",INDEX(QuanHe!$O$5:$O$105,MATCH(B77,QH_Z,1)))</f>
        <v/>
      </c>
      <c r="K77" s="28">
        <f>IF(B77="","",INDEX(QuanHe!$Q$5:$Q$105,MATCH(B77,QH_Z,1)))</f>
        <v/>
      </c>
      <c r="L77" s="28">
        <f>IF(B77="","",INDEX(QuanHe!$P$5:$P$105,MATCH(B77,QH_Z,1)))</f>
        <v/>
      </c>
      <c r="M77" s="28">
        <f>IF(B77="","",INDEX(QuanHe!$R$5:$R$105,MATCH(B77,QH_Z,1)))</f>
        <v/>
      </c>
    </row>
    <row r="78">
      <c r="A78" s="52">
        <f>IF(B78="","",ROW()-6)</f>
        <v/>
      </c>
      <c r="B78" s="26">
        <f>IF(B77="","",IF(B77+Buoc_in&gt;Z_cuoi_in+0.000001,"",ROUND(B77+Buoc_in,2)))</f>
        <v/>
      </c>
      <c r="C78" s="28">
        <f>IF(B78="","",INDEX(QuanHe!$H$5:$H$105,MATCH(B78,QH_Z,1)))</f>
        <v/>
      </c>
      <c r="D78" s="28">
        <f>IF(B78="","",INDEX(QuanHe!$I$5:$I$105,MATCH(B78,QH_Z,1)))</f>
        <v/>
      </c>
      <c r="E78" s="28">
        <f>IF(B78="","",INDEX(QuanHe!$L$5:$L$105,MATCH(B78,QH_Z,1)))</f>
        <v/>
      </c>
      <c r="F78" s="28">
        <f>IF(B78="","",INDEX(QuanHe!$M$5:$M$105,MATCH(B78,QH_Z,1)))</f>
        <v/>
      </c>
      <c r="G78" s="28">
        <f>IF(B78="","",INDEX(QuanHe!$N$5:$N$105,MATCH(B78,QH_Z,1)))</f>
        <v/>
      </c>
      <c r="H78" s="27">
        <f>IF(B78="","",INDEX(QuanHe!$C$5:$C$105,MATCH(B78,QH_Z,1)))</f>
        <v/>
      </c>
      <c r="I78" s="28">
        <f>IF(B78="","",INDEX(QuanHe!$D$5:$D$105,MATCH(B78,QH_Z,1)))</f>
        <v/>
      </c>
      <c r="J78" s="28">
        <f>IF(B78="","",INDEX(QuanHe!$O$5:$O$105,MATCH(B78,QH_Z,1)))</f>
        <v/>
      </c>
      <c r="K78" s="28">
        <f>IF(B78="","",INDEX(QuanHe!$Q$5:$Q$105,MATCH(B78,QH_Z,1)))</f>
        <v/>
      </c>
      <c r="L78" s="28">
        <f>IF(B78="","",INDEX(QuanHe!$P$5:$P$105,MATCH(B78,QH_Z,1)))</f>
        <v/>
      </c>
      <c r="M78" s="28">
        <f>IF(B78="","",INDEX(QuanHe!$R$5:$R$105,MATCH(B78,QH_Z,1)))</f>
        <v/>
      </c>
    </row>
    <row r="79">
      <c r="A79" s="52">
        <f>IF(B79="","",ROW()-6)</f>
        <v/>
      </c>
      <c r="B79" s="26">
        <f>IF(B78="","",IF(B78+Buoc_in&gt;Z_cuoi_in+0.000001,"",ROUND(B78+Buoc_in,2)))</f>
        <v/>
      </c>
      <c r="C79" s="28">
        <f>IF(B79="","",INDEX(QuanHe!$H$5:$H$105,MATCH(B79,QH_Z,1)))</f>
        <v/>
      </c>
      <c r="D79" s="28">
        <f>IF(B79="","",INDEX(QuanHe!$I$5:$I$105,MATCH(B79,QH_Z,1)))</f>
        <v/>
      </c>
      <c r="E79" s="28">
        <f>IF(B79="","",INDEX(QuanHe!$L$5:$L$105,MATCH(B79,QH_Z,1)))</f>
        <v/>
      </c>
      <c r="F79" s="28">
        <f>IF(B79="","",INDEX(QuanHe!$M$5:$M$105,MATCH(B79,QH_Z,1)))</f>
        <v/>
      </c>
      <c r="G79" s="28">
        <f>IF(B79="","",INDEX(QuanHe!$N$5:$N$105,MATCH(B79,QH_Z,1)))</f>
        <v/>
      </c>
      <c r="H79" s="27">
        <f>IF(B79="","",INDEX(QuanHe!$C$5:$C$105,MATCH(B79,QH_Z,1)))</f>
        <v/>
      </c>
      <c r="I79" s="28">
        <f>IF(B79="","",INDEX(QuanHe!$D$5:$D$105,MATCH(B79,QH_Z,1)))</f>
        <v/>
      </c>
      <c r="J79" s="28">
        <f>IF(B79="","",INDEX(QuanHe!$O$5:$O$105,MATCH(B79,QH_Z,1)))</f>
        <v/>
      </c>
      <c r="K79" s="28">
        <f>IF(B79="","",INDEX(QuanHe!$Q$5:$Q$105,MATCH(B79,QH_Z,1)))</f>
        <v/>
      </c>
      <c r="L79" s="28">
        <f>IF(B79="","",INDEX(QuanHe!$P$5:$P$105,MATCH(B79,QH_Z,1)))</f>
        <v/>
      </c>
      <c r="M79" s="28">
        <f>IF(B79="","",INDEX(QuanHe!$R$5:$R$105,MATCH(B79,QH_Z,1)))</f>
        <v/>
      </c>
    </row>
    <row r="80">
      <c r="A80" s="52">
        <f>IF(B80="","",ROW()-6)</f>
        <v/>
      </c>
      <c r="B80" s="26">
        <f>IF(B79="","",IF(B79+Buoc_in&gt;Z_cuoi_in+0.000001,"",ROUND(B79+Buoc_in,2)))</f>
        <v/>
      </c>
      <c r="C80" s="28">
        <f>IF(B80="","",INDEX(QuanHe!$H$5:$H$105,MATCH(B80,QH_Z,1)))</f>
        <v/>
      </c>
      <c r="D80" s="28">
        <f>IF(B80="","",INDEX(QuanHe!$I$5:$I$105,MATCH(B80,QH_Z,1)))</f>
        <v/>
      </c>
      <c r="E80" s="28">
        <f>IF(B80="","",INDEX(QuanHe!$L$5:$L$105,MATCH(B80,QH_Z,1)))</f>
        <v/>
      </c>
      <c r="F80" s="28">
        <f>IF(B80="","",INDEX(QuanHe!$M$5:$M$105,MATCH(B80,QH_Z,1)))</f>
        <v/>
      </c>
      <c r="G80" s="28">
        <f>IF(B80="","",INDEX(QuanHe!$N$5:$N$105,MATCH(B80,QH_Z,1)))</f>
        <v/>
      </c>
      <c r="H80" s="27">
        <f>IF(B80="","",INDEX(QuanHe!$C$5:$C$105,MATCH(B80,QH_Z,1)))</f>
        <v/>
      </c>
      <c r="I80" s="28">
        <f>IF(B80="","",INDEX(QuanHe!$D$5:$D$105,MATCH(B80,QH_Z,1)))</f>
        <v/>
      </c>
      <c r="J80" s="28">
        <f>IF(B80="","",INDEX(QuanHe!$O$5:$O$105,MATCH(B80,QH_Z,1)))</f>
        <v/>
      </c>
      <c r="K80" s="28">
        <f>IF(B80="","",INDEX(QuanHe!$Q$5:$Q$105,MATCH(B80,QH_Z,1)))</f>
        <v/>
      </c>
      <c r="L80" s="28">
        <f>IF(B80="","",INDEX(QuanHe!$P$5:$P$105,MATCH(B80,QH_Z,1)))</f>
        <v/>
      </c>
      <c r="M80" s="28">
        <f>IF(B80="","",INDEX(QuanHe!$R$5:$R$105,MATCH(B80,QH_Z,1)))</f>
        <v/>
      </c>
    </row>
    <row r="81">
      <c r="A81" s="52">
        <f>IF(B81="","",ROW()-6)</f>
        <v/>
      </c>
      <c r="B81" s="26">
        <f>IF(B80="","",IF(B80+Buoc_in&gt;Z_cuoi_in+0.000001,"",ROUND(B80+Buoc_in,2)))</f>
        <v/>
      </c>
      <c r="C81" s="28">
        <f>IF(B81="","",INDEX(QuanHe!$H$5:$H$105,MATCH(B81,QH_Z,1)))</f>
        <v/>
      </c>
      <c r="D81" s="28">
        <f>IF(B81="","",INDEX(QuanHe!$I$5:$I$105,MATCH(B81,QH_Z,1)))</f>
        <v/>
      </c>
      <c r="E81" s="28">
        <f>IF(B81="","",INDEX(QuanHe!$L$5:$L$105,MATCH(B81,QH_Z,1)))</f>
        <v/>
      </c>
      <c r="F81" s="28">
        <f>IF(B81="","",INDEX(QuanHe!$M$5:$M$105,MATCH(B81,QH_Z,1)))</f>
        <v/>
      </c>
      <c r="G81" s="28">
        <f>IF(B81="","",INDEX(QuanHe!$N$5:$N$105,MATCH(B81,QH_Z,1)))</f>
        <v/>
      </c>
      <c r="H81" s="27">
        <f>IF(B81="","",INDEX(QuanHe!$C$5:$C$105,MATCH(B81,QH_Z,1)))</f>
        <v/>
      </c>
      <c r="I81" s="28">
        <f>IF(B81="","",INDEX(QuanHe!$D$5:$D$105,MATCH(B81,QH_Z,1)))</f>
        <v/>
      </c>
      <c r="J81" s="28">
        <f>IF(B81="","",INDEX(QuanHe!$O$5:$O$105,MATCH(B81,QH_Z,1)))</f>
        <v/>
      </c>
      <c r="K81" s="28">
        <f>IF(B81="","",INDEX(QuanHe!$Q$5:$Q$105,MATCH(B81,QH_Z,1)))</f>
        <v/>
      </c>
      <c r="L81" s="28">
        <f>IF(B81="","",INDEX(QuanHe!$P$5:$P$105,MATCH(B81,QH_Z,1)))</f>
        <v/>
      </c>
      <c r="M81" s="28">
        <f>IF(B81="","",INDEX(QuanHe!$R$5:$R$105,MATCH(B81,QH_Z,1)))</f>
        <v/>
      </c>
    </row>
    <row r="82">
      <c r="A82" s="52">
        <f>IF(B82="","",ROW()-6)</f>
        <v/>
      </c>
      <c r="B82" s="26">
        <f>IF(B81="","",IF(B81+Buoc_in&gt;Z_cuoi_in+0.000001,"",ROUND(B81+Buoc_in,2)))</f>
        <v/>
      </c>
      <c r="C82" s="28">
        <f>IF(B82="","",INDEX(QuanHe!$H$5:$H$105,MATCH(B82,QH_Z,1)))</f>
        <v/>
      </c>
      <c r="D82" s="28">
        <f>IF(B82="","",INDEX(QuanHe!$I$5:$I$105,MATCH(B82,QH_Z,1)))</f>
        <v/>
      </c>
      <c r="E82" s="28">
        <f>IF(B82="","",INDEX(QuanHe!$L$5:$L$105,MATCH(B82,QH_Z,1)))</f>
        <v/>
      </c>
      <c r="F82" s="28">
        <f>IF(B82="","",INDEX(QuanHe!$M$5:$M$105,MATCH(B82,QH_Z,1)))</f>
        <v/>
      </c>
      <c r="G82" s="28">
        <f>IF(B82="","",INDEX(QuanHe!$N$5:$N$105,MATCH(B82,QH_Z,1)))</f>
        <v/>
      </c>
      <c r="H82" s="27">
        <f>IF(B82="","",INDEX(QuanHe!$C$5:$C$105,MATCH(B82,QH_Z,1)))</f>
        <v/>
      </c>
      <c r="I82" s="28">
        <f>IF(B82="","",INDEX(QuanHe!$D$5:$D$105,MATCH(B82,QH_Z,1)))</f>
        <v/>
      </c>
      <c r="J82" s="28">
        <f>IF(B82="","",INDEX(QuanHe!$O$5:$O$105,MATCH(B82,QH_Z,1)))</f>
        <v/>
      </c>
      <c r="K82" s="28">
        <f>IF(B82="","",INDEX(QuanHe!$Q$5:$Q$105,MATCH(B82,QH_Z,1)))</f>
        <v/>
      </c>
      <c r="L82" s="28">
        <f>IF(B82="","",INDEX(QuanHe!$P$5:$P$105,MATCH(B82,QH_Z,1)))</f>
        <v/>
      </c>
      <c r="M82" s="28">
        <f>IF(B82="","",INDEX(QuanHe!$R$5:$R$105,MATCH(B82,QH_Z,1)))</f>
        <v/>
      </c>
    </row>
    <row r="83">
      <c r="A83" s="52">
        <f>IF(B83="","",ROW()-6)</f>
        <v/>
      </c>
      <c r="B83" s="26">
        <f>IF(B82="","",IF(B82+Buoc_in&gt;Z_cuoi_in+0.000001,"",ROUND(B82+Buoc_in,2)))</f>
        <v/>
      </c>
      <c r="C83" s="28">
        <f>IF(B83="","",INDEX(QuanHe!$H$5:$H$105,MATCH(B83,QH_Z,1)))</f>
        <v/>
      </c>
      <c r="D83" s="28">
        <f>IF(B83="","",INDEX(QuanHe!$I$5:$I$105,MATCH(B83,QH_Z,1)))</f>
        <v/>
      </c>
      <c r="E83" s="28">
        <f>IF(B83="","",INDEX(QuanHe!$L$5:$L$105,MATCH(B83,QH_Z,1)))</f>
        <v/>
      </c>
      <c r="F83" s="28">
        <f>IF(B83="","",INDEX(QuanHe!$M$5:$M$105,MATCH(B83,QH_Z,1)))</f>
        <v/>
      </c>
      <c r="G83" s="28">
        <f>IF(B83="","",INDEX(QuanHe!$N$5:$N$105,MATCH(B83,QH_Z,1)))</f>
        <v/>
      </c>
      <c r="H83" s="27">
        <f>IF(B83="","",INDEX(QuanHe!$C$5:$C$105,MATCH(B83,QH_Z,1)))</f>
        <v/>
      </c>
      <c r="I83" s="28">
        <f>IF(B83="","",INDEX(QuanHe!$D$5:$D$105,MATCH(B83,QH_Z,1)))</f>
        <v/>
      </c>
      <c r="J83" s="28">
        <f>IF(B83="","",INDEX(QuanHe!$O$5:$O$105,MATCH(B83,QH_Z,1)))</f>
        <v/>
      </c>
      <c r="K83" s="28">
        <f>IF(B83="","",INDEX(QuanHe!$Q$5:$Q$105,MATCH(B83,QH_Z,1)))</f>
        <v/>
      </c>
      <c r="L83" s="28">
        <f>IF(B83="","",INDEX(QuanHe!$P$5:$P$105,MATCH(B83,QH_Z,1)))</f>
        <v/>
      </c>
      <c r="M83" s="28">
        <f>IF(B83="","",INDEX(QuanHe!$R$5:$R$105,MATCH(B83,QH_Z,1)))</f>
        <v/>
      </c>
    </row>
    <row r="84">
      <c r="A84" s="52">
        <f>IF(B84="","",ROW()-6)</f>
        <v/>
      </c>
      <c r="B84" s="26">
        <f>IF(B83="","",IF(B83+Buoc_in&gt;Z_cuoi_in+0.000001,"",ROUND(B83+Buoc_in,2)))</f>
        <v/>
      </c>
      <c r="C84" s="28">
        <f>IF(B84="","",INDEX(QuanHe!$H$5:$H$105,MATCH(B84,QH_Z,1)))</f>
        <v/>
      </c>
      <c r="D84" s="28">
        <f>IF(B84="","",INDEX(QuanHe!$I$5:$I$105,MATCH(B84,QH_Z,1)))</f>
        <v/>
      </c>
      <c r="E84" s="28">
        <f>IF(B84="","",INDEX(QuanHe!$L$5:$L$105,MATCH(B84,QH_Z,1)))</f>
        <v/>
      </c>
      <c r="F84" s="28">
        <f>IF(B84="","",INDEX(QuanHe!$M$5:$M$105,MATCH(B84,QH_Z,1)))</f>
        <v/>
      </c>
      <c r="G84" s="28">
        <f>IF(B84="","",INDEX(QuanHe!$N$5:$N$105,MATCH(B84,QH_Z,1)))</f>
        <v/>
      </c>
      <c r="H84" s="27">
        <f>IF(B84="","",INDEX(QuanHe!$C$5:$C$105,MATCH(B84,QH_Z,1)))</f>
        <v/>
      </c>
      <c r="I84" s="28">
        <f>IF(B84="","",INDEX(QuanHe!$D$5:$D$105,MATCH(B84,QH_Z,1)))</f>
        <v/>
      </c>
      <c r="J84" s="28">
        <f>IF(B84="","",INDEX(QuanHe!$O$5:$O$105,MATCH(B84,QH_Z,1)))</f>
        <v/>
      </c>
      <c r="K84" s="28">
        <f>IF(B84="","",INDEX(QuanHe!$Q$5:$Q$105,MATCH(B84,QH_Z,1)))</f>
        <v/>
      </c>
      <c r="L84" s="28">
        <f>IF(B84="","",INDEX(QuanHe!$P$5:$P$105,MATCH(B84,QH_Z,1)))</f>
        <v/>
      </c>
      <c r="M84" s="28">
        <f>IF(B84="","",INDEX(QuanHe!$R$5:$R$105,MATCH(B84,QH_Z,1)))</f>
        <v/>
      </c>
    </row>
    <row r="85">
      <c r="A85" s="52">
        <f>IF(B85="","",ROW()-6)</f>
        <v/>
      </c>
      <c r="B85" s="26">
        <f>IF(B84="","",IF(B84+Buoc_in&gt;Z_cuoi_in+0.000001,"",ROUND(B84+Buoc_in,2)))</f>
        <v/>
      </c>
      <c r="C85" s="28">
        <f>IF(B85="","",INDEX(QuanHe!$H$5:$H$105,MATCH(B85,QH_Z,1)))</f>
        <v/>
      </c>
      <c r="D85" s="28">
        <f>IF(B85="","",INDEX(QuanHe!$I$5:$I$105,MATCH(B85,QH_Z,1)))</f>
        <v/>
      </c>
      <c r="E85" s="28">
        <f>IF(B85="","",INDEX(QuanHe!$L$5:$L$105,MATCH(B85,QH_Z,1)))</f>
        <v/>
      </c>
      <c r="F85" s="28">
        <f>IF(B85="","",INDEX(QuanHe!$M$5:$M$105,MATCH(B85,QH_Z,1)))</f>
        <v/>
      </c>
      <c r="G85" s="28">
        <f>IF(B85="","",INDEX(QuanHe!$N$5:$N$105,MATCH(B85,QH_Z,1)))</f>
        <v/>
      </c>
      <c r="H85" s="27">
        <f>IF(B85="","",INDEX(QuanHe!$C$5:$C$105,MATCH(B85,QH_Z,1)))</f>
        <v/>
      </c>
      <c r="I85" s="28">
        <f>IF(B85="","",INDEX(QuanHe!$D$5:$D$105,MATCH(B85,QH_Z,1)))</f>
        <v/>
      </c>
      <c r="J85" s="28">
        <f>IF(B85="","",INDEX(QuanHe!$O$5:$O$105,MATCH(B85,QH_Z,1)))</f>
        <v/>
      </c>
      <c r="K85" s="28">
        <f>IF(B85="","",INDEX(QuanHe!$Q$5:$Q$105,MATCH(B85,QH_Z,1)))</f>
        <v/>
      </c>
      <c r="L85" s="28">
        <f>IF(B85="","",INDEX(QuanHe!$P$5:$P$105,MATCH(B85,QH_Z,1)))</f>
        <v/>
      </c>
      <c r="M85" s="28">
        <f>IF(B85="","",INDEX(QuanHe!$R$5:$R$105,MATCH(B85,QH_Z,1)))</f>
        <v/>
      </c>
    </row>
    <row r="86">
      <c r="A86" s="52">
        <f>IF(B86="","",ROW()-6)</f>
        <v/>
      </c>
      <c r="B86" s="26">
        <f>IF(B85="","",IF(B85+Buoc_in&gt;Z_cuoi_in+0.000001,"",ROUND(B85+Buoc_in,2)))</f>
        <v/>
      </c>
      <c r="C86" s="28">
        <f>IF(B86="","",INDEX(QuanHe!$H$5:$H$105,MATCH(B86,QH_Z,1)))</f>
        <v/>
      </c>
      <c r="D86" s="28">
        <f>IF(B86="","",INDEX(QuanHe!$I$5:$I$105,MATCH(B86,QH_Z,1)))</f>
        <v/>
      </c>
      <c r="E86" s="28">
        <f>IF(B86="","",INDEX(QuanHe!$L$5:$L$105,MATCH(B86,QH_Z,1)))</f>
        <v/>
      </c>
      <c r="F86" s="28">
        <f>IF(B86="","",INDEX(QuanHe!$M$5:$M$105,MATCH(B86,QH_Z,1)))</f>
        <v/>
      </c>
      <c r="G86" s="28">
        <f>IF(B86="","",INDEX(QuanHe!$N$5:$N$105,MATCH(B86,QH_Z,1)))</f>
        <v/>
      </c>
      <c r="H86" s="27">
        <f>IF(B86="","",INDEX(QuanHe!$C$5:$C$105,MATCH(B86,QH_Z,1)))</f>
        <v/>
      </c>
      <c r="I86" s="28">
        <f>IF(B86="","",INDEX(QuanHe!$D$5:$D$105,MATCH(B86,QH_Z,1)))</f>
        <v/>
      </c>
      <c r="J86" s="28">
        <f>IF(B86="","",INDEX(QuanHe!$O$5:$O$105,MATCH(B86,QH_Z,1)))</f>
        <v/>
      </c>
      <c r="K86" s="28">
        <f>IF(B86="","",INDEX(QuanHe!$Q$5:$Q$105,MATCH(B86,QH_Z,1)))</f>
        <v/>
      </c>
      <c r="L86" s="28">
        <f>IF(B86="","",INDEX(QuanHe!$P$5:$P$105,MATCH(B86,QH_Z,1)))</f>
        <v/>
      </c>
      <c r="M86" s="28">
        <f>IF(B86="","",INDEX(QuanHe!$R$5:$R$105,MATCH(B86,QH_Z,1)))</f>
        <v/>
      </c>
    </row>
    <row r="87">
      <c r="A87" s="52">
        <f>IF(B87="","",ROW()-6)</f>
        <v/>
      </c>
      <c r="B87" s="26">
        <f>IF(B86="","",IF(B86+Buoc_in&gt;Z_cuoi_in+0.000001,"",ROUND(B86+Buoc_in,2)))</f>
        <v/>
      </c>
      <c r="C87" s="28">
        <f>IF(B87="","",INDEX(QuanHe!$H$5:$H$105,MATCH(B87,QH_Z,1)))</f>
        <v/>
      </c>
      <c r="D87" s="28">
        <f>IF(B87="","",INDEX(QuanHe!$I$5:$I$105,MATCH(B87,QH_Z,1)))</f>
        <v/>
      </c>
      <c r="E87" s="28">
        <f>IF(B87="","",INDEX(QuanHe!$L$5:$L$105,MATCH(B87,QH_Z,1)))</f>
        <v/>
      </c>
      <c r="F87" s="28">
        <f>IF(B87="","",INDEX(QuanHe!$M$5:$M$105,MATCH(B87,QH_Z,1)))</f>
        <v/>
      </c>
      <c r="G87" s="28">
        <f>IF(B87="","",INDEX(QuanHe!$N$5:$N$105,MATCH(B87,QH_Z,1)))</f>
        <v/>
      </c>
      <c r="H87" s="27">
        <f>IF(B87="","",INDEX(QuanHe!$C$5:$C$105,MATCH(B87,QH_Z,1)))</f>
        <v/>
      </c>
      <c r="I87" s="28">
        <f>IF(B87="","",INDEX(QuanHe!$D$5:$D$105,MATCH(B87,QH_Z,1)))</f>
        <v/>
      </c>
      <c r="J87" s="28">
        <f>IF(B87="","",INDEX(QuanHe!$O$5:$O$105,MATCH(B87,QH_Z,1)))</f>
        <v/>
      </c>
      <c r="K87" s="28">
        <f>IF(B87="","",INDEX(QuanHe!$Q$5:$Q$105,MATCH(B87,QH_Z,1)))</f>
        <v/>
      </c>
      <c r="L87" s="28">
        <f>IF(B87="","",INDEX(QuanHe!$P$5:$P$105,MATCH(B87,QH_Z,1)))</f>
        <v/>
      </c>
      <c r="M87" s="28">
        <f>IF(B87="","",INDEX(QuanHe!$R$5:$R$105,MATCH(B87,QH_Z,1)))</f>
        <v/>
      </c>
    </row>
    <row r="88">
      <c r="A88" s="52">
        <f>IF(B88="","",ROW()-6)</f>
        <v/>
      </c>
      <c r="B88" s="26">
        <f>IF(B87="","",IF(B87+Buoc_in&gt;Z_cuoi_in+0.000001,"",ROUND(B87+Buoc_in,2)))</f>
        <v/>
      </c>
      <c r="C88" s="28">
        <f>IF(B88="","",INDEX(QuanHe!$H$5:$H$105,MATCH(B88,QH_Z,1)))</f>
        <v/>
      </c>
      <c r="D88" s="28">
        <f>IF(B88="","",INDEX(QuanHe!$I$5:$I$105,MATCH(B88,QH_Z,1)))</f>
        <v/>
      </c>
      <c r="E88" s="28">
        <f>IF(B88="","",INDEX(QuanHe!$L$5:$L$105,MATCH(B88,QH_Z,1)))</f>
        <v/>
      </c>
      <c r="F88" s="28">
        <f>IF(B88="","",INDEX(QuanHe!$M$5:$M$105,MATCH(B88,QH_Z,1)))</f>
        <v/>
      </c>
      <c r="G88" s="28">
        <f>IF(B88="","",INDEX(QuanHe!$N$5:$N$105,MATCH(B88,QH_Z,1)))</f>
        <v/>
      </c>
      <c r="H88" s="27">
        <f>IF(B88="","",INDEX(QuanHe!$C$5:$C$105,MATCH(B88,QH_Z,1)))</f>
        <v/>
      </c>
      <c r="I88" s="28">
        <f>IF(B88="","",INDEX(QuanHe!$D$5:$D$105,MATCH(B88,QH_Z,1)))</f>
        <v/>
      </c>
      <c r="J88" s="28">
        <f>IF(B88="","",INDEX(QuanHe!$O$5:$O$105,MATCH(B88,QH_Z,1)))</f>
        <v/>
      </c>
      <c r="K88" s="28">
        <f>IF(B88="","",INDEX(QuanHe!$Q$5:$Q$105,MATCH(B88,QH_Z,1)))</f>
        <v/>
      </c>
      <c r="L88" s="28">
        <f>IF(B88="","",INDEX(QuanHe!$P$5:$P$105,MATCH(B88,QH_Z,1)))</f>
        <v/>
      </c>
      <c r="M88" s="28">
        <f>IF(B88="","",INDEX(QuanHe!$R$5:$R$105,MATCH(B88,QH_Z,1)))</f>
        <v/>
      </c>
    </row>
    <row r="89">
      <c r="A89" s="52">
        <f>IF(B89="","",ROW()-6)</f>
        <v/>
      </c>
      <c r="B89" s="26">
        <f>IF(B88="","",IF(B88+Buoc_in&gt;Z_cuoi_in+0.000001,"",ROUND(B88+Buoc_in,2)))</f>
        <v/>
      </c>
      <c r="C89" s="28">
        <f>IF(B89="","",INDEX(QuanHe!$H$5:$H$105,MATCH(B89,QH_Z,1)))</f>
        <v/>
      </c>
      <c r="D89" s="28">
        <f>IF(B89="","",INDEX(QuanHe!$I$5:$I$105,MATCH(B89,QH_Z,1)))</f>
        <v/>
      </c>
      <c r="E89" s="28">
        <f>IF(B89="","",INDEX(QuanHe!$L$5:$L$105,MATCH(B89,QH_Z,1)))</f>
        <v/>
      </c>
      <c r="F89" s="28">
        <f>IF(B89="","",INDEX(QuanHe!$M$5:$M$105,MATCH(B89,QH_Z,1)))</f>
        <v/>
      </c>
      <c r="G89" s="28">
        <f>IF(B89="","",INDEX(QuanHe!$N$5:$N$105,MATCH(B89,QH_Z,1)))</f>
        <v/>
      </c>
      <c r="H89" s="27">
        <f>IF(B89="","",INDEX(QuanHe!$C$5:$C$105,MATCH(B89,QH_Z,1)))</f>
        <v/>
      </c>
      <c r="I89" s="28">
        <f>IF(B89="","",INDEX(QuanHe!$D$5:$D$105,MATCH(B89,QH_Z,1)))</f>
        <v/>
      </c>
      <c r="J89" s="28">
        <f>IF(B89="","",INDEX(QuanHe!$O$5:$O$105,MATCH(B89,QH_Z,1)))</f>
        <v/>
      </c>
      <c r="K89" s="28">
        <f>IF(B89="","",INDEX(QuanHe!$Q$5:$Q$105,MATCH(B89,QH_Z,1)))</f>
        <v/>
      </c>
      <c r="L89" s="28">
        <f>IF(B89="","",INDEX(QuanHe!$P$5:$P$105,MATCH(B89,QH_Z,1)))</f>
        <v/>
      </c>
      <c r="M89" s="28">
        <f>IF(B89="","",INDEX(QuanHe!$R$5:$R$105,MATCH(B89,QH_Z,1)))</f>
        <v/>
      </c>
    </row>
    <row r="90">
      <c r="A90" s="52">
        <f>IF(B90="","",ROW()-6)</f>
        <v/>
      </c>
      <c r="B90" s="26">
        <f>IF(B89="","",IF(B89+Buoc_in&gt;Z_cuoi_in+0.000001,"",ROUND(B89+Buoc_in,2)))</f>
        <v/>
      </c>
      <c r="C90" s="28">
        <f>IF(B90="","",INDEX(QuanHe!$H$5:$H$105,MATCH(B90,QH_Z,1)))</f>
        <v/>
      </c>
      <c r="D90" s="28">
        <f>IF(B90="","",INDEX(QuanHe!$I$5:$I$105,MATCH(B90,QH_Z,1)))</f>
        <v/>
      </c>
      <c r="E90" s="28">
        <f>IF(B90="","",INDEX(QuanHe!$L$5:$L$105,MATCH(B90,QH_Z,1)))</f>
        <v/>
      </c>
      <c r="F90" s="28">
        <f>IF(B90="","",INDEX(QuanHe!$M$5:$M$105,MATCH(B90,QH_Z,1)))</f>
        <v/>
      </c>
      <c r="G90" s="28">
        <f>IF(B90="","",INDEX(QuanHe!$N$5:$N$105,MATCH(B90,QH_Z,1)))</f>
        <v/>
      </c>
      <c r="H90" s="27">
        <f>IF(B90="","",INDEX(QuanHe!$C$5:$C$105,MATCH(B90,QH_Z,1)))</f>
        <v/>
      </c>
      <c r="I90" s="28">
        <f>IF(B90="","",INDEX(QuanHe!$D$5:$D$105,MATCH(B90,QH_Z,1)))</f>
        <v/>
      </c>
      <c r="J90" s="28">
        <f>IF(B90="","",INDEX(QuanHe!$O$5:$O$105,MATCH(B90,QH_Z,1)))</f>
        <v/>
      </c>
      <c r="K90" s="28">
        <f>IF(B90="","",INDEX(QuanHe!$Q$5:$Q$105,MATCH(B90,QH_Z,1)))</f>
        <v/>
      </c>
      <c r="L90" s="28">
        <f>IF(B90="","",INDEX(QuanHe!$P$5:$P$105,MATCH(B90,QH_Z,1)))</f>
        <v/>
      </c>
      <c r="M90" s="28">
        <f>IF(B90="","",INDEX(QuanHe!$R$5:$R$105,MATCH(B90,QH_Z,1)))</f>
        <v/>
      </c>
    </row>
    <row r="91">
      <c r="A91" s="52">
        <f>IF(B91="","",ROW()-6)</f>
        <v/>
      </c>
      <c r="B91" s="26">
        <f>IF(B90="","",IF(B90+Buoc_in&gt;Z_cuoi_in+0.000001,"",ROUND(B90+Buoc_in,2)))</f>
        <v/>
      </c>
      <c r="C91" s="28">
        <f>IF(B91="","",INDEX(QuanHe!$H$5:$H$105,MATCH(B91,QH_Z,1)))</f>
        <v/>
      </c>
      <c r="D91" s="28">
        <f>IF(B91="","",INDEX(QuanHe!$I$5:$I$105,MATCH(B91,QH_Z,1)))</f>
        <v/>
      </c>
      <c r="E91" s="28">
        <f>IF(B91="","",INDEX(QuanHe!$L$5:$L$105,MATCH(B91,QH_Z,1)))</f>
        <v/>
      </c>
      <c r="F91" s="28">
        <f>IF(B91="","",INDEX(QuanHe!$M$5:$M$105,MATCH(B91,QH_Z,1)))</f>
        <v/>
      </c>
      <c r="G91" s="28">
        <f>IF(B91="","",INDEX(QuanHe!$N$5:$N$105,MATCH(B91,QH_Z,1)))</f>
        <v/>
      </c>
      <c r="H91" s="27">
        <f>IF(B91="","",INDEX(QuanHe!$C$5:$C$105,MATCH(B91,QH_Z,1)))</f>
        <v/>
      </c>
      <c r="I91" s="28">
        <f>IF(B91="","",INDEX(QuanHe!$D$5:$D$105,MATCH(B91,QH_Z,1)))</f>
        <v/>
      </c>
      <c r="J91" s="28">
        <f>IF(B91="","",INDEX(QuanHe!$O$5:$O$105,MATCH(B91,QH_Z,1)))</f>
        <v/>
      </c>
      <c r="K91" s="28">
        <f>IF(B91="","",INDEX(QuanHe!$Q$5:$Q$105,MATCH(B91,QH_Z,1)))</f>
        <v/>
      </c>
      <c r="L91" s="28">
        <f>IF(B91="","",INDEX(QuanHe!$P$5:$P$105,MATCH(B91,QH_Z,1)))</f>
        <v/>
      </c>
      <c r="M91" s="28">
        <f>IF(B91="","",INDEX(QuanHe!$R$5:$R$105,MATCH(B91,QH_Z,1)))</f>
        <v/>
      </c>
    </row>
    <row r="92">
      <c r="A92" s="52">
        <f>IF(B92="","",ROW()-6)</f>
        <v/>
      </c>
      <c r="B92" s="26">
        <f>IF(B91="","",IF(B91+Buoc_in&gt;Z_cuoi_in+0.000001,"",ROUND(B91+Buoc_in,2)))</f>
        <v/>
      </c>
      <c r="C92" s="28">
        <f>IF(B92="","",INDEX(QuanHe!$H$5:$H$105,MATCH(B92,QH_Z,1)))</f>
        <v/>
      </c>
      <c r="D92" s="28">
        <f>IF(B92="","",INDEX(QuanHe!$I$5:$I$105,MATCH(B92,QH_Z,1)))</f>
        <v/>
      </c>
      <c r="E92" s="28">
        <f>IF(B92="","",INDEX(QuanHe!$L$5:$L$105,MATCH(B92,QH_Z,1)))</f>
        <v/>
      </c>
      <c r="F92" s="28">
        <f>IF(B92="","",INDEX(QuanHe!$M$5:$M$105,MATCH(B92,QH_Z,1)))</f>
        <v/>
      </c>
      <c r="G92" s="28">
        <f>IF(B92="","",INDEX(QuanHe!$N$5:$N$105,MATCH(B92,QH_Z,1)))</f>
        <v/>
      </c>
      <c r="H92" s="27">
        <f>IF(B92="","",INDEX(QuanHe!$C$5:$C$105,MATCH(B92,QH_Z,1)))</f>
        <v/>
      </c>
      <c r="I92" s="28">
        <f>IF(B92="","",INDEX(QuanHe!$D$5:$D$105,MATCH(B92,QH_Z,1)))</f>
        <v/>
      </c>
      <c r="J92" s="28">
        <f>IF(B92="","",INDEX(QuanHe!$O$5:$O$105,MATCH(B92,QH_Z,1)))</f>
        <v/>
      </c>
      <c r="K92" s="28">
        <f>IF(B92="","",INDEX(QuanHe!$Q$5:$Q$105,MATCH(B92,QH_Z,1)))</f>
        <v/>
      </c>
      <c r="L92" s="28">
        <f>IF(B92="","",INDEX(QuanHe!$P$5:$P$105,MATCH(B92,QH_Z,1)))</f>
        <v/>
      </c>
      <c r="M92" s="28">
        <f>IF(B92="","",INDEX(QuanHe!$R$5:$R$105,MATCH(B92,QH_Z,1)))</f>
        <v/>
      </c>
    </row>
    <row r="93">
      <c r="A93" s="52">
        <f>IF(B93="","",ROW()-6)</f>
        <v/>
      </c>
      <c r="B93" s="26">
        <f>IF(B92="","",IF(B92+Buoc_in&gt;Z_cuoi_in+0.000001,"",ROUND(B92+Buoc_in,2)))</f>
        <v/>
      </c>
      <c r="C93" s="28">
        <f>IF(B93="","",INDEX(QuanHe!$H$5:$H$105,MATCH(B93,QH_Z,1)))</f>
        <v/>
      </c>
      <c r="D93" s="28">
        <f>IF(B93="","",INDEX(QuanHe!$I$5:$I$105,MATCH(B93,QH_Z,1)))</f>
        <v/>
      </c>
      <c r="E93" s="28">
        <f>IF(B93="","",INDEX(QuanHe!$L$5:$L$105,MATCH(B93,QH_Z,1)))</f>
        <v/>
      </c>
      <c r="F93" s="28">
        <f>IF(B93="","",INDEX(QuanHe!$M$5:$M$105,MATCH(B93,QH_Z,1)))</f>
        <v/>
      </c>
      <c r="G93" s="28">
        <f>IF(B93="","",INDEX(QuanHe!$N$5:$N$105,MATCH(B93,QH_Z,1)))</f>
        <v/>
      </c>
      <c r="H93" s="27">
        <f>IF(B93="","",INDEX(QuanHe!$C$5:$C$105,MATCH(B93,QH_Z,1)))</f>
        <v/>
      </c>
      <c r="I93" s="28">
        <f>IF(B93="","",INDEX(QuanHe!$D$5:$D$105,MATCH(B93,QH_Z,1)))</f>
        <v/>
      </c>
      <c r="J93" s="28">
        <f>IF(B93="","",INDEX(QuanHe!$O$5:$O$105,MATCH(B93,QH_Z,1)))</f>
        <v/>
      </c>
      <c r="K93" s="28">
        <f>IF(B93="","",INDEX(QuanHe!$Q$5:$Q$105,MATCH(B93,QH_Z,1)))</f>
        <v/>
      </c>
      <c r="L93" s="28">
        <f>IF(B93="","",INDEX(QuanHe!$P$5:$P$105,MATCH(B93,QH_Z,1)))</f>
        <v/>
      </c>
      <c r="M93" s="28">
        <f>IF(B93="","",INDEX(QuanHe!$R$5:$R$105,MATCH(B93,QH_Z,1)))</f>
        <v/>
      </c>
    </row>
    <row r="94">
      <c r="A94" s="52">
        <f>IF(B94="","",ROW()-6)</f>
        <v/>
      </c>
      <c r="B94" s="26">
        <f>IF(B93="","",IF(B93+Buoc_in&gt;Z_cuoi_in+0.000001,"",ROUND(B93+Buoc_in,2)))</f>
        <v/>
      </c>
      <c r="C94" s="28">
        <f>IF(B94="","",INDEX(QuanHe!$H$5:$H$105,MATCH(B94,QH_Z,1)))</f>
        <v/>
      </c>
      <c r="D94" s="28">
        <f>IF(B94="","",INDEX(QuanHe!$I$5:$I$105,MATCH(B94,QH_Z,1)))</f>
        <v/>
      </c>
      <c r="E94" s="28">
        <f>IF(B94="","",INDEX(QuanHe!$L$5:$L$105,MATCH(B94,QH_Z,1)))</f>
        <v/>
      </c>
      <c r="F94" s="28">
        <f>IF(B94="","",INDEX(QuanHe!$M$5:$M$105,MATCH(B94,QH_Z,1)))</f>
        <v/>
      </c>
      <c r="G94" s="28">
        <f>IF(B94="","",INDEX(QuanHe!$N$5:$N$105,MATCH(B94,QH_Z,1)))</f>
        <v/>
      </c>
      <c r="H94" s="27">
        <f>IF(B94="","",INDEX(QuanHe!$C$5:$C$105,MATCH(B94,QH_Z,1)))</f>
        <v/>
      </c>
      <c r="I94" s="28">
        <f>IF(B94="","",INDEX(QuanHe!$D$5:$D$105,MATCH(B94,QH_Z,1)))</f>
        <v/>
      </c>
      <c r="J94" s="28">
        <f>IF(B94="","",INDEX(QuanHe!$O$5:$O$105,MATCH(B94,QH_Z,1)))</f>
        <v/>
      </c>
      <c r="K94" s="28">
        <f>IF(B94="","",INDEX(QuanHe!$Q$5:$Q$105,MATCH(B94,QH_Z,1)))</f>
        <v/>
      </c>
      <c r="L94" s="28">
        <f>IF(B94="","",INDEX(QuanHe!$P$5:$P$105,MATCH(B94,QH_Z,1)))</f>
        <v/>
      </c>
      <c r="M94" s="28">
        <f>IF(B94="","",INDEX(QuanHe!$R$5:$R$105,MATCH(B94,QH_Z,1)))</f>
        <v/>
      </c>
    </row>
    <row r="95">
      <c r="A95" s="52">
        <f>IF(B95="","",ROW()-6)</f>
        <v/>
      </c>
      <c r="B95" s="26">
        <f>IF(B94="","",IF(B94+Buoc_in&gt;Z_cuoi_in+0.000001,"",ROUND(B94+Buoc_in,2)))</f>
        <v/>
      </c>
      <c r="C95" s="28">
        <f>IF(B95="","",INDEX(QuanHe!$H$5:$H$105,MATCH(B95,QH_Z,1)))</f>
        <v/>
      </c>
      <c r="D95" s="28">
        <f>IF(B95="","",INDEX(QuanHe!$I$5:$I$105,MATCH(B95,QH_Z,1)))</f>
        <v/>
      </c>
      <c r="E95" s="28">
        <f>IF(B95="","",INDEX(QuanHe!$L$5:$L$105,MATCH(B95,QH_Z,1)))</f>
        <v/>
      </c>
      <c r="F95" s="28">
        <f>IF(B95="","",INDEX(QuanHe!$M$5:$M$105,MATCH(B95,QH_Z,1)))</f>
        <v/>
      </c>
      <c r="G95" s="28">
        <f>IF(B95="","",INDEX(QuanHe!$N$5:$N$105,MATCH(B95,QH_Z,1)))</f>
        <v/>
      </c>
      <c r="H95" s="27">
        <f>IF(B95="","",INDEX(QuanHe!$C$5:$C$105,MATCH(B95,QH_Z,1)))</f>
        <v/>
      </c>
      <c r="I95" s="28">
        <f>IF(B95="","",INDEX(QuanHe!$D$5:$D$105,MATCH(B95,QH_Z,1)))</f>
        <v/>
      </c>
      <c r="J95" s="28">
        <f>IF(B95="","",INDEX(QuanHe!$O$5:$O$105,MATCH(B95,QH_Z,1)))</f>
        <v/>
      </c>
      <c r="K95" s="28">
        <f>IF(B95="","",INDEX(QuanHe!$Q$5:$Q$105,MATCH(B95,QH_Z,1)))</f>
        <v/>
      </c>
      <c r="L95" s="28">
        <f>IF(B95="","",INDEX(QuanHe!$P$5:$P$105,MATCH(B95,QH_Z,1)))</f>
        <v/>
      </c>
      <c r="M95" s="28">
        <f>IF(B95="","",INDEX(QuanHe!$R$5:$R$105,MATCH(B95,QH_Z,1)))</f>
        <v/>
      </c>
    </row>
    <row r="96">
      <c r="A96" s="52">
        <f>IF(B96="","",ROW()-6)</f>
        <v/>
      </c>
      <c r="B96" s="26">
        <f>IF(B95="","",IF(B95+Buoc_in&gt;Z_cuoi_in+0.000001,"",ROUND(B95+Buoc_in,2)))</f>
        <v/>
      </c>
      <c r="C96" s="28">
        <f>IF(B96="","",INDEX(QuanHe!$H$5:$H$105,MATCH(B96,QH_Z,1)))</f>
        <v/>
      </c>
      <c r="D96" s="28">
        <f>IF(B96="","",INDEX(QuanHe!$I$5:$I$105,MATCH(B96,QH_Z,1)))</f>
        <v/>
      </c>
      <c r="E96" s="28">
        <f>IF(B96="","",INDEX(QuanHe!$L$5:$L$105,MATCH(B96,QH_Z,1)))</f>
        <v/>
      </c>
      <c r="F96" s="28">
        <f>IF(B96="","",INDEX(QuanHe!$M$5:$M$105,MATCH(B96,QH_Z,1)))</f>
        <v/>
      </c>
      <c r="G96" s="28">
        <f>IF(B96="","",INDEX(QuanHe!$N$5:$N$105,MATCH(B96,QH_Z,1)))</f>
        <v/>
      </c>
      <c r="H96" s="27">
        <f>IF(B96="","",INDEX(QuanHe!$C$5:$C$105,MATCH(B96,QH_Z,1)))</f>
        <v/>
      </c>
      <c r="I96" s="28">
        <f>IF(B96="","",INDEX(QuanHe!$D$5:$D$105,MATCH(B96,QH_Z,1)))</f>
        <v/>
      </c>
      <c r="J96" s="28">
        <f>IF(B96="","",INDEX(QuanHe!$O$5:$O$105,MATCH(B96,QH_Z,1)))</f>
        <v/>
      </c>
      <c r="K96" s="28">
        <f>IF(B96="","",INDEX(QuanHe!$Q$5:$Q$105,MATCH(B96,QH_Z,1)))</f>
        <v/>
      </c>
      <c r="L96" s="28">
        <f>IF(B96="","",INDEX(QuanHe!$P$5:$P$105,MATCH(B96,QH_Z,1)))</f>
        <v/>
      </c>
      <c r="M96" s="28">
        <f>IF(B96="","",INDEX(QuanHe!$R$5:$R$105,MATCH(B96,QH_Z,1)))</f>
        <v/>
      </c>
    </row>
    <row r="97">
      <c r="A97" s="52">
        <f>IF(B97="","",ROW()-6)</f>
        <v/>
      </c>
      <c r="B97" s="26">
        <f>IF(B96="","",IF(B96+Buoc_in&gt;Z_cuoi_in+0.000001,"",ROUND(B96+Buoc_in,2)))</f>
        <v/>
      </c>
      <c r="C97" s="28">
        <f>IF(B97="","",INDEX(QuanHe!$H$5:$H$105,MATCH(B97,QH_Z,1)))</f>
        <v/>
      </c>
      <c r="D97" s="28">
        <f>IF(B97="","",INDEX(QuanHe!$I$5:$I$105,MATCH(B97,QH_Z,1)))</f>
        <v/>
      </c>
      <c r="E97" s="28">
        <f>IF(B97="","",INDEX(QuanHe!$L$5:$L$105,MATCH(B97,QH_Z,1)))</f>
        <v/>
      </c>
      <c r="F97" s="28">
        <f>IF(B97="","",INDEX(QuanHe!$M$5:$M$105,MATCH(B97,QH_Z,1)))</f>
        <v/>
      </c>
      <c r="G97" s="28">
        <f>IF(B97="","",INDEX(QuanHe!$N$5:$N$105,MATCH(B97,QH_Z,1)))</f>
        <v/>
      </c>
      <c r="H97" s="27">
        <f>IF(B97="","",INDEX(QuanHe!$C$5:$C$105,MATCH(B97,QH_Z,1)))</f>
        <v/>
      </c>
      <c r="I97" s="28">
        <f>IF(B97="","",INDEX(QuanHe!$D$5:$D$105,MATCH(B97,QH_Z,1)))</f>
        <v/>
      </c>
      <c r="J97" s="28">
        <f>IF(B97="","",INDEX(QuanHe!$O$5:$O$105,MATCH(B97,QH_Z,1)))</f>
        <v/>
      </c>
      <c r="K97" s="28">
        <f>IF(B97="","",INDEX(QuanHe!$Q$5:$Q$105,MATCH(B97,QH_Z,1)))</f>
        <v/>
      </c>
      <c r="L97" s="28">
        <f>IF(B97="","",INDEX(QuanHe!$P$5:$P$105,MATCH(B97,QH_Z,1)))</f>
        <v/>
      </c>
      <c r="M97" s="28">
        <f>IF(B97="","",INDEX(QuanHe!$R$5:$R$105,MATCH(B97,QH_Z,1)))</f>
        <v/>
      </c>
    </row>
    <row r="98">
      <c r="A98" s="52">
        <f>IF(B98="","",ROW()-6)</f>
        <v/>
      </c>
      <c r="B98" s="26">
        <f>IF(B97="","",IF(B97+Buoc_in&gt;Z_cuoi_in+0.000001,"",ROUND(B97+Buoc_in,2)))</f>
        <v/>
      </c>
      <c r="C98" s="28">
        <f>IF(B98="","",INDEX(QuanHe!$H$5:$H$105,MATCH(B98,QH_Z,1)))</f>
        <v/>
      </c>
      <c r="D98" s="28">
        <f>IF(B98="","",INDEX(QuanHe!$I$5:$I$105,MATCH(B98,QH_Z,1)))</f>
        <v/>
      </c>
      <c r="E98" s="28">
        <f>IF(B98="","",INDEX(QuanHe!$L$5:$L$105,MATCH(B98,QH_Z,1)))</f>
        <v/>
      </c>
      <c r="F98" s="28">
        <f>IF(B98="","",INDEX(QuanHe!$M$5:$M$105,MATCH(B98,QH_Z,1)))</f>
        <v/>
      </c>
      <c r="G98" s="28">
        <f>IF(B98="","",INDEX(QuanHe!$N$5:$N$105,MATCH(B98,QH_Z,1)))</f>
        <v/>
      </c>
      <c r="H98" s="27">
        <f>IF(B98="","",INDEX(QuanHe!$C$5:$C$105,MATCH(B98,QH_Z,1)))</f>
        <v/>
      </c>
      <c r="I98" s="28">
        <f>IF(B98="","",INDEX(QuanHe!$D$5:$D$105,MATCH(B98,QH_Z,1)))</f>
        <v/>
      </c>
      <c r="J98" s="28">
        <f>IF(B98="","",INDEX(QuanHe!$O$5:$O$105,MATCH(B98,QH_Z,1)))</f>
        <v/>
      </c>
      <c r="K98" s="28">
        <f>IF(B98="","",INDEX(QuanHe!$Q$5:$Q$105,MATCH(B98,QH_Z,1)))</f>
        <v/>
      </c>
      <c r="L98" s="28">
        <f>IF(B98="","",INDEX(QuanHe!$P$5:$P$105,MATCH(B98,QH_Z,1)))</f>
        <v/>
      </c>
      <c r="M98" s="28">
        <f>IF(B98="","",INDEX(QuanHe!$R$5:$R$105,MATCH(B98,QH_Z,1)))</f>
        <v/>
      </c>
    </row>
    <row r="99">
      <c r="A99" s="52">
        <f>IF(B99="","",ROW()-6)</f>
        <v/>
      </c>
      <c r="B99" s="26">
        <f>IF(B98="","",IF(B98+Buoc_in&gt;Z_cuoi_in+0.000001,"",ROUND(B98+Buoc_in,2)))</f>
        <v/>
      </c>
      <c r="C99" s="28">
        <f>IF(B99="","",INDEX(QuanHe!$H$5:$H$105,MATCH(B99,QH_Z,1)))</f>
        <v/>
      </c>
      <c r="D99" s="28">
        <f>IF(B99="","",INDEX(QuanHe!$I$5:$I$105,MATCH(B99,QH_Z,1)))</f>
        <v/>
      </c>
      <c r="E99" s="28">
        <f>IF(B99="","",INDEX(QuanHe!$L$5:$L$105,MATCH(B99,QH_Z,1)))</f>
        <v/>
      </c>
      <c r="F99" s="28">
        <f>IF(B99="","",INDEX(QuanHe!$M$5:$M$105,MATCH(B99,QH_Z,1)))</f>
        <v/>
      </c>
      <c r="G99" s="28">
        <f>IF(B99="","",INDEX(QuanHe!$N$5:$N$105,MATCH(B99,QH_Z,1)))</f>
        <v/>
      </c>
      <c r="H99" s="27">
        <f>IF(B99="","",INDEX(QuanHe!$C$5:$C$105,MATCH(B99,QH_Z,1)))</f>
        <v/>
      </c>
      <c r="I99" s="28">
        <f>IF(B99="","",INDEX(QuanHe!$D$5:$D$105,MATCH(B99,QH_Z,1)))</f>
        <v/>
      </c>
      <c r="J99" s="28">
        <f>IF(B99="","",INDEX(QuanHe!$O$5:$O$105,MATCH(B99,QH_Z,1)))</f>
        <v/>
      </c>
      <c r="K99" s="28">
        <f>IF(B99="","",INDEX(QuanHe!$Q$5:$Q$105,MATCH(B99,QH_Z,1)))</f>
        <v/>
      </c>
      <c r="L99" s="28">
        <f>IF(B99="","",INDEX(QuanHe!$P$5:$P$105,MATCH(B99,QH_Z,1)))</f>
        <v/>
      </c>
      <c r="M99" s="28">
        <f>IF(B99="","",INDEX(QuanHe!$R$5:$R$105,MATCH(B99,QH_Z,1)))</f>
        <v/>
      </c>
    </row>
    <row r="100">
      <c r="A100" s="52">
        <f>IF(B100="","",ROW()-6)</f>
        <v/>
      </c>
      <c r="B100" s="26">
        <f>IF(B99="","",IF(B99+Buoc_in&gt;Z_cuoi_in+0.000001,"",ROUND(B99+Buoc_in,2)))</f>
        <v/>
      </c>
      <c r="C100" s="28">
        <f>IF(B100="","",INDEX(QuanHe!$H$5:$H$105,MATCH(B100,QH_Z,1)))</f>
        <v/>
      </c>
      <c r="D100" s="28">
        <f>IF(B100="","",INDEX(QuanHe!$I$5:$I$105,MATCH(B100,QH_Z,1)))</f>
        <v/>
      </c>
      <c r="E100" s="28">
        <f>IF(B100="","",INDEX(QuanHe!$L$5:$L$105,MATCH(B100,QH_Z,1)))</f>
        <v/>
      </c>
      <c r="F100" s="28">
        <f>IF(B100="","",INDEX(QuanHe!$M$5:$M$105,MATCH(B100,QH_Z,1)))</f>
        <v/>
      </c>
      <c r="G100" s="28">
        <f>IF(B100="","",INDEX(QuanHe!$N$5:$N$105,MATCH(B100,QH_Z,1)))</f>
        <v/>
      </c>
      <c r="H100" s="27">
        <f>IF(B100="","",INDEX(QuanHe!$C$5:$C$105,MATCH(B100,QH_Z,1)))</f>
        <v/>
      </c>
      <c r="I100" s="28">
        <f>IF(B100="","",INDEX(QuanHe!$D$5:$D$105,MATCH(B100,QH_Z,1)))</f>
        <v/>
      </c>
      <c r="J100" s="28">
        <f>IF(B100="","",INDEX(QuanHe!$O$5:$O$105,MATCH(B100,QH_Z,1)))</f>
        <v/>
      </c>
      <c r="K100" s="28">
        <f>IF(B100="","",INDEX(QuanHe!$Q$5:$Q$105,MATCH(B100,QH_Z,1)))</f>
        <v/>
      </c>
      <c r="L100" s="28">
        <f>IF(B100="","",INDEX(QuanHe!$P$5:$P$105,MATCH(B100,QH_Z,1)))</f>
        <v/>
      </c>
      <c r="M100" s="28">
        <f>IF(B100="","",INDEX(QuanHe!$R$5:$R$105,MATCH(B100,QH_Z,1)))</f>
        <v/>
      </c>
    </row>
    <row r="101">
      <c r="A101" s="52">
        <f>IF(B101="","",ROW()-6)</f>
        <v/>
      </c>
      <c r="B101" s="26">
        <f>IF(B100="","",IF(B100+Buoc_in&gt;Z_cuoi_in+0.000001,"",ROUND(B100+Buoc_in,2)))</f>
        <v/>
      </c>
      <c r="C101" s="28">
        <f>IF(B101="","",INDEX(QuanHe!$H$5:$H$105,MATCH(B101,QH_Z,1)))</f>
        <v/>
      </c>
      <c r="D101" s="28">
        <f>IF(B101="","",INDEX(QuanHe!$I$5:$I$105,MATCH(B101,QH_Z,1)))</f>
        <v/>
      </c>
      <c r="E101" s="28">
        <f>IF(B101="","",INDEX(QuanHe!$L$5:$L$105,MATCH(B101,QH_Z,1)))</f>
        <v/>
      </c>
      <c r="F101" s="28">
        <f>IF(B101="","",INDEX(QuanHe!$M$5:$M$105,MATCH(B101,QH_Z,1)))</f>
        <v/>
      </c>
      <c r="G101" s="28">
        <f>IF(B101="","",INDEX(QuanHe!$N$5:$N$105,MATCH(B101,QH_Z,1)))</f>
        <v/>
      </c>
      <c r="H101" s="27">
        <f>IF(B101="","",INDEX(QuanHe!$C$5:$C$105,MATCH(B101,QH_Z,1)))</f>
        <v/>
      </c>
      <c r="I101" s="28">
        <f>IF(B101="","",INDEX(QuanHe!$D$5:$D$105,MATCH(B101,QH_Z,1)))</f>
        <v/>
      </c>
      <c r="J101" s="28">
        <f>IF(B101="","",INDEX(QuanHe!$O$5:$O$105,MATCH(B101,QH_Z,1)))</f>
        <v/>
      </c>
      <c r="K101" s="28">
        <f>IF(B101="","",INDEX(QuanHe!$Q$5:$Q$105,MATCH(B101,QH_Z,1)))</f>
        <v/>
      </c>
      <c r="L101" s="28">
        <f>IF(B101="","",INDEX(QuanHe!$P$5:$P$105,MATCH(B101,QH_Z,1)))</f>
        <v/>
      </c>
      <c r="M101" s="28">
        <f>IF(B101="","",INDEX(QuanHe!$R$5:$R$105,MATCH(B101,QH_Z,1)))</f>
        <v/>
      </c>
    </row>
    <row r="102">
      <c r="A102" s="52">
        <f>IF(B102="","",ROW()-6)</f>
        <v/>
      </c>
      <c r="B102" s="26">
        <f>IF(B101="","",IF(B101+Buoc_in&gt;Z_cuoi_in+0.000001,"",ROUND(B101+Buoc_in,2)))</f>
        <v/>
      </c>
      <c r="C102" s="28">
        <f>IF(B102="","",INDEX(QuanHe!$H$5:$H$105,MATCH(B102,QH_Z,1)))</f>
        <v/>
      </c>
      <c r="D102" s="28">
        <f>IF(B102="","",INDEX(QuanHe!$I$5:$I$105,MATCH(B102,QH_Z,1)))</f>
        <v/>
      </c>
      <c r="E102" s="28">
        <f>IF(B102="","",INDEX(QuanHe!$L$5:$L$105,MATCH(B102,QH_Z,1)))</f>
        <v/>
      </c>
      <c r="F102" s="28">
        <f>IF(B102="","",INDEX(QuanHe!$M$5:$M$105,MATCH(B102,QH_Z,1)))</f>
        <v/>
      </c>
      <c r="G102" s="28">
        <f>IF(B102="","",INDEX(QuanHe!$N$5:$N$105,MATCH(B102,QH_Z,1)))</f>
        <v/>
      </c>
      <c r="H102" s="27">
        <f>IF(B102="","",INDEX(QuanHe!$C$5:$C$105,MATCH(B102,QH_Z,1)))</f>
        <v/>
      </c>
      <c r="I102" s="28">
        <f>IF(B102="","",INDEX(QuanHe!$D$5:$D$105,MATCH(B102,QH_Z,1)))</f>
        <v/>
      </c>
      <c r="J102" s="28">
        <f>IF(B102="","",INDEX(QuanHe!$O$5:$O$105,MATCH(B102,QH_Z,1)))</f>
        <v/>
      </c>
      <c r="K102" s="28">
        <f>IF(B102="","",INDEX(QuanHe!$Q$5:$Q$105,MATCH(B102,QH_Z,1)))</f>
        <v/>
      </c>
      <c r="L102" s="28">
        <f>IF(B102="","",INDEX(QuanHe!$P$5:$P$105,MATCH(B102,QH_Z,1)))</f>
        <v/>
      </c>
      <c r="M102" s="28">
        <f>IF(B102="","",INDEX(QuanHe!$R$5:$R$105,MATCH(B102,QH_Z,1)))</f>
        <v/>
      </c>
    </row>
    <row r="103">
      <c r="A103" s="52">
        <f>IF(B103="","",ROW()-6)</f>
        <v/>
      </c>
      <c r="B103" s="26">
        <f>IF(B102="","",IF(B102+Buoc_in&gt;Z_cuoi_in+0.000001,"",ROUND(B102+Buoc_in,2)))</f>
        <v/>
      </c>
      <c r="C103" s="28">
        <f>IF(B103="","",INDEX(QuanHe!$H$5:$H$105,MATCH(B103,QH_Z,1)))</f>
        <v/>
      </c>
      <c r="D103" s="28">
        <f>IF(B103="","",INDEX(QuanHe!$I$5:$I$105,MATCH(B103,QH_Z,1)))</f>
        <v/>
      </c>
      <c r="E103" s="28">
        <f>IF(B103="","",INDEX(QuanHe!$L$5:$L$105,MATCH(B103,QH_Z,1)))</f>
        <v/>
      </c>
      <c r="F103" s="28">
        <f>IF(B103="","",INDEX(QuanHe!$M$5:$M$105,MATCH(B103,QH_Z,1)))</f>
        <v/>
      </c>
      <c r="G103" s="28">
        <f>IF(B103="","",INDEX(QuanHe!$N$5:$N$105,MATCH(B103,QH_Z,1)))</f>
        <v/>
      </c>
      <c r="H103" s="27">
        <f>IF(B103="","",INDEX(QuanHe!$C$5:$C$105,MATCH(B103,QH_Z,1)))</f>
        <v/>
      </c>
      <c r="I103" s="28">
        <f>IF(B103="","",INDEX(QuanHe!$D$5:$D$105,MATCH(B103,QH_Z,1)))</f>
        <v/>
      </c>
      <c r="J103" s="28">
        <f>IF(B103="","",INDEX(QuanHe!$O$5:$O$105,MATCH(B103,QH_Z,1)))</f>
        <v/>
      </c>
      <c r="K103" s="28">
        <f>IF(B103="","",INDEX(QuanHe!$Q$5:$Q$105,MATCH(B103,QH_Z,1)))</f>
        <v/>
      </c>
      <c r="L103" s="28">
        <f>IF(B103="","",INDEX(QuanHe!$P$5:$P$105,MATCH(B103,QH_Z,1)))</f>
        <v/>
      </c>
      <c r="M103" s="28">
        <f>IF(B103="","",INDEX(QuanHe!$R$5:$R$105,MATCH(B103,QH_Z,1)))</f>
        <v/>
      </c>
    </row>
    <row r="104">
      <c r="A104" s="52">
        <f>IF(B104="","",ROW()-6)</f>
        <v/>
      </c>
      <c r="B104" s="26">
        <f>IF(B103="","",IF(B103+Buoc_in&gt;Z_cuoi_in+0.000001,"",ROUND(B103+Buoc_in,2)))</f>
        <v/>
      </c>
      <c r="C104" s="28">
        <f>IF(B104="","",INDEX(QuanHe!$H$5:$H$105,MATCH(B104,QH_Z,1)))</f>
        <v/>
      </c>
      <c r="D104" s="28">
        <f>IF(B104="","",INDEX(QuanHe!$I$5:$I$105,MATCH(B104,QH_Z,1)))</f>
        <v/>
      </c>
      <c r="E104" s="28">
        <f>IF(B104="","",INDEX(QuanHe!$L$5:$L$105,MATCH(B104,QH_Z,1)))</f>
        <v/>
      </c>
      <c r="F104" s="28">
        <f>IF(B104="","",INDEX(QuanHe!$M$5:$M$105,MATCH(B104,QH_Z,1)))</f>
        <v/>
      </c>
      <c r="G104" s="28">
        <f>IF(B104="","",INDEX(QuanHe!$N$5:$N$105,MATCH(B104,QH_Z,1)))</f>
        <v/>
      </c>
      <c r="H104" s="27">
        <f>IF(B104="","",INDEX(QuanHe!$C$5:$C$105,MATCH(B104,QH_Z,1)))</f>
        <v/>
      </c>
      <c r="I104" s="28">
        <f>IF(B104="","",INDEX(QuanHe!$D$5:$D$105,MATCH(B104,QH_Z,1)))</f>
        <v/>
      </c>
      <c r="J104" s="28">
        <f>IF(B104="","",INDEX(QuanHe!$O$5:$O$105,MATCH(B104,QH_Z,1)))</f>
        <v/>
      </c>
      <c r="K104" s="28">
        <f>IF(B104="","",INDEX(QuanHe!$Q$5:$Q$105,MATCH(B104,QH_Z,1)))</f>
        <v/>
      </c>
      <c r="L104" s="28">
        <f>IF(B104="","",INDEX(QuanHe!$P$5:$P$105,MATCH(B104,QH_Z,1)))</f>
        <v/>
      </c>
      <c r="M104" s="28">
        <f>IF(B104="","",INDEX(QuanHe!$R$5:$R$105,MATCH(B104,QH_Z,1)))</f>
        <v/>
      </c>
    </row>
    <row r="105">
      <c r="A105" s="52">
        <f>IF(B105="","",ROW()-6)</f>
        <v/>
      </c>
      <c r="B105" s="26">
        <f>IF(B104="","",IF(B104+Buoc_in&gt;Z_cuoi_in+0.000001,"",ROUND(B104+Buoc_in,2)))</f>
        <v/>
      </c>
      <c r="C105" s="28">
        <f>IF(B105="","",INDEX(QuanHe!$H$5:$H$105,MATCH(B105,QH_Z,1)))</f>
        <v/>
      </c>
      <c r="D105" s="28">
        <f>IF(B105="","",INDEX(QuanHe!$I$5:$I$105,MATCH(B105,QH_Z,1)))</f>
        <v/>
      </c>
      <c r="E105" s="28">
        <f>IF(B105="","",INDEX(QuanHe!$L$5:$L$105,MATCH(B105,QH_Z,1)))</f>
        <v/>
      </c>
      <c r="F105" s="28">
        <f>IF(B105="","",INDEX(QuanHe!$M$5:$M$105,MATCH(B105,QH_Z,1)))</f>
        <v/>
      </c>
      <c r="G105" s="28">
        <f>IF(B105="","",INDEX(QuanHe!$N$5:$N$105,MATCH(B105,QH_Z,1)))</f>
        <v/>
      </c>
      <c r="H105" s="27">
        <f>IF(B105="","",INDEX(QuanHe!$C$5:$C$105,MATCH(B105,QH_Z,1)))</f>
        <v/>
      </c>
      <c r="I105" s="28">
        <f>IF(B105="","",INDEX(QuanHe!$D$5:$D$105,MATCH(B105,QH_Z,1)))</f>
        <v/>
      </c>
      <c r="J105" s="28">
        <f>IF(B105="","",INDEX(QuanHe!$O$5:$O$105,MATCH(B105,QH_Z,1)))</f>
        <v/>
      </c>
      <c r="K105" s="28">
        <f>IF(B105="","",INDEX(QuanHe!$Q$5:$Q$105,MATCH(B105,QH_Z,1)))</f>
        <v/>
      </c>
      <c r="L105" s="28">
        <f>IF(B105="","",INDEX(QuanHe!$P$5:$P$105,MATCH(B105,QH_Z,1)))</f>
        <v/>
      </c>
      <c r="M105" s="28">
        <f>IF(B105="","",INDEX(QuanHe!$R$5:$R$105,MATCH(B105,QH_Z,1)))</f>
        <v/>
      </c>
    </row>
    <row r="106">
      <c r="A106" s="52">
        <f>IF(B106="","",ROW()-6)</f>
        <v/>
      </c>
      <c r="B106" s="26">
        <f>IF(B105="","",IF(B105+Buoc_in&gt;Z_cuoi_in+0.000001,"",ROUND(B105+Buoc_in,2)))</f>
        <v/>
      </c>
      <c r="C106" s="28">
        <f>IF(B106="","",INDEX(QuanHe!$H$5:$H$105,MATCH(B106,QH_Z,1)))</f>
        <v/>
      </c>
      <c r="D106" s="28">
        <f>IF(B106="","",INDEX(QuanHe!$I$5:$I$105,MATCH(B106,QH_Z,1)))</f>
        <v/>
      </c>
      <c r="E106" s="28">
        <f>IF(B106="","",INDEX(QuanHe!$L$5:$L$105,MATCH(B106,QH_Z,1)))</f>
        <v/>
      </c>
      <c r="F106" s="28">
        <f>IF(B106="","",INDEX(QuanHe!$M$5:$M$105,MATCH(B106,QH_Z,1)))</f>
        <v/>
      </c>
      <c r="G106" s="28">
        <f>IF(B106="","",INDEX(QuanHe!$N$5:$N$105,MATCH(B106,QH_Z,1)))</f>
        <v/>
      </c>
      <c r="H106" s="27">
        <f>IF(B106="","",INDEX(QuanHe!$C$5:$C$105,MATCH(B106,QH_Z,1)))</f>
        <v/>
      </c>
      <c r="I106" s="28">
        <f>IF(B106="","",INDEX(QuanHe!$D$5:$D$105,MATCH(B106,QH_Z,1)))</f>
        <v/>
      </c>
      <c r="J106" s="28">
        <f>IF(B106="","",INDEX(QuanHe!$O$5:$O$105,MATCH(B106,QH_Z,1)))</f>
        <v/>
      </c>
      <c r="K106" s="28">
        <f>IF(B106="","",INDEX(QuanHe!$Q$5:$Q$105,MATCH(B106,QH_Z,1)))</f>
        <v/>
      </c>
      <c r="L106" s="28">
        <f>IF(B106="","",INDEX(QuanHe!$P$5:$P$105,MATCH(B106,QH_Z,1)))</f>
        <v/>
      </c>
      <c r="M106" s="28">
        <f>IF(B106="","",INDEX(QuanHe!$R$5:$R$105,MATCH(B106,QH_Z,1)))</f>
        <v/>
      </c>
    </row>
    <row r="107">
      <c r="A107" s="52">
        <f>IF(B107="","",ROW()-6)</f>
        <v/>
      </c>
      <c r="B107" s="26">
        <f>IF(B106="","",IF(B106+Buoc_in&gt;Z_cuoi_in+0.000001,"",ROUND(B106+Buoc_in,2)))</f>
        <v/>
      </c>
      <c r="C107" s="28">
        <f>IF(B107="","",INDEX(QuanHe!$H$5:$H$105,MATCH(B107,QH_Z,1)))</f>
        <v/>
      </c>
      <c r="D107" s="28">
        <f>IF(B107="","",INDEX(QuanHe!$I$5:$I$105,MATCH(B107,QH_Z,1)))</f>
        <v/>
      </c>
      <c r="E107" s="28">
        <f>IF(B107="","",INDEX(QuanHe!$L$5:$L$105,MATCH(B107,QH_Z,1)))</f>
        <v/>
      </c>
      <c r="F107" s="28">
        <f>IF(B107="","",INDEX(QuanHe!$M$5:$M$105,MATCH(B107,QH_Z,1)))</f>
        <v/>
      </c>
      <c r="G107" s="28">
        <f>IF(B107="","",INDEX(QuanHe!$N$5:$N$105,MATCH(B107,QH_Z,1)))</f>
        <v/>
      </c>
      <c r="H107" s="27">
        <f>IF(B107="","",INDEX(QuanHe!$C$5:$C$105,MATCH(B107,QH_Z,1)))</f>
        <v/>
      </c>
      <c r="I107" s="28">
        <f>IF(B107="","",INDEX(QuanHe!$D$5:$D$105,MATCH(B107,QH_Z,1)))</f>
        <v/>
      </c>
      <c r="J107" s="28">
        <f>IF(B107="","",INDEX(QuanHe!$O$5:$O$105,MATCH(B107,QH_Z,1)))</f>
        <v/>
      </c>
      <c r="K107" s="28">
        <f>IF(B107="","",INDEX(QuanHe!$Q$5:$Q$105,MATCH(B107,QH_Z,1)))</f>
        <v/>
      </c>
      <c r="L107" s="28">
        <f>IF(B107="","",INDEX(QuanHe!$P$5:$P$105,MATCH(B107,QH_Z,1)))</f>
        <v/>
      </c>
      <c r="M107" s="28">
        <f>IF(B107="","",INDEX(QuanHe!$R$5:$R$105,MATCH(B107,QH_Z,1)))</f>
        <v/>
      </c>
    </row>
  </sheetData>
  <mergeCells count="3">
    <mergeCell ref="A4:B4"/>
    <mergeCell ref="G4:H4"/>
    <mergeCell ref="D4:E4"/>
  </mergeCells>
  <conditionalFormatting sqref="A7:M107">
    <cfRule type="expression" priority="1" dxfId="1">
      <formula>$B7&lt;&gt;""</formula>
    </cfRule>
  </conditionalFormatting>
  <dataValidations count="1">
    <dataValidation sqref="I4" showDropDown="0" showInputMessage="0" showErrorMessage="0" allowBlank="0" type="list">
      <formula1>"0.1,0.2,0.5"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1BAF7A"/>
    <outlinePr summaryBelow="1" summaryRight="1"/>
    <pageSetUpPr fitToPage="1"/>
  </sheetPr>
  <dimension ref="A1:K6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  <col width="9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34" customWidth="1" min="10" max="10"/>
    <col width="12" customWidth="1" min="11" max="11"/>
  </cols>
  <sheetData>
    <row r="1">
      <c r="A1" s="6" t="inlineStr">
        <is>
          <t>KẾT QUẢ ĐIỀU TIẾT LŨ – HỒ CÀ GIÂY (Pô-ta-pốp, mọi cửa van kéo lên hoàn toàn khi đón lũ)</t>
        </is>
      </c>
    </row>
    <row r="3" ht="45" customHeight="1">
      <c r="A3" s="9" t="inlineStr">
        <is>
          <t>Sheet</t>
        </is>
      </c>
      <c r="B3" s="9" t="inlineStr">
        <is>
          <t>P (%) – trường hợp</t>
        </is>
      </c>
      <c r="C3" s="9" t="inlineStr">
        <is>
          <t>Zmax (m)</t>
        </is>
      </c>
      <c r="D3" s="9" t="inlineStr">
        <is>
          <t>t (giờ)</t>
        </is>
      </c>
      <c r="E3" s="9" t="inlineStr">
        <is>
          <t>qmax (m³/s)</t>
        </is>
      </c>
      <c r="F3" s="9" t="inlineStr">
        <is>
          <t>q tràn chính lúc Zmax</t>
        </is>
      </c>
      <c r="G3" s="9" t="inlineStr">
        <is>
          <t>q tràn sự cố lúc Zmax</t>
        </is>
      </c>
      <c r="H3" s="9" t="inlineStr">
        <is>
          <t>Dung tích phòng lũ (10⁶ m³)</t>
        </is>
      </c>
      <c r="I3" s="9" t="inlineStr">
        <is>
          <t>Đỉnh đập sau SC − Zmax (m)</t>
        </is>
      </c>
      <c r="J3" s="9" t="inlineStr">
        <is>
          <t>Ý nghĩa</t>
        </is>
      </c>
    </row>
    <row r="4">
      <c r="A4" s="12" t="inlineStr">
        <is>
          <t>P1_BinhThuong</t>
        </is>
      </c>
      <c r="B4" s="14">
        <f>"P = "&amp;'P1_BinhThuong'!C3&amp;"% – "&amp;'P1_BinhThuong'!F3</f>
        <v/>
      </c>
      <c r="C4" s="18">
        <f>'P1_BinhThuong'!F6</f>
        <v/>
      </c>
      <c r="D4" s="53">
        <f>'P1_BinhThuong'!F7</f>
        <v/>
      </c>
      <c r="E4" s="54">
        <f>'P1_BinhThuong'!F8</f>
        <v/>
      </c>
      <c r="F4" s="54">
        <f>'P1_BinhThuong'!F9</f>
        <v/>
      </c>
      <c r="G4" s="54">
        <f>'P1_BinhThuong'!G9</f>
        <v/>
      </c>
      <c r="H4" s="55">
        <f>'P1_BinhThuong'!F11</f>
        <v/>
      </c>
      <c r="I4" s="56">
        <f>Z_dinh_SC-C4</f>
        <v/>
      </c>
      <c r="J4" s="15" t="inlineStr">
        <is>
          <t>MNLTK – lũ thiết kế, vận hành bình thường</t>
        </is>
      </c>
    </row>
    <row r="5">
      <c r="A5" s="12" t="inlineStr">
        <is>
          <t>P1_SuCo</t>
        </is>
      </c>
      <c r="B5" s="14">
        <f>"P = "&amp;'P1_SuCo'!C3&amp;"% – "&amp;'P1_SuCo'!F3</f>
        <v/>
      </c>
      <c r="C5" s="18">
        <f>'P1_SuCo'!F6</f>
        <v/>
      </c>
      <c r="D5" s="53">
        <f>'P1_SuCo'!F7</f>
        <v/>
      </c>
      <c r="E5" s="54">
        <f>'P1_SuCo'!F8</f>
        <v/>
      </c>
      <c r="F5" s="54">
        <f>'P1_SuCo'!F9</f>
        <v/>
      </c>
      <c r="G5" s="54">
        <f>'P1_SuCo'!G9</f>
        <v/>
      </c>
      <c r="H5" s="55">
        <f>'P1_SuCo'!F11</f>
        <v/>
      </c>
      <c r="I5" s="56">
        <f>Z_dinh_SC-C5</f>
        <v/>
      </c>
      <c r="J5" s="15" t="inlineStr">
        <is>
          <t>Lũ thiết kế, 1 cửa tràn chính không mở</t>
        </is>
      </c>
    </row>
    <row r="6">
      <c r="A6" s="12" t="inlineStr">
        <is>
          <t>P02_BinhThuong</t>
        </is>
      </c>
      <c r="B6" s="14">
        <f>"P = "&amp;'P02_BinhThuong'!C3&amp;"% – "&amp;'P02_BinhThuong'!F3</f>
        <v/>
      </c>
      <c r="C6" s="18">
        <f>'P02_BinhThuong'!F6</f>
        <v/>
      </c>
      <c r="D6" s="53">
        <f>'P02_BinhThuong'!F7</f>
        <v/>
      </c>
      <c r="E6" s="54">
        <f>'P02_BinhThuong'!F8</f>
        <v/>
      </c>
      <c r="F6" s="54">
        <f>'P02_BinhThuong'!F9</f>
        <v/>
      </c>
      <c r="G6" s="54">
        <f>'P02_BinhThuong'!G9</f>
        <v/>
      </c>
      <c r="H6" s="55">
        <f>'P02_BinhThuong'!F11</f>
        <v/>
      </c>
      <c r="I6" s="56">
        <f>Z_dinh_SC-C6</f>
        <v/>
      </c>
      <c r="J6" s="15" t="inlineStr">
        <is>
          <t>MNLKT – lũ kiểm tra, vận hành bình thường</t>
        </is>
      </c>
    </row>
    <row r="7">
      <c r="A7" s="12" t="inlineStr">
        <is>
          <t>P02_SuCo</t>
        </is>
      </c>
      <c r="B7" s="14">
        <f>"P = "&amp;'P02_SuCo'!C3&amp;"% – "&amp;'P02_SuCo'!F3</f>
        <v/>
      </c>
      <c r="C7" s="18">
        <f>'P02_SuCo'!F6</f>
        <v/>
      </c>
      <c r="D7" s="53">
        <f>'P02_SuCo'!F7</f>
        <v/>
      </c>
      <c r="E7" s="54">
        <f>'P02_SuCo'!F8</f>
        <v/>
      </c>
      <c r="F7" s="54">
        <f>'P02_SuCo'!F9</f>
        <v/>
      </c>
      <c r="G7" s="54">
        <f>'P02_SuCo'!G9</f>
        <v/>
      </c>
      <c r="H7" s="55">
        <f>'P02_SuCo'!F11</f>
        <v/>
      </c>
      <c r="I7" s="56">
        <f>Z_dinh_SC-C7</f>
        <v/>
      </c>
      <c r="J7" s="15" t="inlineStr">
        <is>
          <t>Lũ kiểm tra, 1 cửa tràn chính không mở</t>
        </is>
      </c>
    </row>
    <row r="9">
      <c r="A9" s="12" t="inlineStr">
        <is>
          <t>Cao trình đỉnh đập sau sửa chữa (m)</t>
        </is>
      </c>
      <c r="B9" s="13" t="n">
        <v>78.84999999999999</v>
      </c>
    </row>
    <row r="10">
      <c r="A10" s="12" t="inlineStr">
        <is>
          <t>Ảnh hưởng của sự cố (Zmax tăng thêm, m): P = 1% / P = 0,2%</t>
        </is>
      </c>
      <c r="B10" s="18">
        <f>C5-C4</f>
        <v/>
      </c>
      <c r="C10" s="18">
        <f>C7-C6</f>
        <v/>
      </c>
    </row>
    <row r="11">
      <c r="A11" s="57" t="inlineStr">
        <is>
          <t>Kết luận: MNLTK = Zmax (P = 1%, bình thường) =</t>
        </is>
      </c>
      <c r="D11" s="18">
        <f>C4</f>
        <v/>
      </c>
    </row>
    <row r="12">
      <c r="A12" s="57" t="inlineStr">
        <is>
          <t xml:space="preserve">             MNLKT = Zmax (P = 0,2%, bình thường) =</t>
        </is>
      </c>
      <c r="D12" s="18">
        <f>C6</f>
        <v/>
      </c>
    </row>
    <row r="13">
      <c r="A13" s="7" t="inlineStr">
        <is>
          <t>Trường hợp bình thường cho cùng kết quả với file DieuTietLu_HaiTran (cùng giả thiết mở hết cửa); trường hợp sự cố làm mực nước lũ cao thêm vài cm, vẫn thấp hơn đỉnh đập sau sửa chữa.</t>
        </is>
      </c>
    </row>
    <row r="15">
      <c r="A15" s="8" t="inlineStr">
        <is>
          <t>SỐ LIỆU VẼ BIỂU ĐỒ (lấy từ các sheet điều tiết)</t>
        </is>
      </c>
    </row>
    <row r="16" ht="58" customHeight="1">
      <c r="A16" s="9" t="inlineStr">
        <is>
          <t>t (giờ)</t>
        </is>
      </c>
      <c r="B16" s="9" t="inlineStr">
        <is>
          <t>Q đến P = 1%</t>
        </is>
      </c>
      <c r="C16" s="9" t="inlineStr">
        <is>
          <t>q xả P = 1% bình thường</t>
        </is>
      </c>
      <c r="D16" s="9" t="inlineStr">
        <is>
          <t>q xả P = 1% sự cố</t>
        </is>
      </c>
      <c r="E16" s="9" t="inlineStr">
        <is>
          <t>Q đến P = 0,2%</t>
        </is>
      </c>
      <c r="F16" s="9" t="inlineStr">
        <is>
          <t>q xả P = 0,2% bình thường</t>
        </is>
      </c>
      <c r="G16" s="9" t="inlineStr">
        <is>
          <t>q xả P = 0,2% sự cố</t>
        </is>
      </c>
      <c r="H16" s="9" t="inlineStr">
        <is>
          <t>Z P = 1% bình thường</t>
        </is>
      </c>
      <c r="I16" s="9" t="inlineStr">
        <is>
          <t>Z P = 1% sự cố</t>
        </is>
      </c>
      <c r="J16" s="9" t="inlineStr">
        <is>
          <t>Z P = 0,2% bình thường</t>
        </is>
      </c>
      <c r="K16" s="9" t="inlineStr">
        <is>
          <t>Z P = 0,2% sự cố</t>
        </is>
      </c>
    </row>
    <row r="17">
      <c r="A17" s="38">
        <f>P1_BinhThuong!A16</f>
        <v/>
      </c>
      <c r="B17" s="39">
        <f>P1_BinhThuong!B16</f>
        <v/>
      </c>
      <c r="C17" s="39">
        <f>P1_BinhThuong!G16</f>
        <v/>
      </c>
      <c r="D17" s="39">
        <f>P1_SuCo!G16</f>
        <v/>
      </c>
      <c r="E17" s="39">
        <f>P02_BinhThuong!B16</f>
        <v/>
      </c>
      <c r="F17" s="39">
        <f>P02_BinhThuong!G16</f>
        <v/>
      </c>
      <c r="G17" s="39">
        <f>P02_SuCo!G16</f>
        <v/>
      </c>
      <c r="H17" s="56">
        <f>P1_BinhThuong!H16</f>
        <v/>
      </c>
      <c r="I17" s="56">
        <f>P1_SuCo!H16</f>
        <v/>
      </c>
      <c r="J17" s="56">
        <f>P02_BinhThuong!H16</f>
        <v/>
      </c>
      <c r="K17" s="56">
        <f>P02_SuCo!H16</f>
        <v/>
      </c>
    </row>
    <row r="18">
      <c r="A18" s="38">
        <f>P1_BinhThuong!A17</f>
        <v/>
      </c>
      <c r="B18" s="39">
        <f>P1_BinhThuong!B17</f>
        <v/>
      </c>
      <c r="C18" s="39">
        <f>P1_BinhThuong!G17</f>
        <v/>
      </c>
      <c r="D18" s="39">
        <f>P1_SuCo!G17</f>
        <v/>
      </c>
      <c r="E18" s="39">
        <f>P02_BinhThuong!B17</f>
        <v/>
      </c>
      <c r="F18" s="39">
        <f>P02_BinhThuong!G17</f>
        <v/>
      </c>
      <c r="G18" s="39">
        <f>P02_SuCo!G17</f>
        <v/>
      </c>
      <c r="H18" s="56">
        <f>P1_BinhThuong!H17</f>
        <v/>
      </c>
      <c r="I18" s="56">
        <f>P1_SuCo!H17</f>
        <v/>
      </c>
      <c r="J18" s="56">
        <f>P02_BinhThuong!H17</f>
        <v/>
      </c>
      <c r="K18" s="56">
        <f>P02_SuCo!H17</f>
        <v/>
      </c>
    </row>
    <row r="19">
      <c r="A19" s="38">
        <f>P1_BinhThuong!A18</f>
        <v/>
      </c>
      <c r="B19" s="39">
        <f>P1_BinhThuong!B18</f>
        <v/>
      </c>
      <c r="C19" s="39">
        <f>P1_BinhThuong!G18</f>
        <v/>
      </c>
      <c r="D19" s="39">
        <f>P1_SuCo!G18</f>
        <v/>
      </c>
      <c r="E19" s="39">
        <f>P02_BinhThuong!B18</f>
        <v/>
      </c>
      <c r="F19" s="39">
        <f>P02_BinhThuong!G18</f>
        <v/>
      </c>
      <c r="G19" s="39">
        <f>P02_SuCo!G18</f>
        <v/>
      </c>
      <c r="H19" s="56">
        <f>P1_BinhThuong!H18</f>
        <v/>
      </c>
      <c r="I19" s="56">
        <f>P1_SuCo!H18</f>
        <v/>
      </c>
      <c r="J19" s="56">
        <f>P02_BinhThuong!H18</f>
        <v/>
      </c>
      <c r="K19" s="56">
        <f>P02_SuCo!H18</f>
        <v/>
      </c>
    </row>
    <row r="20">
      <c r="A20" s="38">
        <f>P1_BinhThuong!A19</f>
        <v/>
      </c>
      <c r="B20" s="39">
        <f>P1_BinhThuong!B19</f>
        <v/>
      </c>
      <c r="C20" s="39">
        <f>P1_BinhThuong!G19</f>
        <v/>
      </c>
      <c r="D20" s="39">
        <f>P1_SuCo!G19</f>
        <v/>
      </c>
      <c r="E20" s="39">
        <f>P02_BinhThuong!B19</f>
        <v/>
      </c>
      <c r="F20" s="39">
        <f>P02_BinhThuong!G19</f>
        <v/>
      </c>
      <c r="G20" s="39">
        <f>P02_SuCo!G19</f>
        <v/>
      </c>
      <c r="H20" s="56">
        <f>P1_BinhThuong!H19</f>
        <v/>
      </c>
      <c r="I20" s="56">
        <f>P1_SuCo!H19</f>
        <v/>
      </c>
      <c r="J20" s="56">
        <f>P02_BinhThuong!H19</f>
        <v/>
      </c>
      <c r="K20" s="56">
        <f>P02_SuCo!H19</f>
        <v/>
      </c>
    </row>
    <row r="21">
      <c r="A21" s="38">
        <f>P1_BinhThuong!A20</f>
        <v/>
      </c>
      <c r="B21" s="39">
        <f>P1_BinhThuong!B20</f>
        <v/>
      </c>
      <c r="C21" s="39">
        <f>P1_BinhThuong!G20</f>
        <v/>
      </c>
      <c r="D21" s="39">
        <f>P1_SuCo!G20</f>
        <v/>
      </c>
      <c r="E21" s="39">
        <f>P02_BinhThuong!B20</f>
        <v/>
      </c>
      <c r="F21" s="39">
        <f>P02_BinhThuong!G20</f>
        <v/>
      </c>
      <c r="G21" s="39">
        <f>P02_SuCo!G20</f>
        <v/>
      </c>
      <c r="H21" s="56">
        <f>P1_BinhThuong!H20</f>
        <v/>
      </c>
      <c r="I21" s="56">
        <f>P1_SuCo!H20</f>
        <v/>
      </c>
      <c r="J21" s="56">
        <f>P02_BinhThuong!H20</f>
        <v/>
      </c>
      <c r="K21" s="56">
        <f>P02_SuCo!H20</f>
        <v/>
      </c>
    </row>
    <row r="22">
      <c r="A22" s="38">
        <f>P1_BinhThuong!A21</f>
        <v/>
      </c>
      <c r="B22" s="39">
        <f>P1_BinhThuong!B21</f>
        <v/>
      </c>
      <c r="C22" s="39">
        <f>P1_BinhThuong!G21</f>
        <v/>
      </c>
      <c r="D22" s="39">
        <f>P1_SuCo!G21</f>
        <v/>
      </c>
      <c r="E22" s="39">
        <f>P02_BinhThuong!B21</f>
        <v/>
      </c>
      <c r="F22" s="39">
        <f>P02_BinhThuong!G21</f>
        <v/>
      </c>
      <c r="G22" s="39">
        <f>P02_SuCo!G21</f>
        <v/>
      </c>
      <c r="H22" s="56">
        <f>P1_BinhThuong!H21</f>
        <v/>
      </c>
      <c r="I22" s="56">
        <f>P1_SuCo!H21</f>
        <v/>
      </c>
      <c r="J22" s="56">
        <f>P02_BinhThuong!H21</f>
        <v/>
      </c>
      <c r="K22" s="56">
        <f>P02_SuCo!H21</f>
        <v/>
      </c>
    </row>
    <row r="23">
      <c r="A23" s="38">
        <f>P1_BinhThuong!A22</f>
        <v/>
      </c>
      <c r="B23" s="39">
        <f>P1_BinhThuong!B22</f>
        <v/>
      </c>
      <c r="C23" s="39">
        <f>P1_BinhThuong!G22</f>
        <v/>
      </c>
      <c r="D23" s="39">
        <f>P1_SuCo!G22</f>
        <v/>
      </c>
      <c r="E23" s="39">
        <f>P02_BinhThuong!B22</f>
        <v/>
      </c>
      <c r="F23" s="39">
        <f>P02_BinhThuong!G22</f>
        <v/>
      </c>
      <c r="G23" s="39">
        <f>P02_SuCo!G22</f>
        <v/>
      </c>
      <c r="H23" s="56">
        <f>P1_BinhThuong!H22</f>
        <v/>
      </c>
      <c r="I23" s="56">
        <f>P1_SuCo!H22</f>
        <v/>
      </c>
      <c r="J23" s="56">
        <f>P02_BinhThuong!H22</f>
        <v/>
      </c>
      <c r="K23" s="56">
        <f>P02_SuCo!H22</f>
        <v/>
      </c>
    </row>
    <row r="24">
      <c r="A24" s="38">
        <f>P1_BinhThuong!A23</f>
        <v/>
      </c>
      <c r="B24" s="39">
        <f>P1_BinhThuong!B23</f>
        <v/>
      </c>
      <c r="C24" s="39">
        <f>P1_BinhThuong!G23</f>
        <v/>
      </c>
      <c r="D24" s="39">
        <f>P1_SuCo!G23</f>
        <v/>
      </c>
      <c r="E24" s="39">
        <f>P02_BinhThuong!B23</f>
        <v/>
      </c>
      <c r="F24" s="39">
        <f>P02_BinhThuong!G23</f>
        <v/>
      </c>
      <c r="G24" s="39">
        <f>P02_SuCo!G23</f>
        <v/>
      </c>
      <c r="H24" s="56">
        <f>P1_BinhThuong!H23</f>
        <v/>
      </c>
      <c r="I24" s="56">
        <f>P1_SuCo!H23</f>
        <v/>
      </c>
      <c r="J24" s="56">
        <f>P02_BinhThuong!H23</f>
        <v/>
      </c>
      <c r="K24" s="56">
        <f>P02_SuCo!H23</f>
        <v/>
      </c>
    </row>
    <row r="25">
      <c r="A25" s="38">
        <f>P1_BinhThuong!A24</f>
        <v/>
      </c>
      <c r="B25" s="39">
        <f>P1_BinhThuong!B24</f>
        <v/>
      </c>
      <c r="C25" s="39">
        <f>P1_BinhThuong!G24</f>
        <v/>
      </c>
      <c r="D25" s="39">
        <f>P1_SuCo!G24</f>
        <v/>
      </c>
      <c r="E25" s="39">
        <f>P02_BinhThuong!B24</f>
        <v/>
      </c>
      <c r="F25" s="39">
        <f>P02_BinhThuong!G24</f>
        <v/>
      </c>
      <c r="G25" s="39">
        <f>P02_SuCo!G24</f>
        <v/>
      </c>
      <c r="H25" s="56">
        <f>P1_BinhThuong!H24</f>
        <v/>
      </c>
      <c r="I25" s="56">
        <f>P1_SuCo!H24</f>
        <v/>
      </c>
      <c r="J25" s="56">
        <f>P02_BinhThuong!H24</f>
        <v/>
      </c>
      <c r="K25" s="56">
        <f>P02_SuCo!H24</f>
        <v/>
      </c>
    </row>
    <row r="26">
      <c r="A26" s="38">
        <f>P1_BinhThuong!A25</f>
        <v/>
      </c>
      <c r="B26" s="39">
        <f>P1_BinhThuong!B25</f>
        <v/>
      </c>
      <c r="C26" s="39">
        <f>P1_BinhThuong!G25</f>
        <v/>
      </c>
      <c r="D26" s="39">
        <f>P1_SuCo!G25</f>
        <v/>
      </c>
      <c r="E26" s="39">
        <f>P02_BinhThuong!B25</f>
        <v/>
      </c>
      <c r="F26" s="39">
        <f>P02_BinhThuong!G25</f>
        <v/>
      </c>
      <c r="G26" s="39">
        <f>P02_SuCo!G25</f>
        <v/>
      </c>
      <c r="H26" s="56">
        <f>P1_BinhThuong!H25</f>
        <v/>
      </c>
      <c r="I26" s="56">
        <f>P1_SuCo!H25</f>
        <v/>
      </c>
      <c r="J26" s="56">
        <f>P02_BinhThuong!H25</f>
        <v/>
      </c>
      <c r="K26" s="56">
        <f>P02_SuCo!H25</f>
        <v/>
      </c>
    </row>
    <row r="27">
      <c r="A27" s="38">
        <f>P1_BinhThuong!A26</f>
        <v/>
      </c>
      <c r="B27" s="39">
        <f>P1_BinhThuong!B26</f>
        <v/>
      </c>
      <c r="C27" s="39">
        <f>P1_BinhThuong!G26</f>
        <v/>
      </c>
      <c r="D27" s="39">
        <f>P1_SuCo!G26</f>
        <v/>
      </c>
      <c r="E27" s="39">
        <f>P02_BinhThuong!B26</f>
        <v/>
      </c>
      <c r="F27" s="39">
        <f>P02_BinhThuong!G26</f>
        <v/>
      </c>
      <c r="G27" s="39">
        <f>P02_SuCo!G26</f>
        <v/>
      </c>
      <c r="H27" s="56">
        <f>P1_BinhThuong!H26</f>
        <v/>
      </c>
      <c r="I27" s="56">
        <f>P1_SuCo!H26</f>
        <v/>
      </c>
      <c r="J27" s="56">
        <f>P02_BinhThuong!H26</f>
        <v/>
      </c>
      <c r="K27" s="56">
        <f>P02_SuCo!H26</f>
        <v/>
      </c>
    </row>
    <row r="28">
      <c r="A28" s="38">
        <f>P1_BinhThuong!A27</f>
        <v/>
      </c>
      <c r="B28" s="39">
        <f>P1_BinhThuong!B27</f>
        <v/>
      </c>
      <c r="C28" s="39">
        <f>P1_BinhThuong!G27</f>
        <v/>
      </c>
      <c r="D28" s="39">
        <f>P1_SuCo!G27</f>
        <v/>
      </c>
      <c r="E28" s="39">
        <f>P02_BinhThuong!B27</f>
        <v/>
      </c>
      <c r="F28" s="39">
        <f>P02_BinhThuong!G27</f>
        <v/>
      </c>
      <c r="G28" s="39">
        <f>P02_SuCo!G27</f>
        <v/>
      </c>
      <c r="H28" s="56">
        <f>P1_BinhThuong!H27</f>
        <v/>
      </c>
      <c r="I28" s="56">
        <f>P1_SuCo!H27</f>
        <v/>
      </c>
      <c r="J28" s="56">
        <f>P02_BinhThuong!H27</f>
        <v/>
      </c>
      <c r="K28" s="56">
        <f>P02_SuCo!H27</f>
        <v/>
      </c>
    </row>
    <row r="29">
      <c r="A29" s="38">
        <f>P1_BinhThuong!A28</f>
        <v/>
      </c>
      <c r="B29" s="39">
        <f>P1_BinhThuong!B28</f>
        <v/>
      </c>
      <c r="C29" s="39">
        <f>P1_BinhThuong!G28</f>
        <v/>
      </c>
      <c r="D29" s="39">
        <f>P1_SuCo!G28</f>
        <v/>
      </c>
      <c r="E29" s="39">
        <f>P02_BinhThuong!B28</f>
        <v/>
      </c>
      <c r="F29" s="39">
        <f>P02_BinhThuong!G28</f>
        <v/>
      </c>
      <c r="G29" s="39">
        <f>P02_SuCo!G28</f>
        <v/>
      </c>
      <c r="H29" s="56">
        <f>P1_BinhThuong!H28</f>
        <v/>
      </c>
      <c r="I29" s="56">
        <f>P1_SuCo!H28</f>
        <v/>
      </c>
      <c r="J29" s="56">
        <f>P02_BinhThuong!H28</f>
        <v/>
      </c>
      <c r="K29" s="56">
        <f>P02_SuCo!H28</f>
        <v/>
      </c>
    </row>
    <row r="30">
      <c r="A30" s="38">
        <f>P1_BinhThuong!A29</f>
        <v/>
      </c>
      <c r="B30" s="39">
        <f>P1_BinhThuong!B29</f>
        <v/>
      </c>
      <c r="C30" s="39">
        <f>P1_BinhThuong!G29</f>
        <v/>
      </c>
      <c r="D30" s="39">
        <f>P1_SuCo!G29</f>
        <v/>
      </c>
      <c r="E30" s="39">
        <f>P02_BinhThuong!B29</f>
        <v/>
      </c>
      <c r="F30" s="39">
        <f>P02_BinhThuong!G29</f>
        <v/>
      </c>
      <c r="G30" s="39">
        <f>P02_SuCo!G29</f>
        <v/>
      </c>
      <c r="H30" s="56">
        <f>P1_BinhThuong!H29</f>
        <v/>
      </c>
      <c r="I30" s="56">
        <f>P1_SuCo!H29</f>
        <v/>
      </c>
      <c r="J30" s="56">
        <f>P02_BinhThuong!H29</f>
        <v/>
      </c>
      <c r="K30" s="56">
        <f>P02_SuCo!H29</f>
        <v/>
      </c>
    </row>
    <row r="31">
      <c r="A31" s="38">
        <f>P1_BinhThuong!A30</f>
        <v/>
      </c>
      <c r="B31" s="39">
        <f>P1_BinhThuong!B30</f>
        <v/>
      </c>
      <c r="C31" s="39">
        <f>P1_BinhThuong!G30</f>
        <v/>
      </c>
      <c r="D31" s="39">
        <f>P1_SuCo!G30</f>
        <v/>
      </c>
      <c r="E31" s="39">
        <f>P02_BinhThuong!B30</f>
        <v/>
      </c>
      <c r="F31" s="39">
        <f>P02_BinhThuong!G30</f>
        <v/>
      </c>
      <c r="G31" s="39">
        <f>P02_SuCo!G30</f>
        <v/>
      </c>
      <c r="H31" s="56">
        <f>P1_BinhThuong!H30</f>
        <v/>
      </c>
      <c r="I31" s="56">
        <f>P1_SuCo!H30</f>
        <v/>
      </c>
      <c r="J31" s="56">
        <f>P02_BinhThuong!H30</f>
        <v/>
      </c>
      <c r="K31" s="56">
        <f>P02_SuCo!H30</f>
        <v/>
      </c>
    </row>
    <row r="32">
      <c r="A32" s="38">
        <f>P1_BinhThuong!A31</f>
        <v/>
      </c>
      <c r="B32" s="39">
        <f>P1_BinhThuong!B31</f>
        <v/>
      </c>
      <c r="C32" s="39">
        <f>P1_BinhThuong!G31</f>
        <v/>
      </c>
      <c r="D32" s="39">
        <f>P1_SuCo!G31</f>
        <v/>
      </c>
      <c r="E32" s="39">
        <f>P02_BinhThuong!B31</f>
        <v/>
      </c>
      <c r="F32" s="39">
        <f>P02_BinhThuong!G31</f>
        <v/>
      </c>
      <c r="G32" s="39">
        <f>P02_SuCo!G31</f>
        <v/>
      </c>
      <c r="H32" s="56">
        <f>P1_BinhThuong!H31</f>
        <v/>
      </c>
      <c r="I32" s="56">
        <f>P1_SuCo!H31</f>
        <v/>
      </c>
      <c r="J32" s="56">
        <f>P02_BinhThuong!H31</f>
        <v/>
      </c>
      <c r="K32" s="56">
        <f>P02_SuCo!H31</f>
        <v/>
      </c>
    </row>
    <row r="33">
      <c r="A33" s="38">
        <f>P1_BinhThuong!A32</f>
        <v/>
      </c>
      <c r="B33" s="39">
        <f>P1_BinhThuong!B32</f>
        <v/>
      </c>
      <c r="C33" s="39">
        <f>P1_BinhThuong!G32</f>
        <v/>
      </c>
      <c r="D33" s="39">
        <f>P1_SuCo!G32</f>
        <v/>
      </c>
      <c r="E33" s="39">
        <f>P02_BinhThuong!B32</f>
        <v/>
      </c>
      <c r="F33" s="39">
        <f>P02_BinhThuong!G32</f>
        <v/>
      </c>
      <c r="G33" s="39">
        <f>P02_SuCo!G32</f>
        <v/>
      </c>
      <c r="H33" s="56">
        <f>P1_BinhThuong!H32</f>
        <v/>
      </c>
      <c r="I33" s="56">
        <f>P1_SuCo!H32</f>
        <v/>
      </c>
      <c r="J33" s="56">
        <f>P02_BinhThuong!H32</f>
        <v/>
      </c>
      <c r="K33" s="56">
        <f>P02_SuCo!H32</f>
        <v/>
      </c>
    </row>
    <row r="34">
      <c r="A34" s="38">
        <f>P1_BinhThuong!A33</f>
        <v/>
      </c>
      <c r="B34" s="39">
        <f>P1_BinhThuong!B33</f>
        <v/>
      </c>
      <c r="C34" s="39">
        <f>P1_BinhThuong!G33</f>
        <v/>
      </c>
      <c r="D34" s="39">
        <f>P1_SuCo!G33</f>
        <v/>
      </c>
      <c r="E34" s="39">
        <f>P02_BinhThuong!B33</f>
        <v/>
      </c>
      <c r="F34" s="39">
        <f>P02_BinhThuong!G33</f>
        <v/>
      </c>
      <c r="G34" s="39">
        <f>P02_SuCo!G33</f>
        <v/>
      </c>
      <c r="H34" s="56">
        <f>P1_BinhThuong!H33</f>
        <v/>
      </c>
      <c r="I34" s="56">
        <f>P1_SuCo!H33</f>
        <v/>
      </c>
      <c r="J34" s="56">
        <f>P02_BinhThuong!H33</f>
        <v/>
      </c>
      <c r="K34" s="56">
        <f>P02_SuCo!H33</f>
        <v/>
      </c>
    </row>
    <row r="35">
      <c r="A35" s="38">
        <f>P1_BinhThuong!A34</f>
        <v/>
      </c>
      <c r="B35" s="39">
        <f>P1_BinhThuong!B34</f>
        <v/>
      </c>
      <c r="C35" s="39">
        <f>P1_BinhThuong!G34</f>
        <v/>
      </c>
      <c r="D35" s="39">
        <f>P1_SuCo!G34</f>
        <v/>
      </c>
      <c r="E35" s="39">
        <f>P02_BinhThuong!B34</f>
        <v/>
      </c>
      <c r="F35" s="39">
        <f>P02_BinhThuong!G34</f>
        <v/>
      </c>
      <c r="G35" s="39">
        <f>P02_SuCo!G34</f>
        <v/>
      </c>
      <c r="H35" s="56">
        <f>P1_BinhThuong!H34</f>
        <v/>
      </c>
      <c r="I35" s="56">
        <f>P1_SuCo!H34</f>
        <v/>
      </c>
      <c r="J35" s="56">
        <f>P02_BinhThuong!H34</f>
        <v/>
      </c>
      <c r="K35" s="56">
        <f>P02_SuCo!H34</f>
        <v/>
      </c>
    </row>
    <row r="36">
      <c r="A36" s="38">
        <f>P1_BinhThuong!A35</f>
        <v/>
      </c>
      <c r="B36" s="39">
        <f>P1_BinhThuong!B35</f>
        <v/>
      </c>
      <c r="C36" s="39">
        <f>P1_BinhThuong!G35</f>
        <v/>
      </c>
      <c r="D36" s="39">
        <f>P1_SuCo!G35</f>
        <v/>
      </c>
      <c r="E36" s="39">
        <f>P02_BinhThuong!B35</f>
        <v/>
      </c>
      <c r="F36" s="39">
        <f>P02_BinhThuong!G35</f>
        <v/>
      </c>
      <c r="G36" s="39">
        <f>P02_SuCo!G35</f>
        <v/>
      </c>
      <c r="H36" s="56">
        <f>P1_BinhThuong!H35</f>
        <v/>
      </c>
      <c r="I36" s="56">
        <f>P1_SuCo!H35</f>
        <v/>
      </c>
      <c r="J36" s="56">
        <f>P02_BinhThuong!H35</f>
        <v/>
      </c>
      <c r="K36" s="56">
        <f>P02_SuCo!H35</f>
        <v/>
      </c>
    </row>
    <row r="37">
      <c r="A37" s="38">
        <f>P1_BinhThuong!A36</f>
        <v/>
      </c>
      <c r="B37" s="39">
        <f>P1_BinhThuong!B36</f>
        <v/>
      </c>
      <c r="C37" s="39">
        <f>P1_BinhThuong!G36</f>
        <v/>
      </c>
      <c r="D37" s="39">
        <f>P1_SuCo!G36</f>
        <v/>
      </c>
      <c r="E37" s="39">
        <f>P02_BinhThuong!B36</f>
        <v/>
      </c>
      <c r="F37" s="39">
        <f>P02_BinhThuong!G36</f>
        <v/>
      </c>
      <c r="G37" s="39">
        <f>P02_SuCo!G36</f>
        <v/>
      </c>
      <c r="H37" s="56">
        <f>P1_BinhThuong!H36</f>
        <v/>
      </c>
      <c r="I37" s="56">
        <f>P1_SuCo!H36</f>
        <v/>
      </c>
      <c r="J37" s="56">
        <f>P02_BinhThuong!H36</f>
        <v/>
      </c>
      <c r="K37" s="56">
        <f>P02_SuCo!H36</f>
        <v/>
      </c>
    </row>
    <row r="38">
      <c r="A38" s="38">
        <f>P1_BinhThuong!A37</f>
        <v/>
      </c>
      <c r="B38" s="39">
        <f>P1_BinhThuong!B37</f>
        <v/>
      </c>
      <c r="C38" s="39">
        <f>P1_BinhThuong!G37</f>
        <v/>
      </c>
      <c r="D38" s="39">
        <f>P1_SuCo!G37</f>
        <v/>
      </c>
      <c r="E38" s="39">
        <f>P02_BinhThuong!B37</f>
        <v/>
      </c>
      <c r="F38" s="39">
        <f>P02_BinhThuong!G37</f>
        <v/>
      </c>
      <c r="G38" s="39">
        <f>P02_SuCo!G37</f>
        <v/>
      </c>
      <c r="H38" s="56">
        <f>P1_BinhThuong!H37</f>
        <v/>
      </c>
      <c r="I38" s="56">
        <f>P1_SuCo!H37</f>
        <v/>
      </c>
      <c r="J38" s="56">
        <f>P02_BinhThuong!H37</f>
        <v/>
      </c>
      <c r="K38" s="56">
        <f>P02_SuCo!H37</f>
        <v/>
      </c>
    </row>
    <row r="39">
      <c r="A39" s="38">
        <f>P1_BinhThuong!A38</f>
        <v/>
      </c>
      <c r="B39" s="39">
        <f>P1_BinhThuong!B38</f>
        <v/>
      </c>
      <c r="C39" s="39">
        <f>P1_BinhThuong!G38</f>
        <v/>
      </c>
      <c r="D39" s="39">
        <f>P1_SuCo!G38</f>
        <v/>
      </c>
      <c r="E39" s="39">
        <f>P02_BinhThuong!B38</f>
        <v/>
      </c>
      <c r="F39" s="39">
        <f>P02_BinhThuong!G38</f>
        <v/>
      </c>
      <c r="G39" s="39">
        <f>P02_SuCo!G38</f>
        <v/>
      </c>
      <c r="H39" s="56">
        <f>P1_BinhThuong!H38</f>
        <v/>
      </c>
      <c r="I39" s="56">
        <f>P1_SuCo!H38</f>
        <v/>
      </c>
      <c r="J39" s="56">
        <f>P02_BinhThuong!H38</f>
        <v/>
      </c>
      <c r="K39" s="56">
        <f>P02_SuCo!H38</f>
        <v/>
      </c>
    </row>
    <row r="40">
      <c r="A40" s="38">
        <f>P1_BinhThuong!A39</f>
        <v/>
      </c>
      <c r="B40" s="39">
        <f>P1_BinhThuong!B39</f>
        <v/>
      </c>
      <c r="C40" s="39">
        <f>P1_BinhThuong!G39</f>
        <v/>
      </c>
      <c r="D40" s="39">
        <f>P1_SuCo!G39</f>
        <v/>
      </c>
      <c r="E40" s="39">
        <f>P02_BinhThuong!B39</f>
        <v/>
      </c>
      <c r="F40" s="39">
        <f>P02_BinhThuong!G39</f>
        <v/>
      </c>
      <c r="G40" s="39">
        <f>P02_SuCo!G39</f>
        <v/>
      </c>
      <c r="H40" s="56">
        <f>P1_BinhThuong!H39</f>
        <v/>
      </c>
      <c r="I40" s="56">
        <f>P1_SuCo!H39</f>
        <v/>
      </c>
      <c r="J40" s="56">
        <f>P02_BinhThuong!H39</f>
        <v/>
      </c>
      <c r="K40" s="56">
        <f>P02_SuCo!H39</f>
        <v/>
      </c>
    </row>
    <row r="41">
      <c r="A41" s="38">
        <f>P1_BinhThuong!A40</f>
        <v/>
      </c>
      <c r="B41" s="39">
        <f>P1_BinhThuong!B40</f>
        <v/>
      </c>
      <c r="C41" s="39">
        <f>P1_BinhThuong!G40</f>
        <v/>
      </c>
      <c r="D41" s="39">
        <f>P1_SuCo!G40</f>
        <v/>
      </c>
      <c r="E41" s="39">
        <f>P02_BinhThuong!B40</f>
        <v/>
      </c>
      <c r="F41" s="39">
        <f>P02_BinhThuong!G40</f>
        <v/>
      </c>
      <c r="G41" s="39">
        <f>P02_SuCo!G40</f>
        <v/>
      </c>
      <c r="H41" s="56">
        <f>P1_BinhThuong!H40</f>
        <v/>
      </c>
      <c r="I41" s="56">
        <f>P1_SuCo!H40</f>
        <v/>
      </c>
      <c r="J41" s="56">
        <f>P02_BinhThuong!H40</f>
        <v/>
      </c>
      <c r="K41" s="56">
        <f>P02_SuCo!H40</f>
        <v/>
      </c>
    </row>
    <row r="42">
      <c r="A42" s="38">
        <f>P1_BinhThuong!A41</f>
        <v/>
      </c>
      <c r="B42" s="39">
        <f>P1_BinhThuong!B41</f>
        <v/>
      </c>
      <c r="C42" s="39">
        <f>P1_BinhThuong!G41</f>
        <v/>
      </c>
      <c r="D42" s="39">
        <f>P1_SuCo!G41</f>
        <v/>
      </c>
      <c r="E42" s="39">
        <f>P02_BinhThuong!B41</f>
        <v/>
      </c>
      <c r="F42" s="39">
        <f>P02_BinhThuong!G41</f>
        <v/>
      </c>
      <c r="G42" s="39">
        <f>P02_SuCo!G41</f>
        <v/>
      </c>
      <c r="H42" s="56">
        <f>P1_BinhThuong!H41</f>
        <v/>
      </c>
      <c r="I42" s="56">
        <f>P1_SuCo!H41</f>
        <v/>
      </c>
      <c r="J42" s="56">
        <f>P02_BinhThuong!H41</f>
        <v/>
      </c>
      <c r="K42" s="56">
        <f>P02_SuCo!H41</f>
        <v/>
      </c>
    </row>
    <row r="43">
      <c r="A43" s="38">
        <f>P1_BinhThuong!A42</f>
        <v/>
      </c>
      <c r="B43" s="39">
        <f>P1_BinhThuong!B42</f>
        <v/>
      </c>
      <c r="C43" s="39">
        <f>P1_BinhThuong!G42</f>
        <v/>
      </c>
      <c r="D43" s="39">
        <f>P1_SuCo!G42</f>
        <v/>
      </c>
      <c r="E43" s="39">
        <f>P02_BinhThuong!B42</f>
        <v/>
      </c>
      <c r="F43" s="39">
        <f>P02_BinhThuong!G42</f>
        <v/>
      </c>
      <c r="G43" s="39">
        <f>P02_SuCo!G42</f>
        <v/>
      </c>
      <c r="H43" s="56">
        <f>P1_BinhThuong!H42</f>
        <v/>
      </c>
      <c r="I43" s="56">
        <f>P1_SuCo!H42</f>
        <v/>
      </c>
      <c r="J43" s="56">
        <f>P02_BinhThuong!H42</f>
        <v/>
      </c>
      <c r="K43" s="56">
        <f>P02_SuCo!H42</f>
        <v/>
      </c>
    </row>
    <row r="44">
      <c r="A44" s="38">
        <f>P1_BinhThuong!A43</f>
        <v/>
      </c>
      <c r="B44" s="39">
        <f>P1_BinhThuong!B43</f>
        <v/>
      </c>
      <c r="C44" s="39">
        <f>P1_BinhThuong!G43</f>
        <v/>
      </c>
      <c r="D44" s="39">
        <f>P1_SuCo!G43</f>
        <v/>
      </c>
      <c r="E44" s="39">
        <f>P02_BinhThuong!B43</f>
        <v/>
      </c>
      <c r="F44" s="39">
        <f>P02_BinhThuong!G43</f>
        <v/>
      </c>
      <c r="G44" s="39">
        <f>P02_SuCo!G43</f>
        <v/>
      </c>
      <c r="H44" s="56">
        <f>P1_BinhThuong!H43</f>
        <v/>
      </c>
      <c r="I44" s="56">
        <f>P1_SuCo!H43</f>
        <v/>
      </c>
      <c r="J44" s="56">
        <f>P02_BinhThuong!H43</f>
        <v/>
      </c>
      <c r="K44" s="56">
        <f>P02_SuCo!H43</f>
        <v/>
      </c>
    </row>
    <row r="45">
      <c r="A45" s="38">
        <f>P1_BinhThuong!A44</f>
        <v/>
      </c>
      <c r="B45" s="39">
        <f>P1_BinhThuong!B44</f>
        <v/>
      </c>
      <c r="C45" s="39">
        <f>P1_BinhThuong!G44</f>
        <v/>
      </c>
      <c r="D45" s="39">
        <f>P1_SuCo!G44</f>
        <v/>
      </c>
      <c r="E45" s="39">
        <f>P02_BinhThuong!B44</f>
        <v/>
      </c>
      <c r="F45" s="39">
        <f>P02_BinhThuong!G44</f>
        <v/>
      </c>
      <c r="G45" s="39">
        <f>P02_SuCo!G44</f>
        <v/>
      </c>
      <c r="H45" s="56">
        <f>P1_BinhThuong!H44</f>
        <v/>
      </c>
      <c r="I45" s="56">
        <f>P1_SuCo!H44</f>
        <v/>
      </c>
      <c r="J45" s="56">
        <f>P02_BinhThuong!H44</f>
        <v/>
      </c>
      <c r="K45" s="56">
        <f>P02_SuCo!H44</f>
        <v/>
      </c>
    </row>
    <row r="46">
      <c r="A46" s="38">
        <f>P1_BinhThuong!A45</f>
        <v/>
      </c>
      <c r="B46" s="39">
        <f>P1_BinhThuong!B45</f>
        <v/>
      </c>
      <c r="C46" s="39">
        <f>P1_BinhThuong!G45</f>
        <v/>
      </c>
      <c r="D46" s="39">
        <f>P1_SuCo!G45</f>
        <v/>
      </c>
      <c r="E46" s="39">
        <f>P02_BinhThuong!B45</f>
        <v/>
      </c>
      <c r="F46" s="39">
        <f>P02_BinhThuong!G45</f>
        <v/>
      </c>
      <c r="G46" s="39">
        <f>P02_SuCo!G45</f>
        <v/>
      </c>
      <c r="H46" s="56">
        <f>P1_BinhThuong!H45</f>
        <v/>
      </c>
      <c r="I46" s="56">
        <f>P1_SuCo!H45</f>
        <v/>
      </c>
      <c r="J46" s="56">
        <f>P02_BinhThuong!H45</f>
        <v/>
      </c>
      <c r="K46" s="56">
        <f>P02_SuCo!H45</f>
        <v/>
      </c>
    </row>
    <row r="47">
      <c r="A47" s="38">
        <f>P1_BinhThuong!A46</f>
        <v/>
      </c>
      <c r="B47" s="39">
        <f>P1_BinhThuong!B46</f>
        <v/>
      </c>
      <c r="C47" s="39">
        <f>P1_BinhThuong!G46</f>
        <v/>
      </c>
      <c r="D47" s="39">
        <f>P1_SuCo!G46</f>
        <v/>
      </c>
      <c r="E47" s="39">
        <f>P02_BinhThuong!B46</f>
        <v/>
      </c>
      <c r="F47" s="39">
        <f>P02_BinhThuong!G46</f>
        <v/>
      </c>
      <c r="G47" s="39">
        <f>P02_SuCo!G46</f>
        <v/>
      </c>
      <c r="H47" s="56">
        <f>P1_BinhThuong!H46</f>
        <v/>
      </c>
      <c r="I47" s="56">
        <f>P1_SuCo!H46</f>
        <v/>
      </c>
      <c r="J47" s="56">
        <f>P02_BinhThuong!H46</f>
        <v/>
      </c>
      <c r="K47" s="56">
        <f>P02_SuCo!H46</f>
        <v/>
      </c>
    </row>
    <row r="48">
      <c r="A48" s="38">
        <f>P1_BinhThuong!A47</f>
        <v/>
      </c>
      <c r="B48" s="39">
        <f>P1_BinhThuong!B47</f>
        <v/>
      </c>
      <c r="C48" s="39">
        <f>P1_BinhThuong!G47</f>
        <v/>
      </c>
      <c r="D48" s="39">
        <f>P1_SuCo!G47</f>
        <v/>
      </c>
      <c r="E48" s="39">
        <f>P02_BinhThuong!B47</f>
        <v/>
      </c>
      <c r="F48" s="39">
        <f>P02_BinhThuong!G47</f>
        <v/>
      </c>
      <c r="G48" s="39">
        <f>P02_SuCo!G47</f>
        <v/>
      </c>
      <c r="H48" s="56">
        <f>P1_BinhThuong!H47</f>
        <v/>
      </c>
      <c r="I48" s="56">
        <f>P1_SuCo!H47</f>
        <v/>
      </c>
      <c r="J48" s="56">
        <f>P02_BinhThuong!H47</f>
        <v/>
      </c>
      <c r="K48" s="56">
        <f>P02_SuCo!H47</f>
        <v/>
      </c>
    </row>
    <row r="49">
      <c r="A49" s="38">
        <f>P1_BinhThuong!A48</f>
        <v/>
      </c>
      <c r="B49" s="39">
        <f>P1_BinhThuong!B48</f>
        <v/>
      </c>
      <c r="C49" s="39">
        <f>P1_BinhThuong!G48</f>
        <v/>
      </c>
      <c r="D49" s="39">
        <f>P1_SuCo!G48</f>
        <v/>
      </c>
      <c r="E49" s="39">
        <f>P02_BinhThuong!B48</f>
        <v/>
      </c>
      <c r="F49" s="39">
        <f>P02_BinhThuong!G48</f>
        <v/>
      </c>
      <c r="G49" s="39">
        <f>P02_SuCo!G48</f>
        <v/>
      </c>
      <c r="H49" s="56">
        <f>P1_BinhThuong!H48</f>
        <v/>
      </c>
      <c r="I49" s="56">
        <f>P1_SuCo!H48</f>
        <v/>
      </c>
      <c r="J49" s="56">
        <f>P02_BinhThuong!H48</f>
        <v/>
      </c>
      <c r="K49" s="56">
        <f>P02_SuCo!H48</f>
        <v/>
      </c>
    </row>
    <row r="50">
      <c r="A50" s="38">
        <f>P1_BinhThuong!A49</f>
        <v/>
      </c>
      <c r="B50" s="39">
        <f>P1_BinhThuong!B49</f>
        <v/>
      </c>
      <c r="C50" s="39">
        <f>P1_BinhThuong!G49</f>
        <v/>
      </c>
      <c r="D50" s="39">
        <f>P1_SuCo!G49</f>
        <v/>
      </c>
      <c r="E50" s="39">
        <f>P02_BinhThuong!B49</f>
        <v/>
      </c>
      <c r="F50" s="39">
        <f>P02_BinhThuong!G49</f>
        <v/>
      </c>
      <c r="G50" s="39">
        <f>P02_SuCo!G49</f>
        <v/>
      </c>
      <c r="H50" s="56">
        <f>P1_BinhThuong!H49</f>
        <v/>
      </c>
      <c r="I50" s="56">
        <f>P1_SuCo!H49</f>
        <v/>
      </c>
      <c r="J50" s="56">
        <f>P02_BinhThuong!H49</f>
        <v/>
      </c>
      <c r="K50" s="56">
        <f>P02_SuCo!H49</f>
        <v/>
      </c>
    </row>
    <row r="51">
      <c r="A51" s="38">
        <f>P1_BinhThuong!A50</f>
        <v/>
      </c>
      <c r="B51" s="39">
        <f>P1_BinhThuong!B50</f>
        <v/>
      </c>
      <c r="C51" s="39">
        <f>P1_BinhThuong!G50</f>
        <v/>
      </c>
      <c r="D51" s="39">
        <f>P1_SuCo!G50</f>
        <v/>
      </c>
      <c r="E51" s="39">
        <f>P02_BinhThuong!B50</f>
        <v/>
      </c>
      <c r="F51" s="39">
        <f>P02_BinhThuong!G50</f>
        <v/>
      </c>
      <c r="G51" s="39">
        <f>P02_SuCo!G50</f>
        <v/>
      </c>
      <c r="H51" s="56">
        <f>P1_BinhThuong!H50</f>
        <v/>
      </c>
      <c r="I51" s="56">
        <f>P1_SuCo!H50</f>
        <v/>
      </c>
      <c r="J51" s="56">
        <f>P02_BinhThuong!H50</f>
        <v/>
      </c>
      <c r="K51" s="56">
        <f>P02_SuCo!H50</f>
        <v/>
      </c>
    </row>
    <row r="52">
      <c r="A52" s="38">
        <f>P1_BinhThuong!A51</f>
        <v/>
      </c>
      <c r="B52" s="39">
        <f>P1_BinhThuong!B51</f>
        <v/>
      </c>
      <c r="C52" s="39">
        <f>P1_BinhThuong!G51</f>
        <v/>
      </c>
      <c r="D52" s="39">
        <f>P1_SuCo!G51</f>
        <v/>
      </c>
      <c r="E52" s="39">
        <f>P02_BinhThuong!B51</f>
        <v/>
      </c>
      <c r="F52" s="39">
        <f>P02_BinhThuong!G51</f>
        <v/>
      </c>
      <c r="G52" s="39">
        <f>P02_SuCo!G51</f>
        <v/>
      </c>
      <c r="H52" s="56">
        <f>P1_BinhThuong!H51</f>
        <v/>
      </c>
      <c r="I52" s="56">
        <f>P1_SuCo!H51</f>
        <v/>
      </c>
      <c r="J52" s="56">
        <f>P02_BinhThuong!H51</f>
        <v/>
      </c>
      <c r="K52" s="56">
        <f>P02_SuCo!H51</f>
        <v/>
      </c>
    </row>
    <row r="53">
      <c r="A53" s="38">
        <f>P1_BinhThuong!A52</f>
        <v/>
      </c>
      <c r="B53" s="39">
        <f>P1_BinhThuong!B52</f>
        <v/>
      </c>
      <c r="C53" s="39">
        <f>P1_BinhThuong!G52</f>
        <v/>
      </c>
      <c r="D53" s="39">
        <f>P1_SuCo!G52</f>
        <v/>
      </c>
      <c r="E53" s="39">
        <f>P02_BinhThuong!B52</f>
        <v/>
      </c>
      <c r="F53" s="39">
        <f>P02_BinhThuong!G52</f>
        <v/>
      </c>
      <c r="G53" s="39">
        <f>P02_SuCo!G52</f>
        <v/>
      </c>
      <c r="H53" s="56">
        <f>P1_BinhThuong!H52</f>
        <v/>
      </c>
      <c r="I53" s="56">
        <f>P1_SuCo!H52</f>
        <v/>
      </c>
      <c r="J53" s="56">
        <f>P02_BinhThuong!H52</f>
        <v/>
      </c>
      <c r="K53" s="56">
        <f>P02_SuCo!H52</f>
        <v/>
      </c>
    </row>
    <row r="54">
      <c r="A54" s="38">
        <f>P1_BinhThuong!A53</f>
        <v/>
      </c>
      <c r="B54" s="39">
        <f>P1_BinhThuong!B53</f>
        <v/>
      </c>
      <c r="C54" s="39">
        <f>P1_BinhThuong!G53</f>
        <v/>
      </c>
      <c r="D54" s="39">
        <f>P1_SuCo!G53</f>
        <v/>
      </c>
      <c r="E54" s="39">
        <f>P02_BinhThuong!B53</f>
        <v/>
      </c>
      <c r="F54" s="39">
        <f>P02_BinhThuong!G53</f>
        <v/>
      </c>
      <c r="G54" s="39">
        <f>P02_SuCo!G53</f>
        <v/>
      </c>
      <c r="H54" s="56">
        <f>P1_BinhThuong!H53</f>
        <v/>
      </c>
      <c r="I54" s="56">
        <f>P1_SuCo!H53</f>
        <v/>
      </c>
      <c r="J54" s="56">
        <f>P02_BinhThuong!H53</f>
        <v/>
      </c>
      <c r="K54" s="56">
        <f>P02_SuCo!H53</f>
        <v/>
      </c>
    </row>
    <row r="55">
      <c r="A55" s="38">
        <f>P1_BinhThuong!A54</f>
        <v/>
      </c>
      <c r="B55" s="39">
        <f>P1_BinhThuong!B54</f>
        <v/>
      </c>
      <c r="C55" s="39">
        <f>P1_BinhThuong!G54</f>
        <v/>
      </c>
      <c r="D55" s="39">
        <f>P1_SuCo!G54</f>
        <v/>
      </c>
      <c r="E55" s="39">
        <f>P02_BinhThuong!B54</f>
        <v/>
      </c>
      <c r="F55" s="39">
        <f>P02_BinhThuong!G54</f>
        <v/>
      </c>
      <c r="G55" s="39">
        <f>P02_SuCo!G54</f>
        <v/>
      </c>
      <c r="H55" s="56">
        <f>P1_BinhThuong!H54</f>
        <v/>
      </c>
      <c r="I55" s="56">
        <f>P1_SuCo!H54</f>
        <v/>
      </c>
      <c r="J55" s="56">
        <f>P02_BinhThuong!H54</f>
        <v/>
      </c>
      <c r="K55" s="56">
        <f>P02_SuCo!H54</f>
        <v/>
      </c>
    </row>
    <row r="56">
      <c r="A56" s="38">
        <f>P1_BinhThuong!A55</f>
        <v/>
      </c>
      <c r="B56" s="39">
        <f>P1_BinhThuong!B55</f>
        <v/>
      </c>
      <c r="C56" s="39">
        <f>P1_BinhThuong!G55</f>
        <v/>
      </c>
      <c r="D56" s="39">
        <f>P1_SuCo!G55</f>
        <v/>
      </c>
      <c r="E56" s="39">
        <f>P02_BinhThuong!B55</f>
        <v/>
      </c>
      <c r="F56" s="39">
        <f>P02_BinhThuong!G55</f>
        <v/>
      </c>
      <c r="G56" s="39">
        <f>P02_SuCo!G55</f>
        <v/>
      </c>
      <c r="H56" s="56">
        <f>P1_BinhThuong!H55</f>
        <v/>
      </c>
      <c r="I56" s="56">
        <f>P1_SuCo!H55</f>
        <v/>
      </c>
      <c r="J56" s="56">
        <f>P02_BinhThuong!H55</f>
        <v/>
      </c>
      <c r="K56" s="56">
        <f>P02_SuCo!H55</f>
        <v/>
      </c>
    </row>
    <row r="57">
      <c r="A57" s="38">
        <f>P1_BinhThuong!A56</f>
        <v/>
      </c>
      <c r="B57" s="39">
        <f>P1_BinhThuong!B56</f>
        <v/>
      </c>
      <c r="C57" s="39">
        <f>P1_BinhThuong!G56</f>
        <v/>
      </c>
      <c r="D57" s="39">
        <f>P1_SuCo!G56</f>
        <v/>
      </c>
      <c r="E57" s="39">
        <f>P02_BinhThuong!B56</f>
        <v/>
      </c>
      <c r="F57" s="39">
        <f>P02_BinhThuong!G56</f>
        <v/>
      </c>
      <c r="G57" s="39">
        <f>P02_SuCo!G56</f>
        <v/>
      </c>
      <c r="H57" s="56">
        <f>P1_BinhThuong!H56</f>
        <v/>
      </c>
      <c r="I57" s="56">
        <f>P1_SuCo!H56</f>
        <v/>
      </c>
      <c r="J57" s="56">
        <f>P02_BinhThuong!H56</f>
        <v/>
      </c>
      <c r="K57" s="56">
        <f>P02_SuCo!H56</f>
        <v/>
      </c>
    </row>
    <row r="58">
      <c r="A58" s="38">
        <f>P1_BinhThuong!A57</f>
        <v/>
      </c>
      <c r="B58" s="39">
        <f>P1_BinhThuong!B57</f>
        <v/>
      </c>
      <c r="C58" s="39">
        <f>P1_BinhThuong!G57</f>
        <v/>
      </c>
      <c r="D58" s="39">
        <f>P1_SuCo!G57</f>
        <v/>
      </c>
      <c r="E58" s="39">
        <f>P02_BinhThuong!B57</f>
        <v/>
      </c>
      <c r="F58" s="39">
        <f>P02_BinhThuong!G57</f>
        <v/>
      </c>
      <c r="G58" s="39">
        <f>P02_SuCo!G57</f>
        <v/>
      </c>
      <c r="H58" s="56">
        <f>P1_BinhThuong!H57</f>
        <v/>
      </c>
      <c r="I58" s="56">
        <f>P1_SuCo!H57</f>
        <v/>
      </c>
      <c r="J58" s="56">
        <f>P02_BinhThuong!H57</f>
        <v/>
      </c>
      <c r="K58" s="56">
        <f>P02_SuCo!H57</f>
        <v/>
      </c>
    </row>
    <row r="59">
      <c r="A59" s="38">
        <f>P1_BinhThuong!A58</f>
        <v/>
      </c>
      <c r="B59" s="39">
        <f>P1_BinhThuong!B58</f>
        <v/>
      </c>
      <c r="C59" s="39">
        <f>P1_BinhThuong!G58</f>
        <v/>
      </c>
      <c r="D59" s="39">
        <f>P1_SuCo!G58</f>
        <v/>
      </c>
      <c r="E59" s="39">
        <f>P02_BinhThuong!B58</f>
        <v/>
      </c>
      <c r="F59" s="39">
        <f>P02_BinhThuong!G58</f>
        <v/>
      </c>
      <c r="G59" s="39">
        <f>P02_SuCo!G58</f>
        <v/>
      </c>
      <c r="H59" s="56">
        <f>P1_BinhThuong!H58</f>
        <v/>
      </c>
      <c r="I59" s="56">
        <f>P1_SuCo!H58</f>
        <v/>
      </c>
      <c r="J59" s="56">
        <f>P02_BinhThuong!H58</f>
        <v/>
      </c>
      <c r="K59" s="56">
        <f>P02_SuCo!H58</f>
        <v/>
      </c>
    </row>
    <row r="60">
      <c r="A60" s="38">
        <f>P1_BinhThuong!A59</f>
        <v/>
      </c>
      <c r="B60" s="39">
        <f>P1_BinhThuong!B59</f>
        <v/>
      </c>
      <c r="C60" s="39">
        <f>P1_BinhThuong!G59</f>
        <v/>
      </c>
      <c r="D60" s="39">
        <f>P1_SuCo!G59</f>
        <v/>
      </c>
      <c r="E60" s="39">
        <f>P02_BinhThuong!B59</f>
        <v/>
      </c>
      <c r="F60" s="39">
        <f>P02_BinhThuong!G59</f>
        <v/>
      </c>
      <c r="G60" s="39">
        <f>P02_SuCo!G59</f>
        <v/>
      </c>
      <c r="H60" s="56">
        <f>P1_BinhThuong!H59</f>
        <v/>
      </c>
      <c r="I60" s="56">
        <f>P1_SuCo!H59</f>
        <v/>
      </c>
      <c r="J60" s="56">
        <f>P02_BinhThuong!H59</f>
        <v/>
      </c>
      <c r="K60" s="56">
        <f>P02_SuCo!H59</f>
        <v/>
      </c>
    </row>
    <row r="61">
      <c r="A61" s="38">
        <f>P1_BinhThuong!A60</f>
        <v/>
      </c>
      <c r="B61" s="39">
        <f>P1_BinhThuong!B60</f>
        <v/>
      </c>
      <c r="C61" s="39">
        <f>P1_BinhThuong!G60</f>
        <v/>
      </c>
      <c r="D61" s="39">
        <f>P1_SuCo!G60</f>
        <v/>
      </c>
      <c r="E61" s="39">
        <f>P02_BinhThuong!B60</f>
        <v/>
      </c>
      <c r="F61" s="39">
        <f>P02_BinhThuong!G60</f>
        <v/>
      </c>
      <c r="G61" s="39">
        <f>P02_SuCo!G60</f>
        <v/>
      </c>
      <c r="H61" s="56">
        <f>P1_BinhThuong!H60</f>
        <v/>
      </c>
      <c r="I61" s="56">
        <f>P1_SuCo!H60</f>
        <v/>
      </c>
      <c r="J61" s="56">
        <f>P02_BinhThuong!H60</f>
        <v/>
      </c>
      <c r="K61" s="56">
        <f>P02_SuCo!H60</f>
        <v/>
      </c>
    </row>
    <row r="62">
      <c r="A62" s="38">
        <f>P1_BinhThuong!A61</f>
        <v/>
      </c>
      <c r="B62" s="39">
        <f>P1_BinhThuong!B61</f>
        <v/>
      </c>
      <c r="C62" s="39">
        <f>P1_BinhThuong!G61</f>
        <v/>
      </c>
      <c r="D62" s="39">
        <f>P1_SuCo!G61</f>
        <v/>
      </c>
      <c r="E62" s="39">
        <f>P02_BinhThuong!B61</f>
        <v/>
      </c>
      <c r="F62" s="39">
        <f>P02_BinhThuong!G61</f>
        <v/>
      </c>
      <c r="G62" s="39">
        <f>P02_SuCo!G61</f>
        <v/>
      </c>
      <c r="H62" s="56">
        <f>P1_BinhThuong!H61</f>
        <v/>
      </c>
      <c r="I62" s="56">
        <f>P1_SuCo!H61</f>
        <v/>
      </c>
      <c r="J62" s="56">
        <f>P02_BinhThuong!H61</f>
        <v/>
      </c>
      <c r="K62" s="56">
        <f>P02_SuCo!H61</f>
        <v/>
      </c>
    </row>
    <row r="63">
      <c r="A63" s="38">
        <f>P1_BinhThuong!A62</f>
        <v/>
      </c>
      <c r="B63" s="39">
        <f>P1_BinhThuong!B62</f>
        <v/>
      </c>
      <c r="C63" s="39">
        <f>P1_BinhThuong!G62</f>
        <v/>
      </c>
      <c r="D63" s="39">
        <f>P1_SuCo!G62</f>
        <v/>
      </c>
      <c r="E63" s="39">
        <f>P02_BinhThuong!B62</f>
        <v/>
      </c>
      <c r="F63" s="39">
        <f>P02_BinhThuong!G62</f>
        <v/>
      </c>
      <c r="G63" s="39">
        <f>P02_SuCo!G62</f>
        <v/>
      </c>
      <c r="H63" s="56">
        <f>P1_BinhThuong!H62</f>
        <v/>
      </c>
      <c r="I63" s="56">
        <f>P1_SuCo!H62</f>
        <v/>
      </c>
      <c r="J63" s="56">
        <f>P02_BinhThuong!H62</f>
        <v/>
      </c>
      <c r="K63" s="56">
        <f>P02_SuCo!H62</f>
        <v/>
      </c>
    </row>
    <row r="64">
      <c r="A64" s="38">
        <f>P1_BinhThuong!A63</f>
        <v/>
      </c>
      <c r="B64" s="39">
        <f>P1_BinhThuong!B63</f>
        <v/>
      </c>
      <c r="C64" s="39">
        <f>P1_BinhThuong!G63</f>
        <v/>
      </c>
      <c r="D64" s="39">
        <f>P1_SuCo!G63</f>
        <v/>
      </c>
      <c r="E64" s="39">
        <f>P02_BinhThuong!B63</f>
        <v/>
      </c>
      <c r="F64" s="39">
        <f>P02_BinhThuong!G63</f>
        <v/>
      </c>
      <c r="G64" s="39">
        <f>P02_SuCo!G63</f>
        <v/>
      </c>
      <c r="H64" s="56">
        <f>P1_BinhThuong!H63</f>
        <v/>
      </c>
      <c r="I64" s="56">
        <f>P1_SuCo!H63</f>
        <v/>
      </c>
      <c r="J64" s="56">
        <f>P02_BinhThuong!H63</f>
        <v/>
      </c>
      <c r="K64" s="56">
        <f>P02_SuCo!H63</f>
        <v/>
      </c>
    </row>
    <row r="65">
      <c r="A65" s="38">
        <f>P1_BinhThuong!A64</f>
        <v/>
      </c>
      <c r="B65" s="39">
        <f>P1_BinhThuong!B64</f>
        <v/>
      </c>
      <c r="C65" s="39">
        <f>P1_BinhThuong!G64</f>
        <v/>
      </c>
      <c r="D65" s="39">
        <f>P1_SuCo!G64</f>
        <v/>
      </c>
      <c r="E65" s="39">
        <f>P02_BinhThuong!B64</f>
        <v/>
      </c>
      <c r="F65" s="39">
        <f>P02_BinhThuong!G64</f>
        <v/>
      </c>
      <c r="G65" s="39">
        <f>P02_SuCo!G64</f>
        <v/>
      </c>
      <c r="H65" s="56">
        <f>P1_BinhThuong!H64</f>
        <v/>
      </c>
      <c r="I65" s="56">
        <f>P1_SuCo!H64</f>
        <v/>
      </c>
      <c r="J65" s="56">
        <f>P02_BinhThuong!H64</f>
        <v/>
      </c>
      <c r="K65" s="56">
        <f>P02_SuCo!H64</f>
        <v/>
      </c>
    </row>
  </sheetData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2026-10-26T07:23:43Z</dcterms:created>
  <dcterms:modified xmlns:dcterms="http://purl.org/dc/terms/" xmlns:xsi="http://www.w3.org/2001/XMLSchema-instance" xsi:type="dcterms:W3CDTF">2026-10-26T07:23:43Z</dcterms:modified>
</cp:coreProperties>
</file>