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SoLieu" sheetId="2" state="visible" r:id="rId2"/>
    <sheet xmlns:r="http://schemas.openxmlformats.org/officeDocument/2006/relationships" name="TinhSong" sheetId="3" state="visible" r:id="rId3"/>
    <sheet xmlns:r="http://schemas.openxmlformats.org/officeDocument/2006/relationships" name="KetQua" sheetId="4" state="visible" r:id="rId4"/>
  </sheets>
  <definedNames>
    <definedName name="MN_DBT">SoLieu!$B$6</definedName>
    <definedName name="MN_LTK">SoLieu!$B$7</definedName>
    <definedName name="MN_LKT">SoLieu!$B$8</definedName>
    <definedName name="Z_day">SoLieu!$B$9</definedName>
    <definedName name="g_">SoLieu!$B$10</definedName>
    <definedName name="a_1">SoLieu!$B$14</definedName>
    <definedName name="a_2">SoLieu!$B$15</definedName>
    <definedName name="a_3">SoLieu!$B$16</definedName>
    <definedName name="t_gio">SoLieu!$B$20</definedName>
    <definedName name="k_fl">SoLieu!$B$21</definedName>
    <definedName name="D_1">SoLieu!$B$22</definedName>
    <definedName name="D_2">SoLieu!$B$23</definedName>
    <definedName name="m_TL">SoLieu!$B$24</definedName>
    <definedName name="Delta_n">SoLieu!$B$25</definedName>
    <definedName name="PT_mai">SoLieu!$B$26</definedName>
    <definedName name="Z_dinh_HT">SoLieu!$B$30</definedName>
    <definedName name="Z_tuong">SoLieu!$B$31</definedName>
    <definedName name="Z_dinh_SC">SoLieu!$B$32</definedName>
    <definedName name="dZ_LKT">SoLieu!$B$33</definedName>
    <definedName name="dZ_tuong">SoLieu!$B$34</definedName>
    <definedName name="Gio_ma">SoLieu!$B$38:$B$45</definedName>
    <definedName name="Gio_az">SoLieu!$C$38:$C$45</definedName>
    <definedName name="Gio_V4">SoLieu!$D$38:$D$45</definedName>
    <definedName name="Gio_V50">SoLieu!$E$38:$E$45</definedName>
    <definedName name="KL_V">SoLieu!$B$50:$H$50</definedName>
    <definedName name="KL_k">SoLieu!$B$51:$H$51</definedName>
    <definedName name="KA_goc">SoLieu!$B$54:$H$54</definedName>
    <definedName name="KA_k">SoLieu!$B$55:$H$55</definedName>
    <definedName name="KR_x">SoLieu!$B$58:$G$58</definedName>
    <definedName name="KR_kr">SoLieu!$B$59:$G$59</definedName>
    <definedName name="KP_x">SoLieu!$B$62:$G$62</definedName>
    <definedName name="KP_kp">SoLieu!$B$63:$G$63</definedName>
    <definedName name="KSP_V">SoLieu!$B$66:$D$66</definedName>
    <definedName name="KSP_k">SoLieu!$B$67:$D$67</definedName>
    <definedName name="K1_x">SoLieu!$B$70:$G$70</definedName>
    <definedName name="K1_k">SoLieu!$B$71:$G$71</definedName>
    <definedName name="K1_lg">SoLieu!$B$72:$G$72</definedName>
    <definedName name="KRUN_x">SoLieu!$B$75:$H$75</definedName>
    <definedName name="KRUN_k">SoLieu!$B$76:$H$76</definedName>
    <definedName name="Z_yc">KetQua!$B$9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+0.00;-0.00;0.00"/>
  </numFmts>
  <fonts count="10">
    <font>
      <name val="Calibri"/>
      <family val="2"/>
      <color theme="1"/>
      <sz val="11"/>
      <scheme val="minor"/>
    </font>
    <font>
      <name val="Times New Roman"/>
      <b val="1"/>
      <color rgb="0012324A"/>
      <sz val="14"/>
    </font>
    <font>
      <name val="Times New Roman"/>
      <i val="1"/>
      <color rgb="0052514E"/>
      <sz val="10"/>
    </font>
    <font>
      <name val="Times New Roman"/>
      <b val="1"/>
      <color rgb="00A65A10"/>
      <sz val="12"/>
    </font>
    <font>
      <name val="Times New Roman"/>
      <b val="1"/>
      <color rgb="0012324A"/>
      <sz val="12"/>
    </font>
    <font>
      <name val="Times New Roman"/>
      <sz val="11"/>
    </font>
    <font>
      <name val="Times New Roman"/>
      <b val="1"/>
      <color rgb="00FFFFFF"/>
      <sz val="10"/>
    </font>
    <font>
      <name val="Times New Roman"/>
      <b val="1"/>
      <sz val="11"/>
    </font>
    <font>
      <name val="Times New Roman"/>
      <b val="1"/>
      <color rgb="000000FF"/>
      <sz val="11"/>
    </font>
    <font>
      <name val="Times New Roman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2324A"/>
      </patternFill>
    </fill>
    <fill>
      <patternFill patternType="solid">
        <fgColor rgb="00FFF2CC"/>
      </patternFill>
    </fill>
    <fill>
      <patternFill patternType="solid">
        <fgColor rgb="00FBF3E8"/>
      </patternFill>
    </fill>
  </fills>
  <borders count="6">
    <border>
      <left/>
      <right/>
      <top/>
      <bottom/>
      <diagonal/>
    </border>
    <border>
      <left style="thin">
        <color rgb="00B8BEC6"/>
      </left>
      <right style="thin">
        <color rgb="00B8BEC6"/>
      </right>
      <top style="thin">
        <color rgb="00B8BEC6"/>
      </top>
      <bottom style="thin">
        <color rgb="00B8BEC6"/>
      </bottom>
    </border>
    <border>
      <left/>
      <right/>
      <top style="thin">
        <color rgb="00B8BEC6"/>
      </top>
      <bottom/>
      <diagonal/>
    </border>
    <border>
      <left/>
      <right style="thin">
        <color rgb="00B8BEC6"/>
      </right>
      <top style="thin">
        <color rgb="00B8BEC6"/>
      </top>
      <bottom/>
      <diagonal/>
    </border>
    <border>
      <left/>
      <right/>
      <top style="thin">
        <color rgb="00B8BEC6"/>
      </top>
      <bottom style="thin">
        <color rgb="00B8BEC6"/>
      </bottom>
      <diagonal/>
    </border>
    <border>
      <left/>
      <right style="thin">
        <color rgb="00B8BEC6"/>
      </right>
      <top style="thin">
        <color rgb="00B8BEC6"/>
      </top>
      <bottom style="thin">
        <color rgb="00B8BEC6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2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1" applyAlignment="1" pivotButton="0" quotePrefix="0" xfId="0">
      <alignment horizontal="right"/>
    </xf>
    <xf numFmtId="1" fontId="9" fillId="3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166" fontId="9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1" fontId="5" fillId="0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2" fontId="7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3F4EA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65A10"/>
    <outlinePr summaryBelow="1" summaryRight="1"/>
    <pageSetUpPr fitToPage="1"/>
  </sheetPr>
  <dimension ref="B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 ht="24" customHeight="1">
      <c r="B1" s="1" t="inlineStr">
        <is>
          <t>XÁC ĐỊNH CAO TRÌNH ĐỈNH ĐẬP HỒ CÀ GIÂY – TCVN 8216:2018 VÀ TCVN 8421:2010</t>
        </is>
      </c>
    </row>
    <row r="2" ht="18" customHeight="1">
      <c r="B2" s="2" t="inlineStr">
        <is>
          <t>Mọi ô kết quả là công thức. Sửa mực nước, gió, đà gió, cao trình công trình ở sheet SoLieu (ô nền vàng chữ xanh).</t>
        </is>
      </c>
    </row>
    <row r="3" ht="22" customHeight="1">
      <c r="B3" s="3" t="inlineStr">
        <is>
          <t>1. Ba trường hợp (TCVN 8216:2018)</t>
        </is>
      </c>
    </row>
    <row r="4" ht="22" customHeight="1">
      <c r="B4" s="4" t="inlineStr">
        <is>
          <t>Z₁ = MNDBT + Δh + hsl + a          Z₂ = MNLTK + Δh′ + h′sl + a′          Z₃ = MNLKT + a″</t>
        </is>
      </c>
    </row>
    <row r="5" ht="46.5" customHeight="1">
      <c r="B5" s="5" t="inlineStr">
        <is>
          <t>•  Gió tính sóng (Bảng 4, công trình cấp II): ở MNDBT – vận tốc gió lớn nhất tần suất P = 4%; ở MNLTK – vận tốc gió bình quân lớn nhất P = 50%; ở MNLKT không xét sóng do gió. Độ vượt cao an toàn (Bảng 3, cấp II): a = 0,7 m; a′ = 0,5 m; a″ = 0,2 m. Cao trình đỉnh đập yêu cầu Zđ = max(Z₁; Z₂; Z₃).</t>
        </is>
      </c>
    </row>
    <row r="6" ht="31" customHeight="1">
      <c r="B6" s="5" t="inlineStr">
        <is>
          <t>•  Điều 10.1.5 – đập có tường chắn sóng thẳng đứng liên kết với bộ phận chống thấm: độ vượt cao tính đến đỉnh tường (đỉnh tường ≥ Zđ); đỉnh đập không kể tường ≥ MNLKT + 0,3 m; tường cao hơn đỉnh đập không quá 1,2 m.</t>
        </is>
      </c>
    </row>
    <row r="7" ht="22" customHeight="1">
      <c r="B7" s="3" t="inlineStr">
        <is>
          <t>2. Độ dềnh do gió và sóng leo (TCVN 8421:2010)</t>
        </is>
      </c>
    </row>
    <row r="8" ht="22" customHeight="1">
      <c r="B8" s="4" t="inlineStr">
        <is>
          <t>Δh = kw·V²·D/(g·H)·cos α ,   kw = 3·10⁻⁷·(1 + 0,3·V)</t>
        </is>
      </c>
    </row>
    <row r="9" ht="22" customHeight="1">
      <c r="B9" s="4" t="inlineStr">
        <is>
          <t>gh̄/V² = 0,16·[1 − (1 + 0,006·√(gD/V²))⁻²] ;   gτ̄/V = 19,1·(gh̄/V²)^0,625 ;   λ̄ = gτ̄²/(2π)</t>
        </is>
      </c>
    </row>
    <row r="10" ht="22" customHeight="1">
      <c r="B10" s="4" t="inlineStr">
        <is>
          <t>hsl1% = kr·kp·ksp·krun·kα·h1% ;   h1% = K1%·h̄</t>
        </is>
      </c>
    </row>
    <row r="11" ht="31" customHeight="1">
      <c r="B11" s="5" t="inlineStr">
        <is>
          <t>•  V = Vw = kfl·kl·Vl – vận tốc gió tính toán ở độ cao 10 m trên mặt nước (Phụ lục A, A.3.3): Vl – gió trạm Phan Thiết (Bảng 1.4 thuyết minh), kl – Bảng A3 (địa hình dạng A, vùng ven biển trống trải), kfl = 1 (thiên an toàn).</t>
        </is>
      </c>
    </row>
    <row r="12" ht="31" customHeight="1">
      <c r="B12" s="5" t="inlineStr">
        <is>
          <t>•  Sóng nước sâu (H &gt; 0,5λ̄): gh̄/V² và gτ̄/V theo đường bao trên của đồ thị (Hình 1) – tính theo công thức xấp xỉ, với điều kiện đà gió (gD/V²) và điều kiện thời gian gió thổi t = 6 giờ (gt/V), lấy giá trị nhỏ hơn.</t>
        </is>
      </c>
    </row>
    <row r="13" ht="46.5" customHeight="1">
      <c r="B13" s="5" t="inlineStr">
        <is>
          <t>•  K1% – đồ thị Hình 2 theo gD/V²; kr, kp – bảng hệ số nhám, thấm theo Δ/h1% (mái gia cố đá xây, Δ = 0,02 m); ksp – bảng theo V và hệ số mái (m = 3 ÷ 5); krun – đồ thị Hình 10 theo λ̄/h1% (đường m = 3); kα – Bảng 9 theo góc tới α giữa hướng gió và pháp tuyến mái. Các bảng tra ở cuối sheet SoLieu (đồ thị đã đọc thành bảng, nội suy tuyến tính).</t>
        </is>
      </c>
    </row>
    <row r="14" ht="22" customHeight="1">
      <c r="B14" s="3" t="inlineStr">
        <is>
          <t>3. Hướng gió</t>
        </is>
      </c>
    </row>
    <row r="15" ht="46.5" customHeight="1">
      <c r="B15" s="5" t="inlineStr">
        <is>
          <t>•  Tuyến đập phương vị N96,2°E → pháp tuyến mái thượng lưu N6,2°E (lòng hồ phía Bắc). Tính các hướng có góc tới ≤ 60°: Bắc (6,2°), Đông Bắc (38,8°), Tây Bắc (51,2°); Đông, Tây gần song song tuyến đập, các hướng Nam thổi từ hạ lưu – không gây sóng leo lên mái thượng lưu. Đà gió lớn nhất dùng cho mọi hướng (thiên an toàn).</t>
        </is>
      </c>
    </row>
    <row r="16" ht="22" customHeight="1">
      <c r="B16" s="3" t="inlineStr">
        <is>
          <t>4. Trình tự trong file</t>
        </is>
      </c>
    </row>
    <row r="17" ht="15.5" customHeight="1">
      <c r="B17" s="5" t="inlineStr">
        <is>
          <t>•  SoLieu: mực nước, cấp công trình, gió, đà gió, cao trình đỉnh đập và tường chắn sóng, các bảng tra.</t>
        </is>
      </c>
    </row>
    <row r="18" ht="15.5" customHeight="1">
      <c r="B18" s="5" t="inlineStr">
        <is>
          <t>•  TinhSong: tính từng bước cho 6 trường hợp (3 hướng gió × MNDBT, MNLTK) – các cột cùng công thức.</t>
        </is>
      </c>
    </row>
    <row r="19" ht="15.5" customHeight="1">
      <c r="B19" s="5" t="inlineStr">
        <is>
          <t>•  KetQua: Z₁, Z₂, Z₃ theo hướng gió, Zđ = max, đánh giá đỉnh đập hiện trạng và sau sửa chữa theo điều 10.1.5; bảng in theo mẫu Bảng 2.4 (gió Bắc).</t>
        </is>
      </c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EDA100"/>
    <outlinePr summaryBelow="1" summaryRight="1"/>
    <pageSetUpPr fitToPage="1"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6" t="inlineStr">
        <is>
          <t>SỐ LIỆU ĐẦU VÀO – CAO TRÌNH ĐỈNH ĐẬP</t>
        </is>
      </c>
    </row>
    <row r="2">
      <c r="A2" s="7" t="inlineStr">
        <is>
          <t>Ô nền vàng chữ xanh: được sửa. Chữ đen: công thức.</t>
        </is>
      </c>
    </row>
    <row r="4">
      <c r="A4" s="8" t="inlineStr">
        <is>
          <t>A. MỰC NƯỚC HỒ</t>
        </is>
      </c>
    </row>
    <row r="5">
      <c r="A5" s="9" t="inlineStr">
        <is>
          <t>Thông số</t>
        </is>
      </c>
      <c r="B5" s="9" t="inlineStr">
        <is>
          <t>Giá trị</t>
        </is>
      </c>
      <c r="C5" s="9" t="inlineStr">
        <is>
          <t>Đơn vị</t>
        </is>
      </c>
      <c r="D5" s="9" t="inlineStr">
        <is>
          <t>Ghi chú, nguồn</t>
        </is>
      </c>
      <c r="E5" s="10" t="n"/>
      <c r="F5" s="10" t="n"/>
      <c r="G5" s="10" t="n"/>
      <c r="H5" s="10" t="n"/>
      <c r="I5" s="11" t="n"/>
    </row>
    <row r="6">
      <c r="A6" s="12" t="inlineStr">
        <is>
          <t>Mực nước dâng bình thường MNDBT</t>
        </is>
      </c>
      <c r="B6" s="13" t="n">
        <v>74.7</v>
      </c>
      <c r="C6" s="14" t="inlineStr">
        <is>
          <t>m</t>
        </is>
      </c>
      <c r="D6" s="15" t="inlineStr"/>
      <c r="E6" s="10" t="n"/>
      <c r="F6" s="10" t="n"/>
      <c r="G6" s="10" t="n"/>
      <c r="H6" s="10" t="n"/>
      <c r="I6" s="11" t="n"/>
    </row>
    <row r="7">
      <c r="A7" s="12" t="inlineStr">
        <is>
          <t>Mực nước lũ thiết kế MNLTK (P = 1%)</t>
        </is>
      </c>
      <c r="B7" s="13" t="n">
        <v>77.43000000000001</v>
      </c>
      <c r="C7" s="14" t="inlineStr">
        <is>
          <t>m</t>
        </is>
      </c>
      <c r="D7" s="15" t="inlineStr">
        <is>
          <t>Điều tiết lũ QTVH 72 giờ, vận hành bình thường (DieuTietLu_Potapov – KetQua)</t>
        </is>
      </c>
      <c r="E7" s="10" t="n"/>
      <c r="F7" s="10" t="n"/>
      <c r="G7" s="10" t="n"/>
      <c r="H7" s="10" t="n"/>
      <c r="I7" s="11" t="n"/>
    </row>
    <row r="8">
      <c r="A8" s="12" t="inlineStr">
        <is>
          <t>Mực nước lũ kiểm tra MNLKT (P = 0,2%)</t>
        </is>
      </c>
      <c r="B8" s="13" t="n">
        <v>78.39</v>
      </c>
      <c r="C8" s="14" t="inlineStr">
        <is>
          <t>m</t>
        </is>
      </c>
      <c r="D8" s="15" t="inlineStr">
        <is>
          <t>Như trên</t>
        </is>
      </c>
      <c r="E8" s="10" t="n"/>
      <c r="F8" s="10" t="n"/>
      <c r="G8" s="10" t="n"/>
      <c r="H8" s="10" t="n"/>
      <c r="I8" s="11" t="n"/>
    </row>
    <row r="9">
      <c r="A9" s="12" t="inlineStr">
        <is>
          <t>Cao trình đáy hồ trước đập</t>
        </is>
      </c>
      <c r="B9" s="13" t="n">
        <v>59</v>
      </c>
      <c r="C9" s="14" t="inlineStr">
        <is>
          <t>m</t>
        </is>
      </c>
      <c r="D9" s="15" t="inlineStr">
        <is>
          <t>Tính chiều sâu nước H = Z − Z đáy (H = 15,70 m ở MNDBT)</t>
        </is>
      </c>
      <c r="E9" s="10" t="n"/>
      <c r="F9" s="10" t="n"/>
      <c r="G9" s="10" t="n"/>
      <c r="H9" s="10" t="n"/>
      <c r="I9" s="11" t="n"/>
    </row>
    <row r="10">
      <c r="A10" s="12" t="inlineStr">
        <is>
          <t>Gia tốc trọng trường g</t>
        </is>
      </c>
      <c r="B10" s="13" t="n">
        <v>9.81</v>
      </c>
      <c r="C10" s="14" t="inlineStr">
        <is>
          <t>m/s²</t>
        </is>
      </c>
      <c r="D10" s="15" t="inlineStr"/>
      <c r="E10" s="10" t="n"/>
      <c r="F10" s="10" t="n"/>
      <c r="G10" s="10" t="n"/>
      <c r="H10" s="10" t="n"/>
      <c r="I10" s="11" t="n"/>
    </row>
    <row r="12">
      <c r="A12" s="8" t="inlineStr">
        <is>
          <t>B. ĐỘ VƯỢT CAO AN TOÀN – TCVN 8216:2018 Bảng 3, đập cấp II</t>
        </is>
      </c>
    </row>
    <row r="13">
      <c r="A13" s="9" t="inlineStr">
        <is>
          <t>Thông số</t>
        </is>
      </c>
      <c r="B13" s="9" t="inlineStr">
        <is>
          <t>Giá trị</t>
        </is>
      </c>
      <c r="C13" s="9" t="inlineStr">
        <is>
          <t>Đơn vị</t>
        </is>
      </c>
      <c r="D13" s="9" t="inlineStr">
        <is>
          <t>Ghi chú, nguồn</t>
        </is>
      </c>
      <c r="E13" s="10" t="n"/>
      <c r="F13" s="10" t="n"/>
      <c r="G13" s="10" t="n"/>
      <c r="H13" s="10" t="n"/>
      <c r="I13" s="11" t="n"/>
    </row>
    <row r="14">
      <c r="A14" s="12" t="inlineStr">
        <is>
          <t>a – trường hợp MNDBT</t>
        </is>
      </c>
      <c r="B14" s="13" t="n">
        <v>0.7</v>
      </c>
      <c r="C14" s="14" t="inlineStr">
        <is>
          <t>m</t>
        </is>
      </c>
      <c r="D14" s="15" t="inlineStr"/>
      <c r="E14" s="10" t="n"/>
      <c r="F14" s="10" t="n"/>
      <c r="G14" s="10" t="n"/>
      <c r="H14" s="10" t="n"/>
      <c r="I14" s="11" t="n"/>
    </row>
    <row r="15">
      <c r="A15" s="12" t="inlineStr">
        <is>
          <t>a′ – trường hợp MNLTK</t>
        </is>
      </c>
      <c r="B15" s="13" t="n">
        <v>0.5</v>
      </c>
      <c r="C15" s="14" t="inlineStr">
        <is>
          <t>m</t>
        </is>
      </c>
      <c r="D15" s="15" t="inlineStr"/>
      <c r="E15" s="10" t="n"/>
      <c r="F15" s="10" t="n"/>
      <c r="G15" s="10" t="n"/>
      <c r="H15" s="10" t="n"/>
      <c r="I15" s="11" t="n"/>
    </row>
    <row r="16">
      <c r="A16" s="12" t="inlineStr">
        <is>
          <t>a″ – trường hợp MNLKT</t>
        </is>
      </c>
      <c r="B16" s="13" t="n">
        <v>0.2</v>
      </c>
      <c r="C16" s="14" t="inlineStr">
        <is>
          <t>m</t>
        </is>
      </c>
      <c r="D16" s="15" t="inlineStr"/>
      <c r="E16" s="10" t="n"/>
      <c r="F16" s="10" t="n"/>
      <c r="G16" s="10" t="n"/>
      <c r="H16" s="10" t="n"/>
      <c r="I16" s="11" t="n"/>
    </row>
    <row r="18">
      <c r="A18" s="8" t="inlineStr">
        <is>
          <t>C. GIÓ, SÓNG VÀ MÁI ĐẬP</t>
        </is>
      </c>
    </row>
    <row r="19">
      <c r="A19" s="9" t="inlineStr">
        <is>
          <t>Thông số</t>
        </is>
      </c>
      <c r="B19" s="9" t="inlineStr">
        <is>
          <t>Giá trị</t>
        </is>
      </c>
      <c r="C19" s="9" t="inlineStr">
        <is>
          <t>Đơn vị</t>
        </is>
      </c>
      <c r="D19" s="9" t="inlineStr">
        <is>
          <t>Ghi chú, nguồn</t>
        </is>
      </c>
      <c r="E19" s="10" t="n"/>
      <c r="F19" s="10" t="n"/>
      <c r="G19" s="10" t="n"/>
      <c r="H19" s="10" t="n"/>
      <c r="I19" s="11" t="n"/>
    </row>
    <row r="20">
      <c r="A20" s="12" t="inlineStr">
        <is>
          <t>Thời gian gió thổi t</t>
        </is>
      </c>
      <c r="B20" s="16" t="n">
        <v>6</v>
      </c>
      <c r="C20" s="14" t="inlineStr">
        <is>
          <t>giờ</t>
        </is>
      </c>
      <c r="D20" s="15" t="inlineStr">
        <is>
          <t>Điều kiện thời gian khi tính sóng</t>
        </is>
      </c>
      <c r="E20" s="10" t="n"/>
      <c r="F20" s="10" t="n"/>
      <c r="G20" s="10" t="n"/>
      <c r="H20" s="10" t="n"/>
      <c r="I20" s="11" t="n"/>
    </row>
    <row r="21">
      <c r="A21" s="12" t="inlineStr">
        <is>
          <t>Hệ số quy đổi số liệu phong tiêu kfl</t>
        </is>
      </c>
      <c r="B21" s="13" t="n">
        <v>1</v>
      </c>
      <c r="C21" s="14" t="inlineStr"/>
      <c r="D21" s="15" t="inlineStr">
        <is>
          <t>TCVN 8421:2010 A.3.3 – lấy bằng 1 (thiên an toàn)</t>
        </is>
      </c>
      <c r="E21" s="10" t="n"/>
      <c r="F21" s="10" t="n"/>
      <c r="G21" s="10" t="n"/>
      <c r="H21" s="10" t="n"/>
      <c r="I21" s="11" t="n"/>
    </row>
    <row r="22">
      <c r="A22" s="12" t="inlineStr">
        <is>
          <t>Đà gió D khi hồ ở MNDBT</t>
        </is>
      </c>
      <c r="B22" s="16" t="n">
        <v>2970</v>
      </c>
      <c r="C22" s="14" t="inlineStr">
        <is>
          <t>m</t>
        </is>
      </c>
      <c r="D22" s="15" t="inlineStr">
        <is>
          <t>Như Bảng 2.4 (bản trước); dùng cho mọi hướng – thiên an toàn</t>
        </is>
      </c>
      <c r="E22" s="10" t="n"/>
      <c r="F22" s="10" t="n"/>
      <c r="G22" s="10" t="n"/>
      <c r="H22" s="10" t="n"/>
      <c r="I22" s="11" t="n"/>
    </row>
    <row r="23">
      <c r="A23" s="12" t="inlineStr">
        <is>
          <t>Đà gió D khi hồ ở MNLTK</t>
        </is>
      </c>
      <c r="B23" s="16" t="n">
        <v>3025</v>
      </c>
      <c r="C23" s="14" t="inlineStr">
        <is>
          <t>m</t>
        </is>
      </c>
      <c r="D23" s="15" t="inlineStr">
        <is>
          <t>Như trên (ứng với MNLTK +77,43 của hồ sơ BCNCKT)</t>
        </is>
      </c>
      <c r="E23" s="10" t="n"/>
      <c r="F23" s="10" t="n"/>
      <c r="G23" s="10" t="n"/>
      <c r="H23" s="10" t="n"/>
      <c r="I23" s="11" t="n"/>
    </row>
    <row r="24">
      <c r="A24" s="12" t="inlineStr">
        <is>
          <t>Hệ số mái thượng lưu m</t>
        </is>
      </c>
      <c r="B24" s="17" t="n">
        <v>3</v>
      </c>
      <c r="C24" s="14" t="inlineStr"/>
      <c r="D24" s="15" t="inlineStr">
        <is>
          <t>Bảng ksp dưới đây dùng hàng m = 3 ÷ 5</t>
        </is>
      </c>
      <c r="E24" s="10" t="n"/>
      <c r="F24" s="10" t="n"/>
      <c r="G24" s="10" t="n"/>
      <c r="H24" s="10" t="n"/>
      <c r="I24" s="11" t="n"/>
    </row>
    <row r="25">
      <c r="A25" s="12" t="inlineStr">
        <is>
          <t>Độ nhám lớp gia cố mái Δ</t>
        </is>
      </c>
      <c r="B25" s="18" t="n">
        <v>0.02</v>
      </c>
      <c r="C25" s="14" t="inlineStr">
        <is>
          <t>m</t>
        </is>
      </c>
      <c r="D25" s="15" t="inlineStr">
        <is>
          <t>Mái gia cố đá xây</t>
        </is>
      </c>
      <c r="E25" s="10" t="n"/>
      <c r="F25" s="10" t="n"/>
      <c r="G25" s="10" t="n"/>
      <c r="H25" s="10" t="n"/>
      <c r="I25" s="11" t="n"/>
    </row>
    <row r="26">
      <c r="A26" s="12" t="inlineStr">
        <is>
          <t>Phương vị pháp tuyến mái thượng lưu</t>
        </is>
      </c>
      <c r="B26" s="17" t="n">
        <v>6.2</v>
      </c>
      <c r="C26" s="14" t="inlineStr">
        <is>
          <t>°</t>
        </is>
      </c>
      <c r="D26" s="15" t="inlineStr">
        <is>
          <t>Tuyến đập N96,2°E, lòng hồ phía Bắc</t>
        </is>
      </c>
      <c r="E26" s="10" t="n"/>
      <c r="F26" s="10" t="n"/>
      <c r="G26" s="10" t="n"/>
      <c r="H26" s="10" t="n"/>
      <c r="I26" s="11" t="n"/>
    </row>
    <row r="28">
      <c r="A28" s="8" t="inlineStr">
        <is>
          <t>D. CAO TRÌNH CÔNG TRÌNH (đánh giá theo TCVN 8216:2018 điều 10.1.5)</t>
        </is>
      </c>
    </row>
    <row r="29">
      <c r="A29" s="9" t="inlineStr">
        <is>
          <t>Thông số</t>
        </is>
      </c>
      <c r="B29" s="9" t="inlineStr">
        <is>
          <t>Giá trị</t>
        </is>
      </c>
      <c r="C29" s="9" t="inlineStr">
        <is>
          <t>Đơn vị</t>
        </is>
      </c>
      <c r="D29" s="9" t="inlineStr">
        <is>
          <t>Ghi chú, nguồn</t>
        </is>
      </c>
      <c r="E29" s="10" t="n"/>
      <c r="F29" s="10" t="n"/>
      <c r="G29" s="10" t="n"/>
      <c r="H29" s="10" t="n"/>
      <c r="I29" s="11" t="n"/>
    </row>
    <row r="30">
      <c r="A30" s="12" t="inlineStr">
        <is>
          <t>Đỉnh đập hiện trạng (hồ sơ thiết kế)</t>
        </is>
      </c>
      <c r="B30" s="13" t="n">
        <v>78.5</v>
      </c>
      <c r="C30" s="14" t="inlineStr">
        <is>
          <t>m</t>
        </is>
      </c>
      <c r="D30" s="15" t="inlineStr">
        <is>
          <t>Khảo sát đo +78,32 ÷ +78,44 – chỉ để đối chiếu</t>
        </is>
      </c>
      <c r="E30" s="10" t="n"/>
      <c r="F30" s="10" t="n"/>
      <c r="G30" s="10" t="n"/>
      <c r="H30" s="10" t="n"/>
      <c r="I30" s="11" t="n"/>
    </row>
    <row r="31">
      <c r="A31" s="12" t="inlineStr">
        <is>
          <t>Đỉnh tường chắn sóng</t>
        </is>
      </c>
      <c r="B31" s="13" t="n">
        <v>79.40000000000001</v>
      </c>
      <c r="C31" s="14" t="inlineStr">
        <is>
          <t>m</t>
        </is>
      </c>
      <c r="D31" s="15" t="inlineStr">
        <is>
          <t>Tường chắn sóng thẳng đứng phía thượng lưu – giữ nguyên</t>
        </is>
      </c>
      <c r="E31" s="10" t="n"/>
      <c r="F31" s="10" t="n"/>
      <c r="G31" s="10" t="n"/>
      <c r="H31" s="10" t="n"/>
      <c r="I31" s="11" t="n"/>
    </row>
    <row r="32">
      <c r="A32" s="12" t="inlineStr">
        <is>
          <t>Đỉnh đập sau sửa chữa</t>
        </is>
      </c>
      <c r="B32" s="13" t="n">
        <v>78.84999999999999</v>
      </c>
      <c r="C32" s="14" t="inlineStr">
        <is>
          <t>m</t>
        </is>
      </c>
      <c r="D32" s="15" t="inlineStr">
        <is>
          <t>Phương án chọn của đồ án</t>
        </is>
      </c>
      <c r="E32" s="10" t="n"/>
      <c r="F32" s="10" t="n"/>
      <c r="G32" s="10" t="n"/>
      <c r="H32" s="10" t="n"/>
      <c r="I32" s="11" t="n"/>
    </row>
    <row r="33">
      <c r="A33" s="12" t="inlineStr">
        <is>
          <t>Đỉnh đập không kể tường cao hơn MNLKT tối thiểu</t>
        </is>
      </c>
      <c r="B33" s="13" t="n">
        <v>0.3</v>
      </c>
      <c r="C33" s="14" t="inlineStr">
        <is>
          <t>m</t>
        </is>
      </c>
      <c r="D33" s="15" t="inlineStr">
        <is>
          <t>Điều 10.1.5</t>
        </is>
      </c>
      <c r="E33" s="10" t="n"/>
      <c r="F33" s="10" t="n"/>
      <c r="G33" s="10" t="n"/>
      <c r="H33" s="10" t="n"/>
      <c r="I33" s="11" t="n"/>
    </row>
    <row r="34">
      <c r="A34" s="12" t="inlineStr">
        <is>
          <t>Tường cao hơn đỉnh đập tối đa</t>
        </is>
      </c>
      <c r="B34" s="13" t="n">
        <v>1.2</v>
      </c>
      <c r="C34" s="14" t="inlineStr">
        <is>
          <t>m</t>
        </is>
      </c>
      <c r="D34" s="15" t="inlineStr">
        <is>
          <t>Điều 10.1.5</t>
        </is>
      </c>
      <c r="E34" s="10" t="n"/>
      <c r="F34" s="10" t="n"/>
      <c r="G34" s="10" t="n"/>
      <c r="H34" s="10" t="n"/>
      <c r="I34" s="11" t="n"/>
    </row>
    <row r="36">
      <c r="A36" s="8" t="inlineStr">
        <is>
          <t>E. VẬN TỐC GIÓ LỚN NHẤT THEO HƯỚNG – TRẠM PHAN THIẾT (Bảng 1.4 thuyết minh), m/s</t>
        </is>
      </c>
      <c r="H36" s="7" t="inlineStr">
        <is>
          <t>Tần suất gió theo TCVN 8216:2018 Bảng 4 (cấp II): MNDBT – P = 4%; MNLTK – P = 50% (gió bình quân lớn nhất); MNLKT – không xét sóng.</t>
        </is>
      </c>
    </row>
    <row r="37" ht="32" customHeight="1">
      <c r="A37" s="9" t="inlineStr">
        <is>
          <t>Hướng gió</t>
        </is>
      </c>
      <c r="B37" s="9" t="inlineStr">
        <is>
          <t>Mã</t>
        </is>
      </c>
      <c r="C37" s="9" t="inlineStr">
        <is>
          <t>Phương vị (°)</t>
        </is>
      </c>
      <c r="D37" s="9" t="inlineStr">
        <is>
          <t>V P = 4%</t>
        </is>
      </c>
      <c r="E37" s="9" t="inlineStr">
        <is>
          <t>V P = 50%</t>
        </is>
      </c>
      <c r="F37" s="9" t="inlineStr">
        <is>
          <t>Góc tới α (°)</t>
        </is>
      </c>
      <c r="G37" s="9" t="inlineStr">
        <is>
          <t>Thổi vào mái TL (α ≤ 60°)?</t>
        </is>
      </c>
    </row>
    <row r="38">
      <c r="A38" s="12" t="inlineStr">
        <is>
          <t>Bắc</t>
        </is>
      </c>
      <c r="B38" s="14" t="inlineStr">
        <is>
          <t>N</t>
        </is>
      </c>
      <c r="C38" s="19" t="n">
        <v>0</v>
      </c>
      <c r="D38" s="20" t="n">
        <v>13.8</v>
      </c>
      <c r="E38" s="20" t="n">
        <v>7.6</v>
      </c>
      <c r="F38" s="21">
        <f>ABS(MOD(C38-PT_mai+180,360)-180)</f>
        <v/>
      </c>
      <c r="G38" s="14">
        <f>IF(F38&lt;=60,"Có – tính","Không")</f>
        <v/>
      </c>
    </row>
    <row r="39">
      <c r="A39" s="12" t="inlineStr">
        <is>
          <t>Đông Bắc</t>
        </is>
      </c>
      <c r="B39" s="14" t="inlineStr">
        <is>
          <t>NE</t>
        </is>
      </c>
      <c r="C39" s="19" t="n">
        <v>45</v>
      </c>
      <c r="D39" s="20" t="n">
        <v>18.6</v>
      </c>
      <c r="E39" s="20" t="n">
        <v>11.9</v>
      </c>
      <c r="F39" s="21">
        <f>ABS(MOD(C39-PT_mai+180,360)-180)</f>
        <v/>
      </c>
      <c r="G39" s="14">
        <f>IF(F39&lt;=60,"Có – tính","Không")</f>
        <v/>
      </c>
    </row>
    <row r="40">
      <c r="A40" s="12" t="inlineStr">
        <is>
          <t>Đông</t>
        </is>
      </c>
      <c r="B40" s="14" t="inlineStr">
        <is>
          <t>E</t>
        </is>
      </c>
      <c r="C40" s="19" t="n">
        <v>90</v>
      </c>
      <c r="D40" s="20" t="n">
        <v>20.9</v>
      </c>
      <c r="E40" s="20" t="n">
        <v>15.2</v>
      </c>
      <c r="F40" s="21">
        <f>ABS(MOD(C40-PT_mai+180,360)-180)</f>
        <v/>
      </c>
      <c r="G40" s="14">
        <f>IF(F40&lt;=60,"Có – tính","Không")</f>
        <v/>
      </c>
    </row>
    <row r="41">
      <c r="A41" s="12" t="inlineStr">
        <is>
          <t>Đông Nam</t>
        </is>
      </c>
      <c r="B41" s="14" t="inlineStr">
        <is>
          <t>SE</t>
        </is>
      </c>
      <c r="C41" s="19" t="n">
        <v>135</v>
      </c>
      <c r="D41" s="20" t="n">
        <v>15.8</v>
      </c>
      <c r="E41" s="20" t="n">
        <v>11.4</v>
      </c>
      <c r="F41" s="21">
        <f>ABS(MOD(C41-PT_mai+180,360)-180)</f>
        <v/>
      </c>
      <c r="G41" s="14">
        <f>IF(F41&lt;=60,"Có – tính","Không")</f>
        <v/>
      </c>
    </row>
    <row r="42">
      <c r="A42" s="12" t="inlineStr">
        <is>
          <t>Nam</t>
        </is>
      </c>
      <c r="B42" s="14" t="inlineStr">
        <is>
          <t>S</t>
        </is>
      </c>
      <c r="C42" s="19" t="n">
        <v>180</v>
      </c>
      <c r="D42" s="20" t="n">
        <v>15.6</v>
      </c>
      <c r="E42" s="20" t="n">
        <v>11</v>
      </c>
      <c r="F42" s="21">
        <f>ABS(MOD(C42-PT_mai+180,360)-180)</f>
        <v/>
      </c>
      <c r="G42" s="14">
        <f>IF(F42&lt;=60,"Có – tính","Không")</f>
        <v/>
      </c>
    </row>
    <row r="43">
      <c r="A43" s="12" t="inlineStr">
        <is>
          <t>Tây Nam</t>
        </is>
      </c>
      <c r="B43" s="14" t="inlineStr">
        <is>
          <t>SW</t>
        </is>
      </c>
      <c r="C43" s="19" t="n">
        <v>225</v>
      </c>
      <c r="D43" s="20" t="n">
        <v>18.9</v>
      </c>
      <c r="E43" s="20" t="n">
        <v>13</v>
      </c>
      <c r="F43" s="21">
        <f>ABS(MOD(C43-PT_mai+180,360)-180)</f>
        <v/>
      </c>
      <c r="G43" s="14">
        <f>IF(F43&lt;=60,"Có – tính","Không")</f>
        <v/>
      </c>
    </row>
    <row r="44">
      <c r="A44" s="12" t="inlineStr">
        <is>
          <t>Tây</t>
        </is>
      </c>
      <c r="B44" s="14" t="inlineStr">
        <is>
          <t>W</t>
        </is>
      </c>
      <c r="C44" s="19" t="n">
        <v>270</v>
      </c>
      <c r="D44" s="20" t="n">
        <v>20.3</v>
      </c>
      <c r="E44" s="20" t="n">
        <v>14.5</v>
      </c>
      <c r="F44" s="21">
        <f>ABS(MOD(C44-PT_mai+180,360)-180)</f>
        <v/>
      </c>
      <c r="G44" s="14">
        <f>IF(F44&lt;=60,"Có – tính","Không")</f>
        <v/>
      </c>
    </row>
    <row r="45">
      <c r="A45" s="12" t="inlineStr">
        <is>
          <t>Tây Bắc</t>
        </is>
      </c>
      <c r="B45" s="14" t="inlineStr">
        <is>
          <t>NW</t>
        </is>
      </c>
      <c r="C45" s="19" t="n">
        <v>315</v>
      </c>
      <c r="D45" s="20" t="n">
        <v>15.6</v>
      </c>
      <c r="E45" s="20" t="n">
        <v>8.9</v>
      </c>
      <c r="F45" s="21">
        <f>ABS(MOD(C45-PT_mai+180,360)-180)</f>
        <v/>
      </c>
      <c r="G45" s="14">
        <f>IF(F45&lt;=60,"Có – tính","Không")</f>
        <v/>
      </c>
    </row>
    <row r="48">
      <c r="A48" s="8" t="inlineStr">
        <is>
          <t>F. BẢNG TRA (TCVN 8421:2010) – đồ thị đã đọc thành bảng, nội suy tuyến tính, ngoài bảng lấy giá trị biên</t>
        </is>
      </c>
    </row>
    <row r="49">
      <c r="A49" s="22" t="inlineStr">
        <is>
          <t>Hệ số kl quy đổi gió về mặt nước, địa hình dạng A (Bảng A3)</t>
        </is>
      </c>
    </row>
    <row r="50">
      <c r="A50" s="23" t="inlineStr">
        <is>
          <t>Vl (m/s)</t>
        </is>
      </c>
      <c r="B50" s="24" t="n">
        <v>10</v>
      </c>
      <c r="C50" s="24" t="n">
        <v>15</v>
      </c>
      <c r="D50" s="24" t="n">
        <v>20</v>
      </c>
      <c r="E50" s="24" t="n">
        <v>25</v>
      </c>
      <c r="F50" s="24" t="n">
        <v>30</v>
      </c>
      <c r="G50" s="24" t="n">
        <v>35</v>
      </c>
      <c r="H50" s="24" t="n">
        <v>40</v>
      </c>
    </row>
    <row r="51">
      <c r="A51" s="23" t="inlineStr">
        <is>
          <t>kl</t>
        </is>
      </c>
      <c r="B51" s="25" t="n">
        <v>1.1</v>
      </c>
      <c r="C51" s="25" t="n">
        <v>1.1</v>
      </c>
      <c r="D51" s="25" t="n">
        <v>1.09</v>
      </c>
      <c r="E51" s="25" t="n">
        <v>1.09</v>
      </c>
      <c r="F51" s="25" t="n">
        <v>1.09</v>
      </c>
      <c r="G51" s="25" t="n">
        <v>1.09</v>
      </c>
      <c r="H51" s="25" t="n">
        <v>1.08</v>
      </c>
    </row>
    <row r="53">
      <c r="A53" s="22" t="inlineStr">
        <is>
          <t>Hệ số kα theo góc tới α (Bảng 9)</t>
        </is>
      </c>
    </row>
    <row r="54">
      <c r="A54" s="23" t="inlineStr">
        <is>
          <t>α (°)</t>
        </is>
      </c>
      <c r="B54" s="24" t="n">
        <v>0</v>
      </c>
      <c r="C54" s="24" t="n">
        <v>10</v>
      </c>
      <c r="D54" s="24" t="n">
        <v>20</v>
      </c>
      <c r="E54" s="24" t="n">
        <v>30</v>
      </c>
      <c r="F54" s="24" t="n">
        <v>40</v>
      </c>
      <c r="G54" s="24" t="n">
        <v>50</v>
      </c>
      <c r="H54" s="24" t="n">
        <v>60</v>
      </c>
    </row>
    <row r="55">
      <c r="A55" s="23" t="inlineStr">
        <is>
          <t>kα</t>
        </is>
      </c>
      <c r="B55" s="25" t="n">
        <v>1</v>
      </c>
      <c r="C55" s="25" t="n">
        <v>0.98</v>
      </c>
      <c r="D55" s="25" t="n">
        <v>0.96</v>
      </c>
      <c r="E55" s="25" t="n">
        <v>0.92</v>
      </c>
      <c r="F55" s="25" t="n">
        <v>0.87</v>
      </c>
      <c r="G55" s="25" t="n">
        <v>0.82</v>
      </c>
      <c r="H55" s="25" t="n">
        <v>0.76</v>
      </c>
    </row>
    <row r="57">
      <c r="A57" s="22" t="inlineStr">
        <is>
          <t>Hệ số nhám kr theo Δ/h1% (bảng hệ số nhám, thấm)</t>
        </is>
      </c>
    </row>
    <row r="58">
      <c r="A58" s="23" t="inlineStr">
        <is>
          <t>Δ/h1%</t>
        </is>
      </c>
      <c r="B58" s="26" t="n">
        <v>0.002</v>
      </c>
      <c r="C58" s="26" t="n">
        <v>0.0075</v>
      </c>
      <c r="D58" s="26" t="n">
        <v>0.02</v>
      </c>
      <c r="E58" s="26" t="n">
        <v>0.05</v>
      </c>
      <c r="F58" s="26" t="n">
        <v>0.1</v>
      </c>
      <c r="G58" s="26" t="n">
        <v>0.2</v>
      </c>
    </row>
    <row r="59">
      <c r="A59" s="23" t="inlineStr">
        <is>
          <t>kr</t>
        </is>
      </c>
      <c r="B59" s="25" t="n">
        <v>1</v>
      </c>
      <c r="C59" s="25" t="n">
        <v>0.95</v>
      </c>
      <c r="D59" s="25" t="n">
        <v>0.9</v>
      </c>
      <c r="E59" s="25" t="n">
        <v>0.8</v>
      </c>
      <c r="F59" s="25" t="n">
        <v>0.75</v>
      </c>
      <c r="G59" s="25" t="n">
        <v>0.7</v>
      </c>
    </row>
    <row r="61">
      <c r="A61" s="22" t="inlineStr">
        <is>
          <t>Hệ số thấm kp theo Δ/h1% (cùng bảng)</t>
        </is>
      </c>
    </row>
    <row r="62">
      <c r="A62" s="23" t="inlineStr">
        <is>
          <t>Δ/h1%</t>
        </is>
      </c>
      <c r="B62" s="26" t="n">
        <v>0.002</v>
      </c>
      <c r="C62" s="26" t="n">
        <v>0.0075</v>
      </c>
      <c r="D62" s="26" t="n">
        <v>0.02</v>
      </c>
      <c r="E62" s="26" t="n">
        <v>0.05</v>
      </c>
      <c r="F62" s="26" t="n">
        <v>0.1</v>
      </c>
      <c r="G62" s="26" t="n">
        <v>0.2</v>
      </c>
    </row>
    <row r="63">
      <c r="A63" s="23" t="inlineStr">
        <is>
          <t>kp</t>
        </is>
      </c>
      <c r="B63" s="25" t="n">
        <v>0.9</v>
      </c>
      <c r="C63" s="25" t="n">
        <v>0.85</v>
      </c>
      <c r="D63" s="25" t="n">
        <v>0.8</v>
      </c>
      <c r="E63" s="25" t="n">
        <v>0.7</v>
      </c>
      <c r="F63" s="25" t="n">
        <v>0.6</v>
      </c>
      <c r="G63" s="25" t="n">
        <v>0.5</v>
      </c>
    </row>
    <row r="65">
      <c r="A65" s="22" t="inlineStr">
        <is>
          <t>Hệ số ksp theo V, hàng mái m = 3 ÷ 5 (m &lt; 3: 1,1 / 1,1 / 1,4; m &gt; 5: 0,6 / 1,2 / 1,6)</t>
        </is>
      </c>
    </row>
    <row r="66">
      <c r="A66" s="23" t="inlineStr">
        <is>
          <t>V (m/s)</t>
        </is>
      </c>
      <c r="B66" s="24" t="n">
        <v>5</v>
      </c>
      <c r="C66" s="24" t="n">
        <v>10</v>
      </c>
      <c r="D66" s="24" t="n">
        <v>20</v>
      </c>
    </row>
    <row r="67">
      <c r="A67" s="23" t="inlineStr">
        <is>
          <t>ksp</t>
        </is>
      </c>
      <c r="B67" s="25" t="n">
        <v>0.8</v>
      </c>
      <c r="C67" s="25" t="n">
        <v>1.1</v>
      </c>
      <c r="D67" s="25" t="n">
        <v>1.5</v>
      </c>
    </row>
    <row r="69">
      <c r="A69" s="22" t="inlineStr">
        <is>
          <t>Hệ số K1% theo gD/V² (đồ thị Hình 2)</t>
        </is>
      </c>
    </row>
    <row r="70">
      <c r="A70" s="23" t="inlineStr">
        <is>
          <t>gD/V²</t>
        </is>
      </c>
      <c r="B70" s="24" t="n">
        <v>20</v>
      </c>
      <c r="C70" s="24" t="n">
        <v>100</v>
      </c>
      <c r="D70" s="24" t="n">
        <v>153</v>
      </c>
      <c r="E70" s="24" t="n">
        <v>514</v>
      </c>
      <c r="F70" s="24" t="n">
        <v>1000</v>
      </c>
      <c r="G70" s="24" t="n">
        <v>5000</v>
      </c>
    </row>
    <row r="71">
      <c r="A71" s="23" t="inlineStr">
        <is>
          <t>K1%</t>
        </is>
      </c>
      <c r="B71" s="25" t="n">
        <v>2</v>
      </c>
      <c r="C71" s="25" t="n">
        <v>2.08</v>
      </c>
      <c r="D71" s="25" t="n">
        <v>2.1</v>
      </c>
      <c r="E71" s="25" t="n">
        <v>2.13</v>
      </c>
      <c r="F71" s="25" t="n">
        <v>2.15</v>
      </c>
      <c r="G71" s="25" t="n">
        <v>2.18</v>
      </c>
    </row>
    <row r="72">
      <c r="A72" s="23" t="inlineStr">
        <is>
          <t>lg(gD/V²)</t>
        </is>
      </c>
      <c r="B72" s="27">
        <f>LOG10(B70)</f>
        <v/>
      </c>
      <c r="C72" s="27">
        <f>LOG10(C70)</f>
        <v/>
      </c>
      <c r="D72" s="27">
        <f>LOG10(D70)</f>
        <v/>
      </c>
      <c r="E72" s="27">
        <f>LOG10(E70)</f>
        <v/>
      </c>
      <c r="F72" s="27">
        <f>LOG10(F70)</f>
        <v/>
      </c>
      <c r="G72" s="27">
        <f>LOG10(G70)</f>
        <v/>
      </c>
    </row>
    <row r="74">
      <c r="A74" s="22" t="inlineStr">
        <is>
          <t>Hệ số krun theo λ̄/h1%, mái m = 3 (đồ thị Hình 10)</t>
        </is>
      </c>
    </row>
    <row r="75">
      <c r="A75" s="23" t="inlineStr">
        <is>
          <t>λ̄/h1%</t>
        </is>
      </c>
      <c r="B75" s="24" t="n">
        <v>5</v>
      </c>
      <c r="C75" s="24" t="n">
        <v>8</v>
      </c>
      <c r="D75" s="24" t="n">
        <v>10</v>
      </c>
      <c r="E75" s="24" t="n">
        <v>12</v>
      </c>
      <c r="F75" s="24" t="n">
        <v>15</v>
      </c>
      <c r="G75" s="24" t="n">
        <v>20</v>
      </c>
      <c r="H75" s="24" t="n">
        <v>25</v>
      </c>
    </row>
    <row r="76">
      <c r="A76" s="23" t="inlineStr">
        <is>
          <t>krun</t>
        </is>
      </c>
      <c r="B76" s="25" t="n">
        <v>1.2</v>
      </c>
      <c r="C76" s="25" t="n">
        <v>1.4</v>
      </c>
      <c r="D76" s="25" t="n">
        <v>1.48</v>
      </c>
      <c r="E76" s="25" t="n">
        <v>1.57</v>
      </c>
      <c r="F76" s="25" t="n">
        <v>1.7</v>
      </c>
      <c r="G76" s="25" t="n">
        <v>1.84</v>
      </c>
      <c r="H76" s="25" t="n">
        <v>1.95</v>
      </c>
    </row>
  </sheetData>
  <mergeCells count="24">
    <mergeCell ref="D13:I13"/>
    <mergeCell ref="D32:I32"/>
    <mergeCell ref="D16:I16"/>
    <mergeCell ref="D7:I7"/>
    <mergeCell ref="D9:I9"/>
    <mergeCell ref="D30:I30"/>
    <mergeCell ref="D25:I25"/>
    <mergeCell ref="D8:I8"/>
    <mergeCell ref="D15:I15"/>
    <mergeCell ref="D33:I33"/>
    <mergeCell ref="D24:I24"/>
    <mergeCell ref="D14:I14"/>
    <mergeCell ref="D29:I29"/>
    <mergeCell ref="D5:I5"/>
    <mergeCell ref="D23:I23"/>
    <mergeCell ref="D20:I20"/>
    <mergeCell ref="D26:I26"/>
    <mergeCell ref="D19:I19"/>
    <mergeCell ref="D34:I34"/>
    <mergeCell ref="D10:I10"/>
    <mergeCell ref="D22:I22"/>
    <mergeCell ref="D31:I31"/>
    <mergeCell ref="D6:I6"/>
    <mergeCell ref="D21:I21"/>
  </mergeCells>
  <printOptions horizontalCentered="1"/>
  <pageMargins left="0.4" right="0.4" top="0.5" bottom="0.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 fitToPage="1"/>
  </sheetPr>
  <dimension ref="A1:I3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8" customWidth="1" min="9" max="9"/>
  </cols>
  <sheetData>
    <row r="1">
      <c r="A1" s="6" t="inlineStr">
        <is>
          <t>TÍNH SÓNG DO GIÓ VÀ CAO TRÌNH ĐỈNH YÊU CẦU Z₁, Z₂ – TỪNG BƯỚC (TCVN 8421:2010)</t>
        </is>
      </c>
    </row>
    <row r="2">
      <c r="A2" s="7" t="inlineStr">
        <is>
          <t>Các cột cùng công thức; muốn tính hướng khác: sửa mã hướng (dòng 4) theo cột “Mã” ở SoLieu mục E.</t>
        </is>
      </c>
    </row>
    <row r="3" ht="32" customHeight="1">
      <c r="A3" s="9" t="inlineStr">
        <is>
          <t>Đại lượng</t>
        </is>
      </c>
      <c r="B3" s="9" t="inlineStr">
        <is>
          <t>Đơn vị</t>
        </is>
      </c>
      <c r="C3" s="9" t="inlineStr">
        <is>
          <t>Bắc – MNDBT</t>
        </is>
      </c>
      <c r="D3" s="9" t="inlineStr">
        <is>
          <t>Bắc – MNLTK</t>
        </is>
      </c>
      <c r="E3" s="9" t="inlineStr">
        <is>
          <t>Đông Bắc – MNDBT</t>
        </is>
      </c>
      <c r="F3" s="9" t="inlineStr">
        <is>
          <t>Đông Bắc – MNLTK</t>
        </is>
      </c>
      <c r="G3" s="9" t="inlineStr">
        <is>
          <t>Tây Bắc – MNDBT</t>
        </is>
      </c>
      <c r="H3" s="9" t="inlineStr">
        <is>
          <t>Tây Bắc – MNLTK</t>
        </is>
      </c>
      <c r="I3" s="9" t="inlineStr">
        <is>
          <t>Công thức, nguồn</t>
        </is>
      </c>
    </row>
    <row r="4">
      <c r="A4" s="28" t="inlineStr">
        <is>
          <t>Mã hướng gió</t>
        </is>
      </c>
      <c r="B4" s="14" t="inlineStr"/>
      <c r="C4" s="29" t="inlineStr">
        <is>
          <t>N</t>
        </is>
      </c>
      <c r="D4" s="29" t="inlineStr">
        <is>
          <t>N</t>
        </is>
      </c>
      <c r="E4" s="29" t="inlineStr">
        <is>
          <t>NE</t>
        </is>
      </c>
      <c r="F4" s="29" t="inlineStr">
        <is>
          <t>NE</t>
        </is>
      </c>
      <c r="G4" s="29" t="inlineStr">
        <is>
          <t>NW</t>
        </is>
      </c>
      <c r="H4" s="29" t="inlineStr">
        <is>
          <t>NW</t>
        </is>
      </c>
      <c r="I4" s="30" t="inlineStr"/>
    </row>
    <row r="5">
      <c r="A5" s="28" t="inlineStr">
        <is>
          <t>Trường hợp (Z1 – MNDBT, gió P = 4%; Z2 – MNLTK, gió P = 50%)</t>
        </is>
      </c>
      <c r="B5" s="14" t="inlineStr"/>
      <c r="C5" s="29" t="inlineStr">
        <is>
          <t>Z1</t>
        </is>
      </c>
      <c r="D5" s="29" t="inlineStr">
        <is>
          <t>Z2</t>
        </is>
      </c>
      <c r="E5" s="29" t="inlineStr">
        <is>
          <t>Z1</t>
        </is>
      </c>
      <c r="F5" s="29" t="inlineStr">
        <is>
          <t>Z2</t>
        </is>
      </c>
      <c r="G5" s="29" t="inlineStr">
        <is>
          <t>Z1</t>
        </is>
      </c>
      <c r="H5" s="29" t="inlineStr">
        <is>
          <t>Z2</t>
        </is>
      </c>
      <c r="I5" s="30" t="inlineStr"/>
    </row>
    <row r="6">
      <c r="A6" s="28" t="inlineStr">
        <is>
          <t>Mực nước tính toán Z</t>
        </is>
      </c>
      <c r="B6" s="14" t="inlineStr">
        <is>
          <t>m</t>
        </is>
      </c>
      <c r="C6" s="31">
        <f>IF(C5="Z1",MN_DBT,MN_LTK)</f>
        <v/>
      </c>
      <c r="D6" s="31">
        <f>IF(D5="Z1",MN_DBT,MN_LTK)</f>
        <v/>
      </c>
      <c r="E6" s="31">
        <f>IF(E5="Z1",MN_DBT,MN_LTK)</f>
        <v/>
      </c>
      <c r="F6" s="31">
        <f>IF(F5="Z1",MN_DBT,MN_LTK)</f>
        <v/>
      </c>
      <c r="G6" s="31">
        <f>IF(G5="Z1",MN_DBT,MN_LTK)</f>
        <v/>
      </c>
      <c r="H6" s="31">
        <f>IF(H5="Z1",MN_DBT,MN_LTK)</f>
        <v/>
      </c>
      <c r="I6" s="30" t="inlineStr">
        <is>
          <t>SoLieu mục A</t>
        </is>
      </c>
    </row>
    <row r="7">
      <c r="A7" s="28" t="inlineStr">
        <is>
          <t>Chiều sâu nước trước đập H</t>
        </is>
      </c>
      <c r="B7" s="14" t="inlineStr">
        <is>
          <t>m</t>
        </is>
      </c>
      <c r="C7" s="31">
        <f>C6-Z_day</f>
        <v/>
      </c>
      <c r="D7" s="31">
        <f>D6-Z_day</f>
        <v/>
      </c>
      <c r="E7" s="31">
        <f>E6-Z_day</f>
        <v/>
      </c>
      <c r="F7" s="31">
        <f>F6-Z_day</f>
        <v/>
      </c>
      <c r="G7" s="31">
        <f>G6-Z_day</f>
        <v/>
      </c>
      <c r="H7" s="31">
        <f>H6-Z_day</f>
        <v/>
      </c>
      <c r="I7" s="30" t="inlineStr">
        <is>
          <t>H = Z − Z đáy</t>
        </is>
      </c>
    </row>
    <row r="8">
      <c r="A8" s="28" t="inlineStr">
        <is>
          <t>Vận tốc gió trạm Vl</t>
        </is>
      </c>
      <c r="B8" s="14" t="inlineStr">
        <is>
          <t>m/s</t>
        </is>
      </c>
      <c r="C8" s="32">
        <f>IF(C5="Z1",INDEX(Gio_V4,MATCH(C4,Gio_ma,0)),INDEX(Gio_V50,MATCH(C4,Gio_ma,0)))</f>
        <v/>
      </c>
      <c r="D8" s="32">
        <f>IF(D5="Z1",INDEX(Gio_V4,MATCH(D4,Gio_ma,0)),INDEX(Gio_V50,MATCH(D4,Gio_ma,0)))</f>
        <v/>
      </c>
      <c r="E8" s="32">
        <f>IF(E5="Z1",INDEX(Gio_V4,MATCH(E4,Gio_ma,0)),INDEX(Gio_V50,MATCH(E4,Gio_ma,0)))</f>
        <v/>
      </c>
      <c r="F8" s="32">
        <f>IF(F5="Z1",INDEX(Gio_V4,MATCH(F4,Gio_ma,0)),INDEX(Gio_V50,MATCH(F4,Gio_ma,0)))</f>
        <v/>
      </c>
      <c r="G8" s="32">
        <f>IF(G5="Z1",INDEX(Gio_V4,MATCH(G4,Gio_ma,0)),INDEX(Gio_V50,MATCH(G4,Gio_ma,0)))</f>
        <v/>
      </c>
      <c r="H8" s="32">
        <f>IF(H5="Z1",INDEX(Gio_V4,MATCH(H4,Gio_ma,0)),INDEX(Gio_V50,MATCH(H4,Gio_ma,0)))</f>
        <v/>
      </c>
      <c r="I8" s="30" t="inlineStr">
        <is>
          <t>Gió P = 4% (Z1), P = 50% (Z2) – SoLieu mục E</t>
        </is>
      </c>
    </row>
    <row r="9">
      <c r="A9" s="28" t="inlineStr">
        <is>
          <t>Hệ số quy đổi kl</t>
        </is>
      </c>
      <c r="B9" s="14" t="inlineStr"/>
      <c r="C9" s="33">
        <f>IF(C8&lt;=INDEX(KL_V,1),INDEX(KL_k,1),IF(C8&gt;=INDEX(KL_V,COUNT(KL_V)),INDEX(KL_k,COUNT(KL_V)),INDEX(KL_k,MATCH(C8,KL_V,1))+(C8-INDEX(KL_V,MATCH(C8,KL_V,1)))*(INDEX(KL_k,MATCH(C8,KL_V,1)+1)-INDEX(KL_k,MATCH(C8,KL_V,1)))/(INDEX(KL_V,MATCH(C8,KL_V,1)+1)-INDEX(KL_V,MATCH(C8,KL_V,1)))))</f>
        <v/>
      </c>
      <c r="D9" s="33">
        <f>IF(D8&lt;=INDEX(KL_V,1),INDEX(KL_k,1),IF(D8&gt;=INDEX(KL_V,COUNT(KL_V)),INDEX(KL_k,COUNT(KL_V)),INDEX(KL_k,MATCH(D8,KL_V,1))+(D8-INDEX(KL_V,MATCH(D8,KL_V,1)))*(INDEX(KL_k,MATCH(D8,KL_V,1)+1)-INDEX(KL_k,MATCH(D8,KL_V,1)))/(INDEX(KL_V,MATCH(D8,KL_V,1)+1)-INDEX(KL_V,MATCH(D8,KL_V,1)))))</f>
        <v/>
      </c>
      <c r="E9" s="33">
        <f>IF(E8&lt;=INDEX(KL_V,1),INDEX(KL_k,1),IF(E8&gt;=INDEX(KL_V,COUNT(KL_V)),INDEX(KL_k,COUNT(KL_V)),INDEX(KL_k,MATCH(E8,KL_V,1))+(E8-INDEX(KL_V,MATCH(E8,KL_V,1)))*(INDEX(KL_k,MATCH(E8,KL_V,1)+1)-INDEX(KL_k,MATCH(E8,KL_V,1)))/(INDEX(KL_V,MATCH(E8,KL_V,1)+1)-INDEX(KL_V,MATCH(E8,KL_V,1)))))</f>
        <v/>
      </c>
      <c r="F9" s="33">
        <f>IF(F8&lt;=INDEX(KL_V,1),INDEX(KL_k,1),IF(F8&gt;=INDEX(KL_V,COUNT(KL_V)),INDEX(KL_k,COUNT(KL_V)),INDEX(KL_k,MATCH(F8,KL_V,1))+(F8-INDEX(KL_V,MATCH(F8,KL_V,1)))*(INDEX(KL_k,MATCH(F8,KL_V,1)+1)-INDEX(KL_k,MATCH(F8,KL_V,1)))/(INDEX(KL_V,MATCH(F8,KL_V,1)+1)-INDEX(KL_V,MATCH(F8,KL_V,1)))))</f>
        <v/>
      </c>
      <c r="G9" s="33">
        <f>IF(G8&lt;=INDEX(KL_V,1),INDEX(KL_k,1),IF(G8&gt;=INDEX(KL_V,COUNT(KL_V)),INDEX(KL_k,COUNT(KL_V)),INDEX(KL_k,MATCH(G8,KL_V,1))+(G8-INDEX(KL_V,MATCH(G8,KL_V,1)))*(INDEX(KL_k,MATCH(G8,KL_V,1)+1)-INDEX(KL_k,MATCH(G8,KL_V,1)))/(INDEX(KL_V,MATCH(G8,KL_V,1)+1)-INDEX(KL_V,MATCH(G8,KL_V,1)))))</f>
        <v/>
      </c>
      <c r="H9" s="33">
        <f>IF(H8&lt;=INDEX(KL_V,1),INDEX(KL_k,1),IF(H8&gt;=INDEX(KL_V,COUNT(KL_V)),INDEX(KL_k,COUNT(KL_V)),INDEX(KL_k,MATCH(H8,KL_V,1))+(H8-INDEX(KL_V,MATCH(H8,KL_V,1)))*(INDEX(KL_k,MATCH(H8,KL_V,1)+1)-INDEX(KL_k,MATCH(H8,KL_V,1)))/(INDEX(KL_V,MATCH(H8,KL_V,1)+1)-INDEX(KL_V,MATCH(H8,KL_V,1)))))</f>
        <v/>
      </c>
      <c r="I9" s="30" t="inlineStr">
        <is>
          <t>Bảng A3, địa hình dạng A</t>
        </is>
      </c>
    </row>
    <row r="10">
      <c r="A10" s="28" t="inlineStr">
        <is>
          <t>Vận tốc gió tính toán V = Vw</t>
        </is>
      </c>
      <c r="B10" s="14" t="inlineStr">
        <is>
          <t>m/s</t>
        </is>
      </c>
      <c r="C10" s="31">
        <f>k_fl*C9*C8</f>
        <v/>
      </c>
      <c r="D10" s="31">
        <f>k_fl*D9*D8</f>
        <v/>
      </c>
      <c r="E10" s="31">
        <f>k_fl*E9*E8</f>
        <v/>
      </c>
      <c r="F10" s="31">
        <f>k_fl*F9*F8</f>
        <v/>
      </c>
      <c r="G10" s="31">
        <f>k_fl*G9*G8</f>
        <v/>
      </c>
      <c r="H10" s="31">
        <f>k_fl*H9*H8</f>
        <v/>
      </c>
      <c r="I10" s="30" t="inlineStr">
        <is>
          <t>Vw = kfl·kl·Vl (A.3.3)</t>
        </is>
      </c>
    </row>
    <row r="11">
      <c r="A11" s="28" t="inlineStr">
        <is>
          <t>Góc tới α giữa hướng gió và pháp tuyến mái</t>
        </is>
      </c>
      <c r="B11" s="14" t="inlineStr">
        <is>
          <t>°</t>
        </is>
      </c>
      <c r="C11" s="32">
        <f>ABS(MOD(INDEX(Gio_az,MATCH(C4,Gio_ma,0))-PT_mai+180,360)-180)</f>
        <v/>
      </c>
      <c r="D11" s="32">
        <f>ABS(MOD(INDEX(Gio_az,MATCH(D4,Gio_ma,0))-PT_mai+180,360)-180)</f>
        <v/>
      </c>
      <c r="E11" s="32">
        <f>ABS(MOD(INDEX(Gio_az,MATCH(E4,Gio_ma,0))-PT_mai+180,360)-180)</f>
        <v/>
      </c>
      <c r="F11" s="32">
        <f>ABS(MOD(INDEX(Gio_az,MATCH(F4,Gio_ma,0))-PT_mai+180,360)-180)</f>
        <v/>
      </c>
      <c r="G11" s="32">
        <f>ABS(MOD(INDEX(Gio_az,MATCH(G4,Gio_ma,0))-PT_mai+180,360)-180)</f>
        <v/>
      </c>
      <c r="H11" s="32">
        <f>ABS(MOD(INDEX(Gio_az,MATCH(H4,Gio_ma,0))-PT_mai+180,360)-180)</f>
        <v/>
      </c>
      <c r="I11" s="30" t="inlineStr"/>
    </row>
    <row r="12">
      <c r="A12" s="28" t="inlineStr">
        <is>
          <t>Đà gió D</t>
        </is>
      </c>
      <c r="B12" s="14" t="inlineStr">
        <is>
          <t>m</t>
        </is>
      </c>
      <c r="C12" s="19">
        <f>IF(C5="Z1",D_1,D_2)</f>
        <v/>
      </c>
      <c r="D12" s="19">
        <f>IF(D5="Z1",D_1,D_2)</f>
        <v/>
      </c>
      <c r="E12" s="19">
        <f>IF(E5="Z1",D_1,D_2)</f>
        <v/>
      </c>
      <c r="F12" s="19">
        <f>IF(F5="Z1",D_1,D_2)</f>
        <v/>
      </c>
      <c r="G12" s="19">
        <f>IF(G5="Z1",D_1,D_2)</f>
        <v/>
      </c>
      <c r="H12" s="19">
        <f>IF(H5="Z1",D_1,D_2)</f>
        <v/>
      </c>
      <c r="I12" s="30" t="inlineStr">
        <is>
          <t>SoLieu mục C</t>
        </is>
      </c>
    </row>
    <row r="13">
      <c r="A13" s="28" t="inlineStr">
        <is>
          <t>gD/V²</t>
        </is>
      </c>
      <c r="B13" s="14" t="inlineStr"/>
      <c r="C13" s="32">
        <f>g_*C12/C10^2</f>
        <v/>
      </c>
      <c r="D13" s="32">
        <f>g_*D12/D10^2</f>
        <v/>
      </c>
      <c r="E13" s="32">
        <f>g_*E12/E10^2</f>
        <v/>
      </c>
      <c r="F13" s="32">
        <f>g_*F12/F10^2</f>
        <v/>
      </c>
      <c r="G13" s="32">
        <f>g_*G12/G10^2</f>
        <v/>
      </c>
      <c r="H13" s="32">
        <f>g_*H12/H10^2</f>
        <v/>
      </c>
      <c r="I13" s="30" t="inlineStr"/>
    </row>
    <row r="14">
      <c r="A14" s="28" t="inlineStr">
        <is>
          <t>gt/V (t = 6 giờ)</t>
        </is>
      </c>
      <c r="B14" s="14" t="inlineStr"/>
      <c r="C14" s="19">
        <f>g_*t_gio*3600/C10</f>
        <v/>
      </c>
      <c r="D14" s="19">
        <f>g_*t_gio*3600/D10</f>
        <v/>
      </c>
      <c r="E14" s="19">
        <f>g_*t_gio*3600/E10</f>
        <v/>
      </c>
      <c r="F14" s="19">
        <f>g_*t_gio*3600/F10</f>
        <v/>
      </c>
      <c r="G14" s="19">
        <f>g_*t_gio*3600/G10</f>
        <v/>
      </c>
      <c r="H14" s="19">
        <f>g_*t_gio*3600/H10</f>
        <v/>
      </c>
      <c r="I14" s="30" t="inlineStr"/>
    </row>
    <row r="15">
      <c r="A15" s="28" t="inlineStr">
        <is>
          <t>gh̄/V² theo điều kiện đà gió</t>
        </is>
      </c>
      <c r="B15" s="14" t="inlineStr"/>
      <c r="C15" s="34">
        <f>0.16*(1-(1+0.006*SQRT(C13))^-2)</f>
        <v/>
      </c>
      <c r="D15" s="34">
        <f>0.16*(1-(1+0.006*SQRT(D13))^-2)</f>
        <v/>
      </c>
      <c r="E15" s="34">
        <f>0.16*(1-(1+0.006*SQRT(E13))^-2)</f>
        <v/>
      </c>
      <c r="F15" s="34">
        <f>0.16*(1-(1+0.006*SQRT(F13))^-2)</f>
        <v/>
      </c>
      <c r="G15" s="34">
        <f>0.16*(1-(1+0.006*SQRT(G13))^-2)</f>
        <v/>
      </c>
      <c r="H15" s="34">
        <f>0.16*(1-(1+0.006*SQRT(H13))^-2)</f>
        <v/>
      </c>
      <c r="I15" s="30" t="inlineStr">
        <is>
          <t>0,16·[1 − (1 + 0,006·√(gD/V²))⁻²]</t>
        </is>
      </c>
    </row>
    <row r="16">
      <c r="A16" s="28" t="inlineStr">
        <is>
          <t>gh̄/V² theo điều kiện thời gian gió thổi</t>
        </is>
      </c>
      <c r="B16" s="14" t="inlineStr"/>
      <c r="C16" s="34">
        <f>0.16*(1-(1+0.006*SQRT((C14/4.03)^1.6))^-2)</f>
        <v/>
      </c>
      <c r="D16" s="34">
        <f>0.16*(1-(1+0.006*SQRT((D14/4.03)^1.6))^-2)</f>
        <v/>
      </c>
      <c r="E16" s="34">
        <f>0.16*(1-(1+0.006*SQRT((E14/4.03)^1.6))^-2)</f>
        <v/>
      </c>
      <c r="F16" s="34">
        <f>0.16*(1-(1+0.006*SQRT((F14/4.03)^1.6))^-2)</f>
        <v/>
      </c>
      <c r="G16" s="34">
        <f>0.16*(1-(1+0.006*SQRT((G14/4.03)^1.6))^-2)</f>
        <v/>
      </c>
      <c r="H16" s="34">
        <f>0.16*(1-(1+0.006*SQRT((H14/4.03)^1.6))^-2)</f>
        <v/>
      </c>
      <c r="I16" s="30" t="inlineStr">
        <is>
          <t>Như trên với đà gió tương đương gD/V² = (gt/V / 4,03)^1,6</t>
        </is>
      </c>
    </row>
    <row r="17">
      <c r="A17" s="28" t="inlineStr">
        <is>
          <t>gh̄/V² chọn (giá trị nhỏ hơn)</t>
        </is>
      </c>
      <c r="B17" s="14" t="inlineStr"/>
      <c r="C17" s="34">
        <f>MIN(C15,C16)</f>
        <v/>
      </c>
      <c r="D17" s="34">
        <f>MIN(D15,D16)</f>
        <v/>
      </c>
      <c r="E17" s="34">
        <f>MIN(E15,E16)</f>
        <v/>
      </c>
      <c r="F17" s="34">
        <f>MIN(F15,F16)</f>
        <v/>
      </c>
      <c r="G17" s="34">
        <f>MIN(G15,G16)</f>
        <v/>
      </c>
      <c r="H17" s="34">
        <f>MIN(H15,H16)</f>
        <v/>
      </c>
      <c r="I17" s="30" t="inlineStr"/>
    </row>
    <row r="18">
      <c r="A18" s="28" t="inlineStr">
        <is>
          <t>Chiều cao sóng trung bình h̄</t>
        </is>
      </c>
      <c r="B18" s="14" t="inlineStr">
        <is>
          <t>m</t>
        </is>
      </c>
      <c r="C18" s="33">
        <f>C17*C10^2/g_</f>
        <v/>
      </c>
      <c r="D18" s="33">
        <f>D17*D10^2/g_</f>
        <v/>
      </c>
      <c r="E18" s="33">
        <f>E17*E10^2/g_</f>
        <v/>
      </c>
      <c r="F18" s="33">
        <f>F17*F10^2/g_</f>
        <v/>
      </c>
      <c r="G18" s="33">
        <f>G17*G10^2/g_</f>
        <v/>
      </c>
      <c r="H18" s="33">
        <f>H17*H10^2/g_</f>
        <v/>
      </c>
      <c r="I18" s="30" t="inlineStr">
        <is>
          <t>h̄ = (gh̄/V²)·V²/g</t>
        </is>
      </c>
    </row>
    <row r="19">
      <c r="A19" s="28" t="inlineStr">
        <is>
          <t>Chu kỳ sóng trung bình τ̄</t>
        </is>
      </c>
      <c r="B19" s="14" t="inlineStr">
        <is>
          <t>s</t>
        </is>
      </c>
      <c r="C19" s="31">
        <f>19.1*C17^0.625*C10/g_</f>
        <v/>
      </c>
      <c r="D19" s="31">
        <f>19.1*D17^0.625*D10/g_</f>
        <v/>
      </c>
      <c r="E19" s="31">
        <f>19.1*E17^0.625*E10/g_</f>
        <v/>
      </c>
      <c r="F19" s="31">
        <f>19.1*F17^0.625*F10/g_</f>
        <v/>
      </c>
      <c r="G19" s="31">
        <f>19.1*G17^0.625*G10/g_</f>
        <v/>
      </c>
      <c r="H19" s="31">
        <f>19.1*H17^0.625*H10/g_</f>
        <v/>
      </c>
      <c r="I19" s="30" t="inlineStr">
        <is>
          <t>gτ̄/V = 19,1·(gh̄/V²)^0,625</t>
        </is>
      </c>
    </row>
    <row r="20">
      <c r="A20" s="28" t="inlineStr">
        <is>
          <t>Bước sóng trung bình λ̄</t>
        </is>
      </c>
      <c r="B20" s="14" t="inlineStr">
        <is>
          <t>m</t>
        </is>
      </c>
      <c r="C20" s="31">
        <f>g_*C19^2/(2*PI())</f>
        <v/>
      </c>
      <c r="D20" s="31">
        <f>g_*D19^2/(2*PI())</f>
        <v/>
      </c>
      <c r="E20" s="31">
        <f>g_*E19^2/(2*PI())</f>
        <v/>
      </c>
      <c r="F20" s="31">
        <f>g_*F19^2/(2*PI())</f>
        <v/>
      </c>
      <c r="G20" s="31">
        <f>g_*G19^2/(2*PI())</f>
        <v/>
      </c>
      <c r="H20" s="31">
        <f>g_*H19^2/(2*PI())</f>
        <v/>
      </c>
      <c r="I20" s="30" t="inlineStr">
        <is>
          <t>λ̄ = g·τ̄²/(2π)</t>
        </is>
      </c>
    </row>
    <row r="21">
      <c r="A21" s="28" t="inlineStr">
        <is>
          <t>Kiểm tra sóng nước sâu H &gt; 0,5λ̄</t>
        </is>
      </c>
      <c r="B21" s="14" t="inlineStr"/>
      <c r="C21" s="14">
        <f>IF(C7&gt;0.5*C20,"Đúng","Sai – xem lại")</f>
        <v/>
      </c>
      <c r="D21" s="14">
        <f>IF(D7&gt;0.5*D20,"Đúng","Sai – xem lại")</f>
        <v/>
      </c>
      <c r="E21" s="14">
        <f>IF(E7&gt;0.5*E20,"Đúng","Sai – xem lại")</f>
        <v/>
      </c>
      <c r="F21" s="14">
        <f>IF(F7&gt;0.5*F20,"Đúng","Sai – xem lại")</f>
        <v/>
      </c>
      <c r="G21" s="14">
        <f>IF(G7&gt;0.5*G20,"Đúng","Sai – xem lại")</f>
        <v/>
      </c>
      <c r="H21" s="14">
        <f>IF(H7&gt;0.5*H20,"Đúng","Sai – xem lại")</f>
        <v/>
      </c>
      <c r="I21" s="30" t="inlineStr"/>
    </row>
    <row r="22">
      <c r="A22" s="28" t="inlineStr">
        <is>
          <t>Hệ số K1%</t>
        </is>
      </c>
      <c r="B22" s="14" t="inlineStr"/>
      <c r="C22" s="33">
        <f>IF(LOG10(C13)&lt;=INDEX(K1_lg,1),INDEX(K1_k,1),IF(LOG10(C13)&gt;=INDEX(K1_lg,COUNT(K1_lg)),INDEX(K1_k,COUNT(K1_lg)),INDEX(K1_k,MATCH(LOG10(C13),K1_lg,1))+(LOG10(C13)-INDEX(K1_lg,MATCH(LOG10(C13),K1_lg,1)))*(INDEX(K1_k,MATCH(LOG10(C13),K1_lg,1)+1)-INDEX(K1_k,MATCH(LOG10(C13),K1_lg,1)))/(INDEX(K1_lg,MATCH(LOG10(C13),K1_lg,1)+1)-INDEX(K1_lg,MATCH(LOG10(C13),K1_lg,1)))))</f>
        <v/>
      </c>
      <c r="D22" s="33">
        <f>IF(LOG10(D13)&lt;=INDEX(K1_lg,1),INDEX(K1_k,1),IF(LOG10(D13)&gt;=INDEX(K1_lg,COUNT(K1_lg)),INDEX(K1_k,COUNT(K1_lg)),INDEX(K1_k,MATCH(LOG10(D13),K1_lg,1))+(LOG10(D13)-INDEX(K1_lg,MATCH(LOG10(D13),K1_lg,1)))*(INDEX(K1_k,MATCH(LOG10(D13),K1_lg,1)+1)-INDEX(K1_k,MATCH(LOG10(D13),K1_lg,1)))/(INDEX(K1_lg,MATCH(LOG10(D13),K1_lg,1)+1)-INDEX(K1_lg,MATCH(LOG10(D13),K1_lg,1)))))</f>
        <v/>
      </c>
      <c r="E22" s="33">
        <f>IF(LOG10(E13)&lt;=INDEX(K1_lg,1),INDEX(K1_k,1),IF(LOG10(E13)&gt;=INDEX(K1_lg,COUNT(K1_lg)),INDEX(K1_k,COUNT(K1_lg)),INDEX(K1_k,MATCH(LOG10(E13),K1_lg,1))+(LOG10(E13)-INDEX(K1_lg,MATCH(LOG10(E13),K1_lg,1)))*(INDEX(K1_k,MATCH(LOG10(E13),K1_lg,1)+1)-INDEX(K1_k,MATCH(LOG10(E13),K1_lg,1)))/(INDEX(K1_lg,MATCH(LOG10(E13),K1_lg,1)+1)-INDEX(K1_lg,MATCH(LOG10(E13),K1_lg,1)))))</f>
        <v/>
      </c>
      <c r="F22" s="33">
        <f>IF(LOG10(F13)&lt;=INDEX(K1_lg,1),INDEX(K1_k,1),IF(LOG10(F13)&gt;=INDEX(K1_lg,COUNT(K1_lg)),INDEX(K1_k,COUNT(K1_lg)),INDEX(K1_k,MATCH(LOG10(F13),K1_lg,1))+(LOG10(F13)-INDEX(K1_lg,MATCH(LOG10(F13),K1_lg,1)))*(INDEX(K1_k,MATCH(LOG10(F13),K1_lg,1)+1)-INDEX(K1_k,MATCH(LOG10(F13),K1_lg,1)))/(INDEX(K1_lg,MATCH(LOG10(F13),K1_lg,1)+1)-INDEX(K1_lg,MATCH(LOG10(F13),K1_lg,1)))))</f>
        <v/>
      </c>
      <c r="G22" s="33">
        <f>IF(LOG10(G13)&lt;=INDEX(K1_lg,1),INDEX(K1_k,1),IF(LOG10(G13)&gt;=INDEX(K1_lg,COUNT(K1_lg)),INDEX(K1_k,COUNT(K1_lg)),INDEX(K1_k,MATCH(LOG10(G13),K1_lg,1))+(LOG10(G13)-INDEX(K1_lg,MATCH(LOG10(G13),K1_lg,1)))*(INDEX(K1_k,MATCH(LOG10(G13),K1_lg,1)+1)-INDEX(K1_k,MATCH(LOG10(G13),K1_lg,1)))/(INDEX(K1_lg,MATCH(LOG10(G13),K1_lg,1)+1)-INDEX(K1_lg,MATCH(LOG10(G13),K1_lg,1)))))</f>
        <v/>
      </c>
      <c r="H22" s="33">
        <f>IF(LOG10(H13)&lt;=INDEX(K1_lg,1),INDEX(K1_k,1),IF(LOG10(H13)&gt;=INDEX(K1_lg,COUNT(K1_lg)),INDEX(K1_k,COUNT(K1_lg)),INDEX(K1_k,MATCH(LOG10(H13),K1_lg,1))+(LOG10(H13)-INDEX(K1_lg,MATCH(LOG10(H13),K1_lg,1)))*(INDEX(K1_k,MATCH(LOG10(H13),K1_lg,1)+1)-INDEX(K1_k,MATCH(LOG10(H13),K1_lg,1)))/(INDEX(K1_lg,MATCH(LOG10(H13),K1_lg,1)+1)-INDEX(K1_lg,MATCH(LOG10(H13),K1_lg,1)))))</f>
        <v/>
      </c>
      <c r="I22" s="30" t="inlineStr">
        <is>
          <t>Hình 2, theo gD/V²</t>
        </is>
      </c>
    </row>
    <row r="23">
      <c r="A23" s="28" t="inlineStr">
        <is>
          <t>Chiều cao sóng h1% = K1%·h̄</t>
        </is>
      </c>
      <c r="B23" s="14" t="inlineStr">
        <is>
          <t>m</t>
        </is>
      </c>
      <c r="C23" s="33">
        <f>C22*C18</f>
        <v/>
      </c>
      <c r="D23" s="33">
        <f>D22*D18</f>
        <v/>
      </c>
      <c r="E23" s="33">
        <f>E22*E18</f>
        <v/>
      </c>
      <c r="F23" s="33">
        <f>F22*F18</f>
        <v/>
      </c>
      <c r="G23" s="33">
        <f>G22*G18</f>
        <v/>
      </c>
      <c r="H23" s="33">
        <f>H22*H18</f>
        <v/>
      </c>
      <c r="I23" s="30" t="inlineStr"/>
    </row>
    <row r="24">
      <c r="A24" s="28" t="inlineStr">
        <is>
          <t>Độ nhám tương đối Δ/h1%</t>
        </is>
      </c>
      <c r="B24" s="14" t="inlineStr"/>
      <c r="C24" s="34">
        <f>Delta_n/C23</f>
        <v/>
      </c>
      <c r="D24" s="34">
        <f>Delta_n/D23</f>
        <v/>
      </c>
      <c r="E24" s="34">
        <f>Delta_n/E23</f>
        <v/>
      </c>
      <c r="F24" s="34">
        <f>Delta_n/F23</f>
        <v/>
      </c>
      <c r="G24" s="34">
        <f>Delta_n/G23</f>
        <v/>
      </c>
      <c r="H24" s="34">
        <f>Delta_n/H23</f>
        <v/>
      </c>
      <c r="I24" s="30" t="inlineStr">
        <is>
          <t>Δ = 0,02 m</t>
        </is>
      </c>
    </row>
    <row r="25">
      <c r="A25" s="28" t="inlineStr">
        <is>
          <t>Hệ số nhám kr</t>
        </is>
      </c>
      <c r="B25" s="14" t="inlineStr"/>
      <c r="C25" s="33">
        <f>IF(C24&lt;=INDEX(KR_x,1),INDEX(KR_kr,1),IF(C24&gt;=INDEX(KR_x,COUNT(KR_x)),INDEX(KR_kr,COUNT(KR_x)),INDEX(KR_kr,MATCH(C24,KR_x,1))+(C24-INDEX(KR_x,MATCH(C24,KR_x,1)))*(INDEX(KR_kr,MATCH(C24,KR_x,1)+1)-INDEX(KR_kr,MATCH(C24,KR_x,1)))/(INDEX(KR_x,MATCH(C24,KR_x,1)+1)-INDEX(KR_x,MATCH(C24,KR_x,1)))))</f>
        <v/>
      </c>
      <c r="D25" s="33">
        <f>IF(D24&lt;=INDEX(KR_x,1),INDEX(KR_kr,1),IF(D24&gt;=INDEX(KR_x,COUNT(KR_x)),INDEX(KR_kr,COUNT(KR_x)),INDEX(KR_kr,MATCH(D24,KR_x,1))+(D24-INDEX(KR_x,MATCH(D24,KR_x,1)))*(INDEX(KR_kr,MATCH(D24,KR_x,1)+1)-INDEX(KR_kr,MATCH(D24,KR_x,1)))/(INDEX(KR_x,MATCH(D24,KR_x,1)+1)-INDEX(KR_x,MATCH(D24,KR_x,1)))))</f>
        <v/>
      </c>
      <c r="E25" s="33">
        <f>IF(E24&lt;=INDEX(KR_x,1),INDEX(KR_kr,1),IF(E24&gt;=INDEX(KR_x,COUNT(KR_x)),INDEX(KR_kr,COUNT(KR_x)),INDEX(KR_kr,MATCH(E24,KR_x,1))+(E24-INDEX(KR_x,MATCH(E24,KR_x,1)))*(INDEX(KR_kr,MATCH(E24,KR_x,1)+1)-INDEX(KR_kr,MATCH(E24,KR_x,1)))/(INDEX(KR_x,MATCH(E24,KR_x,1)+1)-INDEX(KR_x,MATCH(E24,KR_x,1)))))</f>
        <v/>
      </c>
      <c r="F25" s="33">
        <f>IF(F24&lt;=INDEX(KR_x,1),INDEX(KR_kr,1),IF(F24&gt;=INDEX(KR_x,COUNT(KR_x)),INDEX(KR_kr,COUNT(KR_x)),INDEX(KR_kr,MATCH(F24,KR_x,1))+(F24-INDEX(KR_x,MATCH(F24,KR_x,1)))*(INDEX(KR_kr,MATCH(F24,KR_x,1)+1)-INDEX(KR_kr,MATCH(F24,KR_x,1)))/(INDEX(KR_x,MATCH(F24,KR_x,1)+1)-INDEX(KR_x,MATCH(F24,KR_x,1)))))</f>
        <v/>
      </c>
      <c r="G25" s="33">
        <f>IF(G24&lt;=INDEX(KR_x,1),INDEX(KR_kr,1),IF(G24&gt;=INDEX(KR_x,COUNT(KR_x)),INDEX(KR_kr,COUNT(KR_x)),INDEX(KR_kr,MATCH(G24,KR_x,1))+(G24-INDEX(KR_x,MATCH(G24,KR_x,1)))*(INDEX(KR_kr,MATCH(G24,KR_x,1)+1)-INDEX(KR_kr,MATCH(G24,KR_x,1)))/(INDEX(KR_x,MATCH(G24,KR_x,1)+1)-INDEX(KR_x,MATCH(G24,KR_x,1)))))</f>
        <v/>
      </c>
      <c r="H25" s="33">
        <f>IF(H24&lt;=INDEX(KR_x,1),INDEX(KR_kr,1),IF(H24&gt;=INDEX(KR_x,COUNT(KR_x)),INDEX(KR_kr,COUNT(KR_x)),INDEX(KR_kr,MATCH(H24,KR_x,1))+(H24-INDEX(KR_x,MATCH(H24,KR_x,1)))*(INDEX(KR_kr,MATCH(H24,KR_x,1)+1)-INDEX(KR_kr,MATCH(H24,KR_x,1)))/(INDEX(KR_x,MATCH(H24,KR_x,1)+1)-INDEX(KR_x,MATCH(H24,KR_x,1)))))</f>
        <v/>
      </c>
      <c r="I25" s="30" t="inlineStr">
        <is>
          <t>Bảng hệ số nhám, thấm</t>
        </is>
      </c>
    </row>
    <row r="26">
      <c r="A26" s="28" t="inlineStr">
        <is>
          <t>Hệ số thấm kp</t>
        </is>
      </c>
      <c r="B26" s="14" t="inlineStr"/>
      <c r="C26" s="33">
        <f>IF(C24&lt;=INDEX(KP_x,1),INDEX(KP_kp,1),IF(C24&gt;=INDEX(KP_x,COUNT(KP_x)),INDEX(KP_kp,COUNT(KP_x)),INDEX(KP_kp,MATCH(C24,KP_x,1))+(C24-INDEX(KP_x,MATCH(C24,KP_x,1)))*(INDEX(KP_kp,MATCH(C24,KP_x,1)+1)-INDEX(KP_kp,MATCH(C24,KP_x,1)))/(INDEX(KP_x,MATCH(C24,KP_x,1)+1)-INDEX(KP_x,MATCH(C24,KP_x,1)))))</f>
        <v/>
      </c>
      <c r="D26" s="33">
        <f>IF(D24&lt;=INDEX(KP_x,1),INDEX(KP_kp,1),IF(D24&gt;=INDEX(KP_x,COUNT(KP_x)),INDEX(KP_kp,COUNT(KP_x)),INDEX(KP_kp,MATCH(D24,KP_x,1))+(D24-INDEX(KP_x,MATCH(D24,KP_x,1)))*(INDEX(KP_kp,MATCH(D24,KP_x,1)+1)-INDEX(KP_kp,MATCH(D24,KP_x,1)))/(INDEX(KP_x,MATCH(D24,KP_x,1)+1)-INDEX(KP_x,MATCH(D24,KP_x,1)))))</f>
        <v/>
      </c>
      <c r="E26" s="33">
        <f>IF(E24&lt;=INDEX(KP_x,1),INDEX(KP_kp,1),IF(E24&gt;=INDEX(KP_x,COUNT(KP_x)),INDEX(KP_kp,COUNT(KP_x)),INDEX(KP_kp,MATCH(E24,KP_x,1))+(E24-INDEX(KP_x,MATCH(E24,KP_x,1)))*(INDEX(KP_kp,MATCH(E24,KP_x,1)+1)-INDEX(KP_kp,MATCH(E24,KP_x,1)))/(INDEX(KP_x,MATCH(E24,KP_x,1)+1)-INDEX(KP_x,MATCH(E24,KP_x,1)))))</f>
        <v/>
      </c>
      <c r="F26" s="33">
        <f>IF(F24&lt;=INDEX(KP_x,1),INDEX(KP_kp,1),IF(F24&gt;=INDEX(KP_x,COUNT(KP_x)),INDEX(KP_kp,COUNT(KP_x)),INDEX(KP_kp,MATCH(F24,KP_x,1))+(F24-INDEX(KP_x,MATCH(F24,KP_x,1)))*(INDEX(KP_kp,MATCH(F24,KP_x,1)+1)-INDEX(KP_kp,MATCH(F24,KP_x,1)))/(INDEX(KP_x,MATCH(F24,KP_x,1)+1)-INDEX(KP_x,MATCH(F24,KP_x,1)))))</f>
        <v/>
      </c>
      <c r="G26" s="33">
        <f>IF(G24&lt;=INDEX(KP_x,1),INDEX(KP_kp,1),IF(G24&gt;=INDEX(KP_x,COUNT(KP_x)),INDEX(KP_kp,COUNT(KP_x)),INDEX(KP_kp,MATCH(G24,KP_x,1))+(G24-INDEX(KP_x,MATCH(G24,KP_x,1)))*(INDEX(KP_kp,MATCH(G24,KP_x,1)+1)-INDEX(KP_kp,MATCH(G24,KP_x,1)))/(INDEX(KP_x,MATCH(G24,KP_x,1)+1)-INDEX(KP_x,MATCH(G24,KP_x,1)))))</f>
        <v/>
      </c>
      <c r="H26" s="33">
        <f>IF(H24&lt;=INDEX(KP_x,1),INDEX(KP_kp,1),IF(H24&gt;=INDEX(KP_x,COUNT(KP_x)),INDEX(KP_kp,COUNT(KP_x)),INDEX(KP_kp,MATCH(H24,KP_x,1))+(H24-INDEX(KP_x,MATCH(H24,KP_x,1)))*(INDEX(KP_kp,MATCH(H24,KP_x,1)+1)-INDEX(KP_kp,MATCH(H24,KP_x,1)))/(INDEX(KP_x,MATCH(H24,KP_x,1)+1)-INDEX(KP_x,MATCH(H24,KP_x,1)))))</f>
        <v/>
      </c>
      <c r="I26" s="30" t="inlineStr">
        <is>
          <t>Như trên</t>
        </is>
      </c>
    </row>
    <row r="27">
      <c r="A27" s="28" t="inlineStr">
        <is>
          <t>Hệ số ksp</t>
        </is>
      </c>
      <c r="B27" s="14" t="inlineStr"/>
      <c r="C27" s="33">
        <f>IF(C10&lt;=INDEX(KSP_V,1),INDEX(KSP_k,1),IF(C10&gt;=INDEX(KSP_V,COUNT(KSP_V)),INDEX(KSP_k,COUNT(KSP_V)),INDEX(KSP_k,MATCH(C10,KSP_V,1))+(C10-INDEX(KSP_V,MATCH(C10,KSP_V,1)))*(INDEX(KSP_k,MATCH(C10,KSP_V,1)+1)-INDEX(KSP_k,MATCH(C10,KSP_V,1)))/(INDEX(KSP_V,MATCH(C10,KSP_V,1)+1)-INDEX(KSP_V,MATCH(C10,KSP_V,1)))))</f>
        <v/>
      </c>
      <c r="D27" s="33">
        <f>IF(D10&lt;=INDEX(KSP_V,1),INDEX(KSP_k,1),IF(D10&gt;=INDEX(KSP_V,COUNT(KSP_V)),INDEX(KSP_k,COUNT(KSP_V)),INDEX(KSP_k,MATCH(D10,KSP_V,1))+(D10-INDEX(KSP_V,MATCH(D10,KSP_V,1)))*(INDEX(KSP_k,MATCH(D10,KSP_V,1)+1)-INDEX(KSP_k,MATCH(D10,KSP_V,1)))/(INDEX(KSP_V,MATCH(D10,KSP_V,1)+1)-INDEX(KSP_V,MATCH(D10,KSP_V,1)))))</f>
        <v/>
      </c>
      <c r="E27" s="33">
        <f>IF(E10&lt;=INDEX(KSP_V,1),INDEX(KSP_k,1),IF(E10&gt;=INDEX(KSP_V,COUNT(KSP_V)),INDEX(KSP_k,COUNT(KSP_V)),INDEX(KSP_k,MATCH(E10,KSP_V,1))+(E10-INDEX(KSP_V,MATCH(E10,KSP_V,1)))*(INDEX(KSP_k,MATCH(E10,KSP_V,1)+1)-INDEX(KSP_k,MATCH(E10,KSP_V,1)))/(INDEX(KSP_V,MATCH(E10,KSP_V,1)+1)-INDEX(KSP_V,MATCH(E10,KSP_V,1)))))</f>
        <v/>
      </c>
      <c r="F27" s="33">
        <f>IF(F10&lt;=INDEX(KSP_V,1),INDEX(KSP_k,1),IF(F10&gt;=INDEX(KSP_V,COUNT(KSP_V)),INDEX(KSP_k,COUNT(KSP_V)),INDEX(KSP_k,MATCH(F10,KSP_V,1))+(F10-INDEX(KSP_V,MATCH(F10,KSP_V,1)))*(INDEX(KSP_k,MATCH(F10,KSP_V,1)+1)-INDEX(KSP_k,MATCH(F10,KSP_V,1)))/(INDEX(KSP_V,MATCH(F10,KSP_V,1)+1)-INDEX(KSP_V,MATCH(F10,KSP_V,1)))))</f>
        <v/>
      </c>
      <c r="G27" s="33">
        <f>IF(G10&lt;=INDEX(KSP_V,1),INDEX(KSP_k,1),IF(G10&gt;=INDEX(KSP_V,COUNT(KSP_V)),INDEX(KSP_k,COUNT(KSP_V)),INDEX(KSP_k,MATCH(G10,KSP_V,1))+(G10-INDEX(KSP_V,MATCH(G10,KSP_V,1)))*(INDEX(KSP_k,MATCH(G10,KSP_V,1)+1)-INDEX(KSP_k,MATCH(G10,KSP_V,1)))/(INDEX(KSP_V,MATCH(G10,KSP_V,1)+1)-INDEX(KSP_V,MATCH(G10,KSP_V,1)))))</f>
        <v/>
      </c>
      <c r="H27" s="33">
        <f>IF(H10&lt;=INDEX(KSP_V,1),INDEX(KSP_k,1),IF(H10&gt;=INDEX(KSP_V,COUNT(KSP_V)),INDEX(KSP_k,COUNT(KSP_V)),INDEX(KSP_k,MATCH(H10,KSP_V,1))+(H10-INDEX(KSP_V,MATCH(H10,KSP_V,1)))*(INDEX(KSP_k,MATCH(H10,KSP_V,1)+1)-INDEX(KSP_k,MATCH(H10,KSP_V,1)))/(INDEX(KSP_V,MATCH(H10,KSP_V,1)+1)-INDEX(KSP_V,MATCH(H10,KSP_V,1)))))</f>
        <v/>
      </c>
      <c r="I27" s="30" t="inlineStr">
        <is>
          <t>Bảng ksp, mái m = 3 ÷ 5</t>
        </is>
      </c>
    </row>
    <row r="28">
      <c r="A28" s="28" t="inlineStr">
        <is>
          <t>Độ thoải sóng λ̄/h1%</t>
        </is>
      </c>
      <c r="B28" s="14" t="inlineStr"/>
      <c r="C28" s="31">
        <f>C20/C23</f>
        <v/>
      </c>
      <c r="D28" s="31">
        <f>D20/D23</f>
        <v/>
      </c>
      <c r="E28" s="31">
        <f>E20/E23</f>
        <v/>
      </c>
      <c r="F28" s="31">
        <f>F20/F23</f>
        <v/>
      </c>
      <c r="G28" s="31">
        <f>G20/G23</f>
        <v/>
      </c>
      <c r="H28" s="31">
        <f>H20/H23</f>
        <v/>
      </c>
      <c r="I28" s="30" t="inlineStr"/>
    </row>
    <row r="29">
      <c r="A29" s="28" t="inlineStr">
        <is>
          <t>Hệ số krun</t>
        </is>
      </c>
      <c r="B29" s="14" t="inlineStr"/>
      <c r="C29" s="33">
        <f>IF(C28&lt;=INDEX(KRUN_x,1),INDEX(KRUN_k,1),IF(C28&gt;=INDEX(KRUN_x,COUNT(KRUN_x)),INDEX(KRUN_k,COUNT(KRUN_x)),INDEX(KRUN_k,MATCH(C28,KRUN_x,1))+(C28-INDEX(KRUN_x,MATCH(C28,KRUN_x,1)))*(INDEX(KRUN_k,MATCH(C28,KRUN_x,1)+1)-INDEX(KRUN_k,MATCH(C28,KRUN_x,1)))/(INDEX(KRUN_x,MATCH(C28,KRUN_x,1)+1)-INDEX(KRUN_x,MATCH(C28,KRUN_x,1)))))</f>
        <v/>
      </c>
      <c r="D29" s="33">
        <f>IF(D28&lt;=INDEX(KRUN_x,1),INDEX(KRUN_k,1),IF(D28&gt;=INDEX(KRUN_x,COUNT(KRUN_x)),INDEX(KRUN_k,COUNT(KRUN_x)),INDEX(KRUN_k,MATCH(D28,KRUN_x,1))+(D28-INDEX(KRUN_x,MATCH(D28,KRUN_x,1)))*(INDEX(KRUN_k,MATCH(D28,KRUN_x,1)+1)-INDEX(KRUN_k,MATCH(D28,KRUN_x,1)))/(INDEX(KRUN_x,MATCH(D28,KRUN_x,1)+1)-INDEX(KRUN_x,MATCH(D28,KRUN_x,1)))))</f>
        <v/>
      </c>
      <c r="E29" s="33">
        <f>IF(E28&lt;=INDEX(KRUN_x,1),INDEX(KRUN_k,1),IF(E28&gt;=INDEX(KRUN_x,COUNT(KRUN_x)),INDEX(KRUN_k,COUNT(KRUN_x)),INDEX(KRUN_k,MATCH(E28,KRUN_x,1))+(E28-INDEX(KRUN_x,MATCH(E28,KRUN_x,1)))*(INDEX(KRUN_k,MATCH(E28,KRUN_x,1)+1)-INDEX(KRUN_k,MATCH(E28,KRUN_x,1)))/(INDEX(KRUN_x,MATCH(E28,KRUN_x,1)+1)-INDEX(KRUN_x,MATCH(E28,KRUN_x,1)))))</f>
        <v/>
      </c>
      <c r="F29" s="33">
        <f>IF(F28&lt;=INDEX(KRUN_x,1),INDEX(KRUN_k,1),IF(F28&gt;=INDEX(KRUN_x,COUNT(KRUN_x)),INDEX(KRUN_k,COUNT(KRUN_x)),INDEX(KRUN_k,MATCH(F28,KRUN_x,1))+(F28-INDEX(KRUN_x,MATCH(F28,KRUN_x,1)))*(INDEX(KRUN_k,MATCH(F28,KRUN_x,1)+1)-INDEX(KRUN_k,MATCH(F28,KRUN_x,1)))/(INDEX(KRUN_x,MATCH(F28,KRUN_x,1)+1)-INDEX(KRUN_x,MATCH(F28,KRUN_x,1)))))</f>
        <v/>
      </c>
      <c r="G29" s="33">
        <f>IF(G28&lt;=INDEX(KRUN_x,1),INDEX(KRUN_k,1),IF(G28&gt;=INDEX(KRUN_x,COUNT(KRUN_x)),INDEX(KRUN_k,COUNT(KRUN_x)),INDEX(KRUN_k,MATCH(G28,KRUN_x,1))+(G28-INDEX(KRUN_x,MATCH(G28,KRUN_x,1)))*(INDEX(KRUN_k,MATCH(G28,KRUN_x,1)+1)-INDEX(KRUN_k,MATCH(G28,KRUN_x,1)))/(INDEX(KRUN_x,MATCH(G28,KRUN_x,1)+1)-INDEX(KRUN_x,MATCH(G28,KRUN_x,1)))))</f>
        <v/>
      </c>
      <c r="H29" s="33">
        <f>IF(H28&lt;=INDEX(KRUN_x,1),INDEX(KRUN_k,1),IF(H28&gt;=INDEX(KRUN_x,COUNT(KRUN_x)),INDEX(KRUN_k,COUNT(KRUN_x)),INDEX(KRUN_k,MATCH(H28,KRUN_x,1))+(H28-INDEX(KRUN_x,MATCH(H28,KRUN_x,1)))*(INDEX(KRUN_k,MATCH(H28,KRUN_x,1)+1)-INDEX(KRUN_k,MATCH(H28,KRUN_x,1)))/(INDEX(KRUN_x,MATCH(H28,KRUN_x,1)+1)-INDEX(KRUN_x,MATCH(H28,KRUN_x,1)))))</f>
        <v/>
      </c>
      <c r="I29" s="30" t="inlineStr">
        <is>
          <t>Hình 10, mái m = 3</t>
        </is>
      </c>
    </row>
    <row r="30">
      <c r="A30" s="28" t="inlineStr">
        <is>
          <t>Hệ số kα</t>
        </is>
      </c>
      <c r="B30" s="14" t="inlineStr"/>
      <c r="C30" s="33">
        <f>IF(C11&lt;=INDEX(KA_goc,1),INDEX(KA_k,1),IF(C11&gt;=INDEX(KA_goc,COUNT(KA_goc)),INDEX(KA_k,COUNT(KA_goc)),INDEX(KA_k,MATCH(C11,KA_goc,1))+(C11-INDEX(KA_goc,MATCH(C11,KA_goc,1)))*(INDEX(KA_k,MATCH(C11,KA_goc,1)+1)-INDEX(KA_k,MATCH(C11,KA_goc,1)))/(INDEX(KA_goc,MATCH(C11,KA_goc,1)+1)-INDEX(KA_goc,MATCH(C11,KA_goc,1)))))</f>
        <v/>
      </c>
      <c r="D30" s="33">
        <f>IF(D11&lt;=INDEX(KA_goc,1),INDEX(KA_k,1),IF(D11&gt;=INDEX(KA_goc,COUNT(KA_goc)),INDEX(KA_k,COUNT(KA_goc)),INDEX(KA_k,MATCH(D11,KA_goc,1))+(D11-INDEX(KA_goc,MATCH(D11,KA_goc,1)))*(INDEX(KA_k,MATCH(D11,KA_goc,1)+1)-INDEX(KA_k,MATCH(D11,KA_goc,1)))/(INDEX(KA_goc,MATCH(D11,KA_goc,1)+1)-INDEX(KA_goc,MATCH(D11,KA_goc,1)))))</f>
        <v/>
      </c>
      <c r="E30" s="33">
        <f>IF(E11&lt;=INDEX(KA_goc,1),INDEX(KA_k,1),IF(E11&gt;=INDEX(KA_goc,COUNT(KA_goc)),INDEX(KA_k,COUNT(KA_goc)),INDEX(KA_k,MATCH(E11,KA_goc,1))+(E11-INDEX(KA_goc,MATCH(E11,KA_goc,1)))*(INDEX(KA_k,MATCH(E11,KA_goc,1)+1)-INDEX(KA_k,MATCH(E11,KA_goc,1)))/(INDEX(KA_goc,MATCH(E11,KA_goc,1)+1)-INDEX(KA_goc,MATCH(E11,KA_goc,1)))))</f>
        <v/>
      </c>
      <c r="F30" s="33">
        <f>IF(F11&lt;=INDEX(KA_goc,1),INDEX(KA_k,1),IF(F11&gt;=INDEX(KA_goc,COUNT(KA_goc)),INDEX(KA_k,COUNT(KA_goc)),INDEX(KA_k,MATCH(F11,KA_goc,1))+(F11-INDEX(KA_goc,MATCH(F11,KA_goc,1)))*(INDEX(KA_k,MATCH(F11,KA_goc,1)+1)-INDEX(KA_k,MATCH(F11,KA_goc,1)))/(INDEX(KA_goc,MATCH(F11,KA_goc,1)+1)-INDEX(KA_goc,MATCH(F11,KA_goc,1)))))</f>
        <v/>
      </c>
      <c r="G30" s="33">
        <f>IF(G11&lt;=INDEX(KA_goc,1),INDEX(KA_k,1),IF(G11&gt;=INDEX(KA_goc,COUNT(KA_goc)),INDEX(KA_k,COUNT(KA_goc)),INDEX(KA_k,MATCH(G11,KA_goc,1))+(G11-INDEX(KA_goc,MATCH(G11,KA_goc,1)))*(INDEX(KA_k,MATCH(G11,KA_goc,1)+1)-INDEX(KA_k,MATCH(G11,KA_goc,1)))/(INDEX(KA_goc,MATCH(G11,KA_goc,1)+1)-INDEX(KA_goc,MATCH(G11,KA_goc,1)))))</f>
        <v/>
      </c>
      <c r="H30" s="33">
        <f>IF(H11&lt;=INDEX(KA_goc,1),INDEX(KA_k,1),IF(H11&gt;=INDEX(KA_goc,COUNT(KA_goc)),INDEX(KA_k,COUNT(KA_goc)),INDEX(KA_k,MATCH(H11,KA_goc,1))+(H11-INDEX(KA_goc,MATCH(H11,KA_goc,1)))*(INDEX(KA_k,MATCH(H11,KA_goc,1)+1)-INDEX(KA_k,MATCH(H11,KA_goc,1)))/(INDEX(KA_goc,MATCH(H11,KA_goc,1)+1)-INDEX(KA_goc,MATCH(H11,KA_goc,1)))))</f>
        <v/>
      </c>
      <c r="I30" s="30" t="inlineStr">
        <is>
          <t>Bảng 9, theo α</t>
        </is>
      </c>
    </row>
    <row r="31">
      <c r="A31" s="35" t="inlineStr">
        <is>
          <t>Chiều cao sóng leo hsl1%</t>
        </is>
      </c>
      <c r="B31" s="14" t="inlineStr">
        <is>
          <t>m</t>
        </is>
      </c>
      <c r="C31" s="27">
        <f>C25*C26*C27*C29*C30*C23</f>
        <v/>
      </c>
      <c r="D31" s="27">
        <f>D25*D26*D27*D29*D30*D23</f>
        <v/>
      </c>
      <c r="E31" s="27">
        <f>E25*E26*E27*E29*E30*E23</f>
        <v/>
      </c>
      <c r="F31" s="27">
        <f>F25*F26*F27*F29*F30*F23</f>
        <v/>
      </c>
      <c r="G31" s="27">
        <f>G25*G26*G27*G29*G30*G23</f>
        <v/>
      </c>
      <c r="H31" s="27">
        <f>H25*H26*H27*H29*H30*H23</f>
        <v/>
      </c>
      <c r="I31" s="30" t="inlineStr">
        <is>
          <t>hsl1% = kr·kp·ksp·krun·kα·h1%</t>
        </is>
      </c>
    </row>
    <row r="32">
      <c r="A32" s="28" t="inlineStr">
        <is>
          <t>Hệ số kw</t>
        </is>
      </c>
      <c r="B32" s="14" t="inlineStr"/>
      <c r="C32" s="36">
        <f>3E-7*(1+0.3*C10)</f>
        <v/>
      </c>
      <c r="D32" s="36">
        <f>3E-7*(1+0.3*D10)</f>
        <v/>
      </c>
      <c r="E32" s="36">
        <f>3E-7*(1+0.3*E10)</f>
        <v/>
      </c>
      <c r="F32" s="36">
        <f>3E-7*(1+0.3*F10)</f>
        <v/>
      </c>
      <c r="G32" s="36">
        <f>3E-7*(1+0.3*G10)</f>
        <v/>
      </c>
      <c r="H32" s="36">
        <f>3E-7*(1+0.3*H10)</f>
        <v/>
      </c>
      <c r="I32" s="30" t="inlineStr">
        <is>
          <t>kw = 3·10⁻⁷·(1 + 0,3·Vw)</t>
        </is>
      </c>
    </row>
    <row r="33">
      <c r="A33" s="35" t="inlineStr">
        <is>
          <t>Độ dềnh do gió Δh</t>
        </is>
      </c>
      <c r="B33" s="14" t="inlineStr">
        <is>
          <t>m</t>
        </is>
      </c>
      <c r="C33" s="37">
        <f>C32*C10^2*C12/(g_*C7)*COS(RADIANS(C11))</f>
        <v/>
      </c>
      <c r="D33" s="37">
        <f>D32*D10^2*D12/(g_*D7)*COS(RADIANS(D11))</f>
        <v/>
      </c>
      <c r="E33" s="37">
        <f>E32*E10^2*E12/(g_*E7)*COS(RADIANS(E11))</f>
        <v/>
      </c>
      <c r="F33" s="37">
        <f>F32*F10^2*F12/(g_*F7)*COS(RADIANS(F11))</f>
        <v/>
      </c>
      <c r="G33" s="37">
        <f>G32*G10^2*G12/(g_*G7)*COS(RADIANS(G11))</f>
        <v/>
      </c>
      <c r="H33" s="37">
        <f>H32*H10^2*H12/(g_*H7)*COS(RADIANS(H11))</f>
        <v/>
      </c>
      <c r="I33" s="30" t="inlineStr">
        <is>
          <t>Δh = kw·V²·D/(g·H)·cos α</t>
        </is>
      </c>
    </row>
    <row r="34">
      <c r="A34" s="28" t="inlineStr">
        <is>
          <t>Độ vượt cao an toàn</t>
        </is>
      </c>
      <c r="B34" s="14" t="inlineStr">
        <is>
          <t>m</t>
        </is>
      </c>
      <c r="C34" s="31">
        <f>IF(C5="Z1",a_1,a_2)</f>
        <v/>
      </c>
      <c r="D34" s="31">
        <f>IF(D5="Z1",a_1,a_2)</f>
        <v/>
      </c>
      <c r="E34" s="31">
        <f>IF(E5="Z1",a_1,a_2)</f>
        <v/>
      </c>
      <c r="F34" s="31">
        <f>IF(F5="Z1",a_1,a_2)</f>
        <v/>
      </c>
      <c r="G34" s="31">
        <f>IF(G5="Z1",a_1,a_2)</f>
        <v/>
      </c>
      <c r="H34" s="31">
        <f>IF(H5="Z1",a_1,a_2)</f>
        <v/>
      </c>
      <c r="I34" s="30" t="inlineStr">
        <is>
          <t>a (Z1), a′ (Z2) – Bảng 3</t>
        </is>
      </c>
    </row>
    <row r="35">
      <c r="A35" s="35" t="inlineStr">
        <is>
          <t>Cao trình đỉnh đập yêu cầu Z₁ hoặc Z₂</t>
        </is>
      </c>
      <c r="B35" s="14" t="inlineStr">
        <is>
          <t>m</t>
        </is>
      </c>
      <c r="C35" s="38">
        <f>C6+C33+C31+C34</f>
        <v/>
      </c>
      <c r="D35" s="38">
        <f>D6+D33+D31+D34</f>
        <v/>
      </c>
      <c r="E35" s="38">
        <f>E6+E33+E31+E34</f>
        <v/>
      </c>
      <c r="F35" s="38">
        <f>F6+F33+F31+F34</f>
        <v/>
      </c>
      <c r="G35" s="38">
        <f>G6+G33+G31+G34</f>
        <v/>
      </c>
      <c r="H35" s="38">
        <f>H6+H33+H31+H34</f>
        <v/>
      </c>
      <c r="I35" s="30" t="inlineStr">
        <is>
          <t>Z = Z + Δh + hsl + a</t>
        </is>
      </c>
    </row>
  </sheetData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1BAF7A"/>
    <outlinePr summaryBelow="1" summaryRight="1"/>
    <pageSetUpPr fitToPage="1"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6" t="inlineStr">
        <is>
          <t>KẾT QUẢ: CAO TRÌNH ĐỈNH ĐẬP YÊU CẦU VÀ ĐÁNH GIÁ (TCVN 8216:2018)</t>
        </is>
      </c>
    </row>
    <row r="2">
      <c r="A2" s="7">
        <f>"MNDBT +"&amp;TEXT(MN_DBT,"0.00")&amp;"; MNLTK +"&amp;TEXT(MN_LTK,"0.00")&amp;"; MNLKT +"&amp;TEXT(MN_LKT,"0.00")&amp;" m"</f>
        <v/>
      </c>
    </row>
    <row r="4">
      <c r="A4" s="8" t="inlineStr">
        <is>
          <t>1. Cao trình đỉnh yêu cầu theo hướng gió (m)</t>
        </is>
      </c>
    </row>
    <row r="5" ht="45" customHeight="1">
      <c r="A5" s="9" t="inlineStr">
        <is>
          <t>Hướng gió</t>
        </is>
      </c>
      <c r="B5" s="9" t="inlineStr">
        <is>
          <t>Góc tới α (°)</t>
        </is>
      </c>
      <c r="C5" s="9" t="inlineStr">
        <is>
          <t>kα</t>
        </is>
      </c>
      <c r="D5" s="9" t="inlineStr">
        <is>
          <t>Vw P = 4% (m/s)</t>
        </is>
      </c>
      <c r="E5" s="9" t="inlineStr">
        <is>
          <t>Vw P = 50% (m/s)</t>
        </is>
      </c>
      <c r="F5" s="9" t="inlineStr">
        <is>
          <t>hsl ở MNDBT (m)</t>
        </is>
      </c>
      <c r="G5" s="9" t="inlineStr">
        <is>
          <t>hsl′ ở MNLTK (m)</t>
        </is>
      </c>
      <c r="H5" s="9" t="inlineStr">
        <is>
          <t>Z₁</t>
        </is>
      </c>
      <c r="I5" s="9" t="inlineStr">
        <is>
          <t>Z₂</t>
        </is>
      </c>
      <c r="J5" s="9" t="inlineStr">
        <is>
          <t>Z₃</t>
        </is>
      </c>
      <c r="K5" s="9" t="inlineStr">
        <is>
          <t>Zđ = max</t>
        </is>
      </c>
    </row>
    <row r="6">
      <c r="A6" s="12" t="inlineStr">
        <is>
          <t>Bắc</t>
        </is>
      </c>
      <c r="B6" s="32">
        <f>TinhSong!C11</f>
        <v/>
      </c>
      <c r="C6" s="31">
        <f>TinhSong!C30</f>
        <v/>
      </c>
      <c r="D6" s="31">
        <f>TinhSong!C10</f>
        <v/>
      </c>
      <c r="E6" s="31">
        <f>TinhSong!D10</f>
        <v/>
      </c>
      <c r="F6" s="33">
        <f>TinhSong!C31</f>
        <v/>
      </c>
      <c r="G6" s="33">
        <f>TinhSong!D31</f>
        <v/>
      </c>
      <c r="H6" s="39">
        <f>TinhSong!C35</f>
        <v/>
      </c>
      <c r="I6" s="39">
        <f>TinhSong!D35</f>
        <v/>
      </c>
      <c r="J6" s="39">
        <f>MN_LKT+a_3</f>
        <v/>
      </c>
      <c r="K6" s="38">
        <f>MAX(H6:J6)</f>
        <v/>
      </c>
    </row>
    <row r="7">
      <c r="A7" s="12" t="inlineStr">
        <is>
          <t>Đông Bắc</t>
        </is>
      </c>
      <c r="B7" s="32">
        <f>TinhSong!E11</f>
        <v/>
      </c>
      <c r="C7" s="31">
        <f>TinhSong!E30</f>
        <v/>
      </c>
      <c r="D7" s="31">
        <f>TinhSong!E10</f>
        <v/>
      </c>
      <c r="E7" s="31">
        <f>TinhSong!F10</f>
        <v/>
      </c>
      <c r="F7" s="33">
        <f>TinhSong!E31</f>
        <v/>
      </c>
      <c r="G7" s="33">
        <f>TinhSong!F31</f>
        <v/>
      </c>
      <c r="H7" s="39">
        <f>TinhSong!E35</f>
        <v/>
      </c>
      <c r="I7" s="39">
        <f>TinhSong!F35</f>
        <v/>
      </c>
      <c r="J7" s="39">
        <f>MN_LKT+a_3</f>
        <v/>
      </c>
      <c r="K7" s="38">
        <f>MAX(H7:J7)</f>
        <v/>
      </c>
    </row>
    <row r="8">
      <c r="A8" s="12" t="inlineStr">
        <is>
          <t>Tây Bắc</t>
        </is>
      </c>
      <c r="B8" s="32">
        <f>TinhSong!G11</f>
        <v/>
      </c>
      <c r="C8" s="31">
        <f>TinhSong!G30</f>
        <v/>
      </c>
      <c r="D8" s="31">
        <f>TinhSong!G10</f>
        <v/>
      </c>
      <c r="E8" s="31">
        <f>TinhSong!H10</f>
        <v/>
      </c>
      <c r="F8" s="33">
        <f>TinhSong!G31</f>
        <v/>
      </c>
      <c r="G8" s="33">
        <f>TinhSong!H31</f>
        <v/>
      </c>
      <c r="H8" s="39">
        <f>TinhSong!G35</f>
        <v/>
      </c>
      <c r="I8" s="39">
        <f>TinhSong!H35</f>
        <v/>
      </c>
      <c r="J8" s="39">
        <f>MN_LKT+a_3</f>
        <v/>
      </c>
      <c r="K8" s="38">
        <f>MAX(H8:J8)</f>
        <v/>
      </c>
    </row>
    <row r="9">
      <c r="A9" s="12" t="inlineStr">
        <is>
          <t>Cao trình đỉnh yêu cầu lớn nhất Zđ (m)</t>
        </is>
      </c>
      <c r="B9" s="38">
        <f>MAX(K6:K8)</f>
        <v/>
      </c>
      <c r="C9" s="7">
        <f>INDEX(A6:A8,MATCH(B9,K6:K8,0))&amp;" – "&amp;IF(INDEX(I6:I8,MATCH(B9,K6:K8,0))=B9,"Z₂ (MNLTK)",IF(INDEX(H6:H8,MATCH(B9,K6:K8,0))=B9,"Z₁ (MNDBT)","Z₃ (MNLKT)"))</f>
        <v/>
      </c>
    </row>
    <row r="10">
      <c r="A10" s="7" t="inlineStr">
        <is>
          <t>Các hướng Đông, Tây (góc tới 84 ÷ 96°) và các hướng Nam (thổi từ hạ lưu) không gây sóng leo lên mái thượng lưu.</t>
        </is>
      </c>
    </row>
    <row r="12">
      <c r="A12" s="8" t="inlineStr">
        <is>
          <t>2. Đánh giá theo TCVN 8216:2018 điều 10.1.5 (đập có tường chắn sóng)</t>
        </is>
      </c>
    </row>
    <row r="13" ht="32" customHeight="1">
      <c r="A13" s="9" t="inlineStr">
        <is>
          <t>Điều kiện</t>
        </is>
      </c>
      <c r="B13" s="9" t="inlineStr">
        <is>
          <t>Yêu cầu (m)</t>
        </is>
      </c>
      <c r="C13" s="9" t="inlineStr">
        <is>
          <t>Hiện trạng (m)</t>
        </is>
      </c>
      <c r="D13" s="9" t="inlineStr">
        <is>
          <t>Chênh (m)</t>
        </is>
      </c>
      <c r="E13" s="9" t="inlineStr">
        <is>
          <t>Đánh giá</t>
        </is>
      </c>
      <c r="F13" s="9" t="inlineStr">
        <is>
          <t>Sau sửa chữa (m)</t>
        </is>
      </c>
      <c r="G13" s="9" t="inlineStr">
        <is>
          <t>Chênh (m)</t>
        </is>
      </c>
      <c r="H13" s="9" t="inlineStr">
        <is>
          <t>Đánh giá</t>
        </is>
      </c>
    </row>
    <row r="14" ht="30" customHeight="1">
      <c r="A14" s="35" t="inlineStr">
        <is>
          <t>Đỉnh tường chắn sóng ≥ Zđ = max(Z₁; Z₂; Z₃)</t>
        </is>
      </c>
      <c r="B14" s="39">
        <f>Z_yc</f>
        <v/>
      </c>
      <c r="C14" s="31">
        <f>Z_tuong</f>
        <v/>
      </c>
      <c r="D14" s="40">
        <f>C14-B14</f>
        <v/>
      </c>
      <c r="E14" s="41">
        <f>IF(D14&gt;=-0.0001,"Đạt","Không đạt")</f>
        <v/>
      </c>
      <c r="F14" s="31">
        <f>Z_tuong</f>
        <v/>
      </c>
      <c r="G14" s="40">
        <f>F14-B14</f>
        <v/>
      </c>
      <c r="H14" s="41">
        <f>IF(G14&gt;=-0.0001,"Đạt","Không đạt")</f>
        <v/>
      </c>
    </row>
    <row r="15" ht="30" customHeight="1">
      <c r="A15" s="35" t="inlineStr">
        <is>
          <t>Đỉnh đập không kể tường ≥ MNLKT + 0,3 m</t>
        </is>
      </c>
      <c r="B15" s="39">
        <f>MN_LKT+dZ_LKT</f>
        <v/>
      </c>
      <c r="C15" s="31">
        <f>Z_dinh_HT</f>
        <v/>
      </c>
      <c r="D15" s="40">
        <f>C15-B15</f>
        <v/>
      </c>
      <c r="E15" s="41">
        <f>IF(D15&gt;=-0.0001,"Đạt","Không đạt")</f>
        <v/>
      </c>
      <c r="F15" s="31">
        <f>Z_dinh_SC</f>
        <v/>
      </c>
      <c r="G15" s="40">
        <f>F15-B15</f>
        <v/>
      </c>
      <c r="H15" s="41">
        <f>IF(G15&gt;=-0.0001,"Đạt","Không đạt")</f>
        <v/>
      </c>
    </row>
    <row r="16">
      <c r="A16" s="35" t="inlineStr">
        <is>
          <t>Tường cao hơn đỉnh đập ≤ 1,2 m</t>
        </is>
      </c>
      <c r="B16" s="39">
        <f>dZ_tuong</f>
        <v/>
      </c>
      <c r="C16" s="31">
        <f>Z_tuong-Z_dinh_HT</f>
        <v/>
      </c>
      <c r="D16" s="40">
        <f>B16-C16</f>
        <v/>
      </c>
      <c r="E16" s="41">
        <f>IF(D16&gt;=-0.0001,"Đạt","Không đạt")</f>
        <v/>
      </c>
      <c r="F16" s="31">
        <f>Z_tuong-Z_dinh_SC</f>
        <v/>
      </c>
      <c r="G16" s="40">
        <f>B16-F16</f>
        <v/>
      </c>
      <c r="H16" s="41">
        <f>IF(G16&gt;=-0.0001,"Đạt","Không đạt")</f>
        <v/>
      </c>
    </row>
    <row r="18">
      <c r="A18" s="7" t="inlineStr">
        <is>
          <t>Chênh = giá trị thực − yêu cầu (dòng 1, 2) hoặc yêu cầu − giá trị thực (dòng 3); dương là đạt.</t>
        </is>
      </c>
    </row>
    <row r="19">
      <c r="A19" s="7">
        <f>"Nếu không có tường chắn sóng, đỉnh đập phải ≥ Zđ = +"&amp;TEXT(Z_yc,"0.00")&amp;" m: hiện trạng "&amp;TEXT(Z_dinh_HT-Z_yc,"+0.00;-0.00")&amp;" m, sau sửa chữa "&amp;TEXT(Z_dinh_SC-Z_yc,"+0.00;-0.00")&amp;" m → tường chắn sóng phải được giữ lại."</f>
        <v/>
      </c>
    </row>
    <row r="21">
      <c r="A21" s="8" t="inlineStr">
        <is>
          <t>3. Bảng in theo mẫu Bảng 2.4 – gió hướng Bắc (chép vào thuyết minh)</t>
        </is>
      </c>
    </row>
    <row r="22" ht="22" customHeight="1">
      <c r="A22" s="9" t="inlineStr">
        <is>
          <t>Đại lượng</t>
        </is>
      </c>
      <c r="B22" s="9" t="inlineStr">
        <is>
          <t>Z₁: MNDBT</t>
        </is>
      </c>
      <c r="C22" s="11" t="n"/>
      <c r="D22" s="9" t="inlineStr">
        <is>
          <t>Z₂: MNLTK</t>
        </is>
      </c>
      <c r="E22" s="11" t="n"/>
      <c r="F22" s="9" t="inlineStr">
        <is>
          <t>Z₃: MNLKT</t>
        </is>
      </c>
    </row>
    <row r="23">
      <c r="A23" s="28" t="inlineStr">
        <is>
          <t>Mực nước tính toán (m)</t>
        </is>
      </c>
      <c r="B23" s="31">
        <f>TinhSong!C6</f>
        <v/>
      </c>
      <c r="C23" s="11" t="n"/>
      <c r="D23" s="31">
        <f>TinhSong!D6</f>
        <v/>
      </c>
      <c r="E23" s="11" t="n"/>
      <c r="F23" s="31">
        <f>MN_LKT</f>
        <v/>
      </c>
    </row>
    <row r="24">
      <c r="A24" s="28" t="inlineStr">
        <is>
          <t>Vận tốc gió Vl (m/s)</t>
        </is>
      </c>
      <c r="B24" s="32">
        <f>TinhSong!C8</f>
        <v/>
      </c>
      <c r="C24" s="11" t="n"/>
      <c r="D24" s="32">
        <f>TinhSong!D8</f>
        <v/>
      </c>
      <c r="E24" s="11" t="n"/>
      <c r="F24" s="32" t="inlineStr">
        <is>
          <t>–</t>
        </is>
      </c>
    </row>
    <row r="25">
      <c r="A25" s="28" t="inlineStr">
        <is>
          <t>Vận tốc gió tính toán Vw (m/s)</t>
        </is>
      </c>
      <c r="B25" s="31">
        <f>TinhSong!C10</f>
        <v/>
      </c>
      <c r="C25" s="11" t="n"/>
      <c r="D25" s="31">
        <f>TinhSong!D10</f>
        <v/>
      </c>
      <c r="E25" s="11" t="n"/>
      <c r="F25" s="31" t="inlineStr">
        <is>
          <t>–</t>
        </is>
      </c>
    </row>
    <row r="26">
      <c r="A26" s="28" t="inlineStr">
        <is>
          <t>Đà gió D (m)</t>
        </is>
      </c>
      <c r="B26" s="19">
        <f>TinhSong!C12</f>
        <v/>
      </c>
      <c r="C26" s="11" t="n"/>
      <c r="D26" s="19">
        <f>TinhSong!D12</f>
        <v/>
      </c>
      <c r="E26" s="11" t="n"/>
      <c r="F26" s="19" t="inlineStr">
        <is>
          <t>–</t>
        </is>
      </c>
    </row>
    <row r="27">
      <c r="A27" s="28" t="inlineStr">
        <is>
          <t>Chiều sâu nước trước đập H (m)</t>
        </is>
      </c>
      <c r="B27" s="31">
        <f>TinhSong!C7</f>
        <v/>
      </c>
      <c r="C27" s="11" t="n"/>
      <c r="D27" s="31">
        <f>TinhSong!D7</f>
        <v/>
      </c>
      <c r="E27" s="11" t="n"/>
      <c r="F27" s="31" t="inlineStr">
        <is>
          <t>–</t>
        </is>
      </c>
    </row>
    <row r="28">
      <c r="A28" s="28" t="inlineStr">
        <is>
          <t>gD/Vw²</t>
        </is>
      </c>
      <c r="B28" s="32">
        <f>TinhSong!C13</f>
        <v/>
      </c>
      <c r="C28" s="11" t="n"/>
      <c r="D28" s="32">
        <f>TinhSong!D13</f>
        <v/>
      </c>
      <c r="E28" s="11" t="n"/>
      <c r="F28" s="32" t="inlineStr">
        <is>
          <t>–</t>
        </is>
      </c>
    </row>
    <row r="29">
      <c r="A29" s="28" t="inlineStr">
        <is>
          <t>Chiều cao sóng trung bình h̄ (m)</t>
        </is>
      </c>
      <c r="B29" s="33">
        <f>TinhSong!C18</f>
        <v/>
      </c>
      <c r="C29" s="11" t="n"/>
      <c r="D29" s="33">
        <f>TinhSong!D18</f>
        <v/>
      </c>
      <c r="E29" s="11" t="n"/>
      <c r="F29" s="33" t="inlineStr">
        <is>
          <t>–</t>
        </is>
      </c>
    </row>
    <row r="30">
      <c r="A30" s="28" t="inlineStr">
        <is>
          <t>Chu kỳ τ̄ (s)</t>
        </is>
      </c>
      <c r="B30" s="31">
        <f>TinhSong!C19</f>
        <v/>
      </c>
      <c r="C30" s="11" t="n"/>
      <c r="D30" s="31">
        <f>TinhSong!D19</f>
        <v/>
      </c>
      <c r="E30" s="11" t="n"/>
      <c r="F30" s="31" t="inlineStr">
        <is>
          <t>–</t>
        </is>
      </c>
    </row>
    <row r="31">
      <c r="A31" s="28" t="inlineStr">
        <is>
          <t>Bước sóng λ̄ (m)</t>
        </is>
      </c>
      <c r="B31" s="31">
        <f>TinhSong!C20</f>
        <v/>
      </c>
      <c r="C31" s="11" t="n"/>
      <c r="D31" s="31">
        <f>TinhSong!D20</f>
        <v/>
      </c>
      <c r="E31" s="11" t="n"/>
      <c r="F31" s="31" t="inlineStr">
        <is>
          <t>–</t>
        </is>
      </c>
    </row>
    <row r="32">
      <c r="A32" s="28" t="inlineStr">
        <is>
          <t>K1%</t>
        </is>
      </c>
      <c r="B32" s="31">
        <f>TinhSong!C22</f>
        <v/>
      </c>
      <c r="C32" s="11" t="n"/>
      <c r="D32" s="31">
        <f>TinhSong!D22</f>
        <v/>
      </c>
      <c r="E32" s="11" t="n"/>
      <c r="F32" s="31" t="inlineStr">
        <is>
          <t>–</t>
        </is>
      </c>
    </row>
    <row r="33">
      <c r="A33" s="28" t="inlineStr">
        <is>
          <t>h1% (m)</t>
        </is>
      </c>
      <c r="B33" s="33">
        <f>TinhSong!C23</f>
        <v/>
      </c>
      <c r="C33" s="11" t="n"/>
      <c r="D33" s="33">
        <f>TinhSong!D23</f>
        <v/>
      </c>
      <c r="E33" s="11" t="n"/>
      <c r="F33" s="33" t="inlineStr">
        <is>
          <t>–</t>
        </is>
      </c>
    </row>
    <row r="34">
      <c r="A34" s="28" t="inlineStr">
        <is>
          <t>kr</t>
        </is>
      </c>
      <c r="B34" s="31">
        <f>TinhSong!C25</f>
        <v/>
      </c>
      <c r="C34" s="11" t="n"/>
      <c r="D34" s="31">
        <f>TinhSong!D25</f>
        <v/>
      </c>
      <c r="E34" s="11" t="n"/>
      <c r="F34" s="31" t="inlineStr">
        <is>
          <t>–</t>
        </is>
      </c>
    </row>
    <row r="35">
      <c r="A35" s="28" t="inlineStr">
        <is>
          <t>kp</t>
        </is>
      </c>
      <c r="B35" s="31">
        <f>TinhSong!C26</f>
        <v/>
      </c>
      <c r="C35" s="11" t="n"/>
      <c r="D35" s="31">
        <f>TinhSong!D26</f>
        <v/>
      </c>
      <c r="E35" s="11" t="n"/>
      <c r="F35" s="31" t="inlineStr">
        <is>
          <t>–</t>
        </is>
      </c>
    </row>
    <row r="36">
      <c r="A36" s="28" t="inlineStr">
        <is>
          <t>ksp</t>
        </is>
      </c>
      <c r="B36" s="31">
        <f>TinhSong!C27</f>
        <v/>
      </c>
      <c r="C36" s="11" t="n"/>
      <c r="D36" s="31">
        <f>TinhSong!D27</f>
        <v/>
      </c>
      <c r="E36" s="11" t="n"/>
      <c r="F36" s="31" t="inlineStr">
        <is>
          <t>–</t>
        </is>
      </c>
    </row>
    <row r="37">
      <c r="A37" s="28" t="inlineStr">
        <is>
          <t>krun</t>
        </is>
      </c>
      <c r="B37" s="31">
        <f>TinhSong!C29</f>
        <v/>
      </c>
      <c r="C37" s="11" t="n"/>
      <c r="D37" s="31">
        <f>TinhSong!D29</f>
        <v/>
      </c>
      <c r="E37" s="11" t="n"/>
      <c r="F37" s="31" t="inlineStr">
        <is>
          <t>–</t>
        </is>
      </c>
    </row>
    <row r="38">
      <c r="A38" s="28" t="inlineStr">
        <is>
          <t>kα</t>
        </is>
      </c>
      <c r="B38" s="31">
        <f>TinhSong!C30</f>
        <v/>
      </c>
      <c r="C38" s="11" t="n"/>
      <c r="D38" s="31">
        <f>TinhSong!D30</f>
        <v/>
      </c>
      <c r="E38" s="11" t="n"/>
      <c r="F38" s="31" t="inlineStr">
        <is>
          <t>–</t>
        </is>
      </c>
    </row>
    <row r="39">
      <c r="A39" s="28" t="inlineStr">
        <is>
          <t>Sóng leo hsl1% (m)</t>
        </is>
      </c>
      <c r="B39" s="33">
        <f>TinhSong!C31</f>
        <v/>
      </c>
      <c r="C39" s="11" t="n"/>
      <c r="D39" s="33">
        <f>TinhSong!D31</f>
        <v/>
      </c>
      <c r="E39" s="11" t="n"/>
      <c r="F39" s="33" t="inlineStr">
        <is>
          <t>–</t>
        </is>
      </c>
    </row>
    <row r="40">
      <c r="A40" s="28" t="inlineStr">
        <is>
          <t>Độ dềnh Δh (m)</t>
        </is>
      </c>
      <c r="B40" s="33">
        <f>TinhSong!C33</f>
        <v/>
      </c>
      <c r="C40" s="11" t="n"/>
      <c r="D40" s="33">
        <f>TinhSong!D33</f>
        <v/>
      </c>
      <c r="E40" s="11" t="n"/>
      <c r="F40" s="33" t="inlineStr">
        <is>
          <t>–</t>
        </is>
      </c>
    </row>
    <row r="41">
      <c r="A41" s="28" t="inlineStr">
        <is>
          <t>Độ vượt cao an toàn (m)</t>
        </is>
      </c>
      <c r="B41" s="31">
        <f>TinhSong!C34</f>
        <v/>
      </c>
      <c r="C41" s="11" t="n"/>
      <c r="D41" s="31">
        <f>TinhSong!D34</f>
        <v/>
      </c>
      <c r="E41" s="11" t="n"/>
      <c r="F41" s="31">
        <f>a_3</f>
        <v/>
      </c>
    </row>
    <row r="42">
      <c r="A42" s="35" t="inlineStr">
        <is>
          <t>Cao trình đỉnh yêu cầu (m)</t>
        </is>
      </c>
      <c r="B42" s="42">
        <f>TinhSong!C35</f>
        <v/>
      </c>
      <c r="C42" s="11" t="n"/>
      <c r="D42" s="42">
        <f>TinhSong!D35</f>
        <v/>
      </c>
      <c r="E42" s="11" t="n"/>
      <c r="F42" s="42">
        <f>MN_LKT+a_3</f>
        <v/>
      </c>
    </row>
  </sheetData>
  <mergeCells count="42">
    <mergeCell ref="B25:C25"/>
    <mergeCell ref="D34:E34"/>
    <mergeCell ref="B22:C22"/>
    <mergeCell ref="D22:E22"/>
    <mergeCell ref="B31:C31"/>
    <mergeCell ref="D40:E40"/>
    <mergeCell ref="B27:C27"/>
    <mergeCell ref="D31:E31"/>
    <mergeCell ref="D36:E36"/>
    <mergeCell ref="B39:C39"/>
    <mergeCell ref="D27:E27"/>
    <mergeCell ref="B42:C42"/>
    <mergeCell ref="B23:C23"/>
    <mergeCell ref="D32:E32"/>
    <mergeCell ref="D41:E41"/>
    <mergeCell ref="B38:C38"/>
    <mergeCell ref="B29:C29"/>
    <mergeCell ref="B34:C34"/>
    <mergeCell ref="B37:C37"/>
    <mergeCell ref="B28:C28"/>
    <mergeCell ref="D37:E37"/>
    <mergeCell ref="D28:E28"/>
    <mergeCell ref="B40:C40"/>
    <mergeCell ref="D39:E39"/>
    <mergeCell ref="D25:E25"/>
    <mergeCell ref="B24:C24"/>
    <mergeCell ref="B30:C30"/>
    <mergeCell ref="D24:E24"/>
    <mergeCell ref="D30:E30"/>
    <mergeCell ref="B33:C33"/>
    <mergeCell ref="D42:E42"/>
    <mergeCell ref="D33:E33"/>
    <mergeCell ref="D29:E29"/>
    <mergeCell ref="D23:E23"/>
    <mergeCell ref="D38:E38"/>
    <mergeCell ref="B36:C36"/>
    <mergeCell ref="B32:C32"/>
    <mergeCell ref="B26:C26"/>
    <mergeCell ref="B41:C41"/>
    <mergeCell ref="D26:E26"/>
    <mergeCell ref="B35:C35"/>
    <mergeCell ref="D35:E35"/>
  </mergeCells>
  <conditionalFormatting sqref="E14">
    <cfRule type="expression" priority="1" dxfId="0">
      <formula>E14="Đạt"</formula>
    </cfRule>
    <cfRule type="expression" priority="2" dxfId="1">
      <formula>E14="Không đạt"</formula>
    </cfRule>
  </conditionalFormatting>
  <conditionalFormatting sqref="H14">
    <cfRule type="expression" priority="3" dxfId="0">
      <formula>H14="Đạt"</formula>
    </cfRule>
    <cfRule type="expression" priority="4" dxfId="1">
      <formula>H14="Không đạt"</formula>
    </cfRule>
  </conditionalFormatting>
  <conditionalFormatting sqref="E15">
    <cfRule type="expression" priority="5" dxfId="0">
      <formula>E15="Đạt"</formula>
    </cfRule>
    <cfRule type="expression" priority="6" dxfId="1">
      <formula>E15="Không đạt"</formula>
    </cfRule>
  </conditionalFormatting>
  <conditionalFormatting sqref="H15">
    <cfRule type="expression" priority="7" dxfId="0">
      <formula>H15="Đạt"</formula>
    </cfRule>
    <cfRule type="expression" priority="8" dxfId="1">
      <formula>H15="Không đạt"</formula>
    </cfRule>
  </conditionalFormatting>
  <conditionalFormatting sqref="E16">
    <cfRule type="expression" priority="9" dxfId="0">
      <formula>E16="Đạt"</formula>
    </cfRule>
    <cfRule type="expression" priority="10" dxfId="1">
      <formula>E16="Không đạt"</formula>
    </cfRule>
  </conditionalFormatting>
  <conditionalFormatting sqref="H16">
    <cfRule type="expression" priority="11" dxfId="0">
      <formula>H16="Đạt"</formula>
    </cfRule>
    <cfRule type="expression" priority="12" dxfId="1">
      <formula>H16="Không đạt"</formula>
    </cfRule>
  </conditionalFormatting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2026-10-27T13:24:37Z</dcterms:created>
  <dcterms:modified xmlns:dcterms="http://purl.org/dc/terms/" xmlns:xsi="http://www.w3.org/2001/XMLSchema-instance" xsi:type="dcterms:W3CDTF">2026-10-27T13:24:37Z</dcterms:modified>
</cp:coreProperties>
</file>