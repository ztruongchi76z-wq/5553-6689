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comments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drawings/vmlDrawing4.vml" ContentType="application/vnd.openxmlformats-officedocument.vmlDrawing"/>
  <Override PartName="/xl/comments6.xml" ContentType="application/vnd.openxmlformats-officedocument.spreadsheetml.comments+xml"/>
  <Override PartName="/xl/comments5.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style2.xml" ContentType="application/vnd.ms-office.chartstyle+xml"/>
  <Override PartName="/xl/charts/chart2.xml" ContentType="application/vnd.openxmlformats-officedocument.drawingml.chart+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uongDan" sheetId="1" state="visible" r:id="rId3"/>
    <sheet name="SoLieu" sheetId="2" state="visible" r:id="rId4"/>
    <sheet name="QuanHe" sheetId="3" state="visible" r:id="rId5"/>
    <sheet name="P1_HaiTran" sheetId="4" state="visible" r:id="rId6"/>
    <sheet name="P1_KetVan" sheetId="5" state="visible" r:id="rId7"/>
    <sheet name="P02_HaiTran" sheetId="6" state="visible" r:id="rId8"/>
    <sheet name="P02_KetVan" sheetId="7" state="visible" r:id="rId9"/>
    <sheet name="BangIn" sheetId="8" state="visible" r:id="rId10"/>
    <sheet name="KetQua" sheetId="9" state="visible" r:id="rId11"/>
  </sheets>
  <definedNames>
    <definedName function="false" hidden="false" name="Bang_F" vbProcedure="false">SoLieu!$B$75:$B$101</definedName>
    <definedName function="false" hidden="false" name="Bang_W" vbProcedure="false">SoLieu!$C$75:$C$101</definedName>
    <definedName function="false" hidden="false" name="Bang_Z" vbProcedure="false">SoLieu!$A$75:$A$101</definedName>
    <definedName function="false" hidden="false" name="Buoc_in" vbProcedure="false">BangIn!$I$4</definedName>
    <definedName function="false" hidden="false" name="dt_h" vbProcedure="false">SoLieu!$B$7</definedName>
    <definedName function="false" hidden="false" name="dt_s" vbProcedure="false">SoLieu!$B$8</definedName>
    <definedName function="false" hidden="false" name="g_" vbProcedure="false">SoLieu!$B$9</definedName>
    <definedName function="false" hidden="false" name="Lu_P" vbProcedure="false">SoLieu!$B$32:$C$32</definedName>
    <definedName function="false" hidden="false" name="Lu_Q" vbProcedure="false">SoLieu!$B$34:$C$70</definedName>
    <definedName function="false" hidden="false" name="Lu_t" vbProcedure="false">SoLieu!$A$34:$A$70</definedName>
    <definedName function="false" hidden="false" name="QH_f" vbProcedure="false">QuanHe!$L$5:$M$105</definedName>
    <definedName function="false" hidden="false" name="QH_qsc" vbProcedure="false">QuanHe!$I$5:$I$105</definedName>
    <definedName function="false" hidden="false" name="QH_qtc" vbProcedure="false">QuanHe!$F$5:$F$105</definedName>
    <definedName function="false" hidden="false" name="QH_V" vbProcedure="false">QuanHe!$C$5:$C$105</definedName>
    <definedName function="false" hidden="false" name="QH_Z" vbProcedure="false">QuanHe!$A$5:$A$105</definedName>
    <definedName function="false" hidden="false" name="SC_b" vbProcedure="false">SoLieu!$B$25</definedName>
    <definedName function="false" hidden="false" name="SC_m" vbProcedure="false">SoLieu!$B$26</definedName>
    <definedName function="false" hidden="false" name="SC_n" vbProcedure="false">SoLieu!$B$24</definedName>
    <definedName function="false" hidden="false" name="SC_s" vbProcedure="false">SoLieu!$B$29</definedName>
    <definedName function="false" hidden="false" name="SC_xmb" vbProcedure="false">SoLieu!$B$27</definedName>
    <definedName function="false" hidden="false" name="SC_xmt" vbProcedure="false">SoLieu!$B$28</definedName>
    <definedName function="false" hidden="false" name="SC_Z" vbProcedure="false">SoLieu!$B$23</definedName>
    <definedName function="false" hidden="false" name="TC_b" vbProcedure="false">SoLieu!$B$15</definedName>
    <definedName function="false" hidden="false" name="TC_m" vbProcedure="false">SoLieu!$B$16</definedName>
    <definedName function="false" hidden="false" name="TC_n" vbProcedure="false">SoLieu!$B$14</definedName>
    <definedName function="false" hidden="false" name="TC_s" vbProcedure="false">SoLieu!$B$19</definedName>
    <definedName function="false" hidden="false" name="TC_xmb" vbProcedure="false">SoLieu!$B$17</definedName>
    <definedName function="false" hidden="false" name="TC_xmt" vbProcedure="false">SoLieu!$B$18</definedName>
    <definedName function="false" hidden="false" name="TC_Z" vbProcedure="false">SoLieu!$B$13</definedName>
    <definedName function="false" hidden="false" name="Z0" vbProcedure="false">SoLieu!$B$6</definedName>
    <definedName function="false" hidden="false" name="Z_cuoi_in" vbProcedure="false">BangIn!$F$4</definedName>
    <definedName function="false" hidden="false" name="Z_dau_in" vbProcedure="false">BangIn!$C$4</definedName>
    <definedName function="false" hidden="false" localSheetId="7" name="_xlnm.Print_Area" vbProcedure="false">OFFSET(BangIn!$A$1,0,0,6+COUNT(BangIn!$B$7:$B$107),12)</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Hướng dẫn</author>
  </authors>
  <commentList>
    <comment ref="M15" authorId="0">
      <text>
        <r>
          <rPr>
            <sz val="10"/>
            <rFont val="Arial"/>
            <family val="2"/>
          </rPr>
          <t xml:space="preserve">k = MATCH(f₂; cột f của QuanHe; 1): số thứ tự dòng trong bảng QuanHe có f(k) ≤ f₂ &lt; f(k+1), tức Z₂ nằm giữa Z(k) và Z(k+1).
Z(k) = 71,00 + (k − 1) × 0,10 m; ví dụ k = 38 → Z(k) = 74,70 m.
Cột phụ để Excel tra bảng – không cần đưa vào thuyết minh.</t>
        </r>
      </text>
    </comment>
    <comment ref="N15" authorId="0">
      <text>
        <r>
          <rPr>
            <sz val="10"/>
            <rFont val="Arial"/>
            <family val="2"/>
          </rPr>
          <t xml:space="preserve">w = [f₂ − f(k)] / [f(k+1) − f(k)]: f₂ nằm ở bao nhiêu phần quãng từ dòng k đến dòng k+1 (0 ÷ 1).
Z₂, q tràn chính, q tràn sự cố, V₂ = giá trị dòng k + w × (dòng k+1 − dòng k).
Cột phụ – không cần đưa vào thuyết minh.</t>
        </r>
      </text>
    </comment>
  </commentList>
</comments>
</file>

<file path=xl/comments5.xml><?xml version="1.0" encoding="utf-8"?>
<comments xmlns="http://schemas.openxmlformats.org/spreadsheetml/2006/main" xmlns:xdr="http://schemas.openxmlformats.org/drawingml/2006/spreadsheetDrawing">
  <authors>
    <author>Hướng dẫn</author>
  </authors>
  <commentList>
    <comment ref="M15" authorId="0">
      <text>
        <r>
          <rPr>
            <sz val="10"/>
            <rFont val="Arial"/>
            <family val="2"/>
          </rPr>
          <t xml:space="preserve">k = MATCH(f₂; cột f của QuanHe; 1): số thứ tự dòng trong bảng QuanHe có f(k) ≤ f₂ &lt; f(k+1), tức Z₂ nằm giữa Z(k) và Z(k+1).
Z(k) = 71,00 + (k − 1) × 0,10 m; ví dụ k = 38 → Z(k) = 74,70 m.
Cột phụ để Excel tra bảng – không cần đưa vào thuyết minh.</t>
        </r>
      </text>
    </comment>
    <comment ref="N15" authorId="0">
      <text>
        <r>
          <rPr>
            <sz val="10"/>
            <rFont val="Arial"/>
            <family val="2"/>
          </rPr>
          <t xml:space="preserve">w = [f₂ − f(k)] / [f(k+1) − f(k)]: f₂ nằm ở bao nhiêu phần quãng từ dòng k đến dòng k+1 (0 ÷ 1).
Z₂, q tràn chính, q tràn sự cố, V₂ = giá trị dòng k + w × (dòng k+1 − dòng k).
Cột phụ – không cần đưa vào thuyết minh.</t>
        </r>
      </text>
    </comment>
  </commentList>
</comments>
</file>

<file path=xl/comments6.xml><?xml version="1.0" encoding="utf-8"?>
<comments xmlns="http://schemas.openxmlformats.org/spreadsheetml/2006/main" xmlns:xdr="http://schemas.openxmlformats.org/drawingml/2006/spreadsheetDrawing">
  <authors>
    <author>Hướng dẫn</author>
  </authors>
  <commentList>
    <comment ref="M15" authorId="0">
      <text>
        <r>
          <rPr>
            <sz val="10"/>
            <rFont val="Arial"/>
            <family val="2"/>
          </rPr>
          <t xml:space="preserve">k = MATCH(f₂; cột f của QuanHe; 1): số thứ tự dòng trong bảng QuanHe có f(k) ≤ f₂ &lt; f(k+1), tức Z₂ nằm giữa Z(k) và Z(k+1).
Z(k) = 71,00 + (k − 1) × 0,10 m; ví dụ k = 38 → Z(k) = 74,70 m.
Cột phụ để Excel tra bảng – không cần đưa vào thuyết minh.</t>
        </r>
      </text>
    </comment>
    <comment ref="N15" authorId="0">
      <text>
        <r>
          <rPr>
            <sz val="10"/>
            <rFont val="Arial"/>
            <family val="2"/>
          </rPr>
          <t xml:space="preserve">w = [f₂ − f(k)] / [f(k+1) − f(k)]: f₂ nằm ở bao nhiêu phần quãng từ dòng k đến dòng k+1 (0 ÷ 1).
Z₂, q tràn chính, q tràn sự cố, V₂ = giá trị dòng k + w × (dòng k+1 − dòng k).
Cột phụ – không cần đưa vào thuyết minh.</t>
        </r>
      </text>
    </comment>
  </commentList>
</comments>
</file>

<file path=xl/comments7.xml><?xml version="1.0" encoding="utf-8"?>
<comments xmlns="http://schemas.openxmlformats.org/spreadsheetml/2006/main" xmlns:xdr="http://schemas.openxmlformats.org/drawingml/2006/spreadsheetDrawing">
  <authors>
    <author>Hướng dẫn</author>
  </authors>
  <commentList>
    <comment ref="M15" authorId="0">
      <text>
        <r>
          <rPr>
            <sz val="10"/>
            <rFont val="Arial"/>
            <family val="2"/>
          </rPr>
          <t xml:space="preserve">k = MATCH(f₂; cột f của QuanHe; 1): số thứ tự dòng trong bảng QuanHe có f(k) ≤ f₂ &lt; f(k+1), tức Z₂ nằm giữa Z(k) và Z(k+1).
Z(k) = 71,00 + (k − 1) × 0,10 m; ví dụ k = 38 → Z(k) = 74,70 m.
Cột phụ để Excel tra bảng – không cần đưa vào thuyết minh.</t>
        </r>
      </text>
    </comment>
    <comment ref="N15" authorId="0">
      <text>
        <r>
          <rPr>
            <sz val="10"/>
            <rFont val="Arial"/>
            <family val="2"/>
          </rPr>
          <t xml:space="preserve">w = [f₂ − f(k)] / [f(k+1) − f(k)]: f₂ nằm ở bao nhiêu phần quãng từ dòng k đến dòng k+1 (0 ÷ 1).
Z₂, q tràn chính, q tràn sự cố, V₂ = giá trị dòng k + w × (dòng k+1 − dòng k).
Cột phụ – không cần đưa vào thuyết minh.</t>
        </r>
      </text>
    </comment>
  </commentList>
</comments>
</file>

<file path=xl/sharedStrings.xml><?xml version="1.0" encoding="utf-8"?>
<sst xmlns="http://schemas.openxmlformats.org/spreadsheetml/2006/main" count="305" uniqueCount="178">
  <si>
    <t xml:space="preserve">ĐIỀU TIẾT LŨ HỒ CÀ GIÂY VỚI HAI TRÀN CÓ NGƯỠNG KHÁC NHAU – PHƯƠNG PHÁP PÔ-TA-PỐP</t>
  </si>
  <si>
    <t xml:space="preserve">Mọi ô kết quả là công thức. Đổi thông số tràn, mực nước trước lũ ở sheet SoLieu; đổi tần suất, trường hợp ở ô vàng đầu mỗi sheet điều tiết.</t>
  </si>
  <si>
    <t xml:space="preserve">1. Cộng dồn hay tính song song?</t>
  </si>
  <si>
    <t xml:space="preserve">•  Hai tràn cùng lấy nước từ MỘT hồ nên ở mỗi thời điểm chỉ có MỘT mực nước Z. Tràn nào có ngưỡng thấp hơn Z thì tràn đó xả: tràn sự cố (ngưỡng +71,00 m) xả khi Z &gt; +71,00; tràn chính (ngưỡng +74,70 m) xả khi Z &gt; +74,70.</t>
  </si>
  <si>
    <t xml:space="preserve">•  Lưu lượng xả của hồ là TỔNG hai tràn tại CÙNG mực nước: q(Z) = q tràn chính(Z) + q tràn sự cố(Z). Vậy “cộng” là đúng ở bước lập quan hệ q ~ Z (sheet QuanHe, cột q hai tràn), sau đó điều tiết MỘT lần với q tổng – đó chính là tính song song (hai tràn cùng làm việc).</t>
  </si>
  <si>
    <t xml:space="preserve">•  KHÔNG được điều tiết riêng từng tràn rồi cộng kết quả: mỗi lần tính riêng đã cho TOÀN BỘ trận lũ đi qua một tràn, nên mực nước cao hơn thực tế; cộng hai lưu lượng xả của hai lần tính riêng thì tính trùng lượng nước lũ.</t>
  </si>
  <si>
    <t xml:space="preserve">•  Kết quả “tính độc lập” trong bảng của bạn chỉ có ý nghĩa là trường hợp MỘT tràn không làm việc: “chỉ tràn chính” chính là trường hợp cửa van tràn sự cố bị kẹt (P = 1%: +78,20 m ở file này, bạn tính +78,28 m); “chỉ tràn sự cố” là trường hợp cả 9 cửa tràn chính không mở – không phải trường hợp thiết kế.</t>
  </si>
  <si>
    <t xml:space="preserve">2. Giả thiết tính toán</t>
  </si>
  <si>
    <t xml:space="preserve">•  Khi lũ về, mực nước hồ ở MNDBT = +74,70 m (ô SoLieu!B5). Tràn chính 9 khoang × 2,4 m, cửa van mở hết, chảy tự do.</t>
  </si>
  <si>
    <t xml:space="preserve">•  Tràn sự cố có cửa van phẳng: giả thiết cửa van MỞ HOÀN TOÀN suốt trận lũ (kéo lên khỏi mặt nước) nên tràn làm việc như đập tràn chảy tự do, tính bằng cùng công thức với tràn chính.</t>
  </si>
  <si>
    <t xml:space="preserve">•  Trường hợp kẹt van: cửa tràn sự cố đóng, chỉ tràn chính xả (chọn “Kẹt van” ở ô F3 của sheet điều tiết).</t>
  </si>
  <si>
    <t xml:space="preserve">•  Bỏ qua lưu tốc tới gần (H₀ ≈ H), chảy không ngập (σn = 1). Dung tích theo bình đồ 2022 (thuyết minh mục 1.2.3).</t>
  </si>
  <si>
    <t xml:space="preserve">•  Lưu ý: thuyết minh dùng quy tắc vận hành QTVH (đầu lũ dùng cửa van tràn sự cố giữ MNDBT, khi xả không kịp mới mở hết) nên MNLTK, MNLKT cao hơn file này khoảng 2 cm (+77,63 / +78,54 so với +77,61 / +78,51 m). Khi mở hết cửa ngay từ đầu, hồ rút xuống khoảng +74,64 m trước khi lũ lớn về.</t>
  </si>
  <si>
    <t xml:space="preserve">3. Công thức lưu lượng qua tràn (TCVN 9147:2012)</t>
  </si>
  <si>
    <t xml:space="preserve">q = σn·ε·m·n·b·√(2g)·H^1,5        ε = 1 − 0,2·[ξmb + (n − 1)·ξmt]·H / (n·b)</t>
  </si>
  <si>
    <t xml:space="preserve">•  H = Z − Z ngưỡng (lấy 0 khi Z thấp hơn ngưỡng); n – số khoang; b – bề rộng một khoang; m – hệ số lưu lượng; ξmb, ξmt – hệ số hình dạng mố bên, mố trụ. Thông số từng tràn ở sheet SoLieu (giống chương trình của đồ án).</t>
  </si>
  <si>
    <t xml:space="preserve">4. Phương pháp Pô-ta-pốp</t>
  </si>
  <si>
    <t xml:space="preserve">(Q₁ + Q₂)/2·Δt − (q₁ + q₂)/2·Δt = V₂ − V₁    ⇒    V₂/Δt + q₂/2 = V₁/Δt + q₁/2 + Qtb − q₁    ⇒    f₂ = f₁ + Qtb − q₁</t>
  </si>
  <si>
    <t xml:space="preserve">•  f = V/Δt + q/2 (đơn vị m³/s) chỉ phụ thuộc mực nước Z, nên lập sẵn bảng Z ~ V ~ q ~ f (sheet QuanHe, bước 0,1 m – thử bước 0,01 m kết quả chỉ lệch dưới 0,3 mm; một cột f cho trường hợp hai tràn, một cột cho trường hợp kẹt van).</t>
  </si>
  <si>
    <t xml:space="preserve">•  Mỗi giờ: (1) Qtb = (Q₁ + Q₂)/2; (2) f₂ = f₁ + Qtb − q₁; (3) tra ngược bảng f ~ Z: tìm dòng k có f(k) ≤ f₂ &lt; f(k+1) (cột M, hàm MATCH) và tỷ lệ nội suy w = [f₂ − f(k)] / [f(k+1) − f(k)] (cột N); (4) Z₂, q tràn chính, q tràn sự cố, V₂ đều nội suy giữa dòng k và k+1 với CÙNG tỷ lệ w; (5) sang giờ sau với f₁ = f₂, q₁ = q₂.</t>
  </si>
  <si>
    <t xml:space="preserve">•  Ví dụ (sheet P1_KetVan, giờ 3, số liệu mặc định): f₂ = 10270,6 nằm giữa f(38) = 10114,4 (Z = 74,70 m) và f(39) = 10289,9 (Z = 74,80 m) → k = 38; w = (10270,6 − 10114,4)/(10289,9 − 10114,4) = 0,890 → Z₂ = 74,70 + 0,890 × 0,10 = 74,789 m; V₂ = 36,412 + 0,890 × (37,041 − 36,412) = 36,972·10⁶ m³.</t>
  </si>
  <si>
    <t xml:space="preserve">•  Vì sao dùng cùng w: khi đó V₂/Δt + q₂/2 đúng bằng f₂ (cột L) nên cân bằng nước khớp tuyệt đối. Nếu tính q₂ bằng công thức từ Z₂ còn f lại tra bảng thì hai bên lệch nhau một chút ở mỗi giờ, tích lũy thành sai số cân bằng nước.</t>
  </si>
  <si>
    <t xml:space="preserve">•  Giờ 0: Z = MNDBT, q = q(MNDBT). Trường hợp hai tràn: tràn sự cố đã xả khoảng 64 m³/s (H = 3,70 m), tràn chính chưa xả. Trường hợp kẹt van: q = 0.</t>
  </si>
  <si>
    <t xml:space="preserve">•  Kết quả: Zmax = MNLTK (P = 1%) hoặc MNLKT (P = 0,2%), lưu lượng xả lớn nhất qmax, phân chia cho từng tràn. Kiểm tra: W đến − W xả = ΔV (sai số ≈ 0).</t>
  </si>
  <si>
    <t xml:space="preserve">5. Trình tự trong file</t>
  </si>
  <si>
    <t xml:space="preserve">•  SoLieu: thông số hai tràn, mực nước trước lũ, đường quá trình lũ P = 1% và 0,2% (BCNCKT – mô hình Gurdich 36 giờ), bảng Z ~ F ~ W 2022.</t>
  </si>
  <si>
    <t xml:space="preserve">•  QuanHe: bảng Z ~ F ~ V ~ q tràn chính ~ q tràn sự cố ~ q tổng ~ f (101 dòng, +71,00 ÷ +81,00 m, bước 0,1 m) – bảng tra cho các sheet điều tiết.</t>
  </si>
  <si>
    <t xml:space="preserve">•  BangIn: bảng in vào thuyết minh – tự chọn mực nước đầu, cuối và bước (0,1 / 0,2 / 0,5 m; tối đa 101 dòng); chọn vùng có số liệu → Copy → sang Word dán “Giữ văn bản” (Keep Text Only) hoặc dán vào Excel khác bằng Paste Special → Values.</t>
  </si>
  <si>
    <t xml:space="preserve">•  P1_HaiTran, P1_KetVan, P02_HaiTran, P02_KetVan: bốn bảng điều tiết giống nhau, chỉ khác ô tần suất (C3) và trường hợp (F3).</t>
  </si>
  <si>
    <t xml:space="preserve">•  KetQua: tổng hợp 4 trường hợp, so sánh với thuyết minh và với bảng tính độc lập của bạn, biểu đồ lưu lượng và mực nước.</t>
  </si>
  <si>
    <t xml:space="preserve">6. Chú giải màu ô</t>
  </si>
  <si>
    <t xml:space="preserve">•  Nền vàng chữ xanh: ô được sửa. Chữ xanh: số liệu gốc hồ sơ. Chữ đen: công thức. Nền đỏ nhạt: dòng có mực nước lớn nhất.</t>
  </si>
  <si>
    <t xml:space="preserve">SỐ LIỆU ĐẦU VÀO – ĐIỀU TIẾT LŨ HAI TRÀN</t>
  </si>
  <si>
    <t xml:space="preserve">Ô nền vàng chữ xanh: được sửa. Chữ xanh: số liệu gốc hồ sơ. Chữ đen: công thức.</t>
  </si>
  <si>
    <t xml:space="preserve">A. THÔNG SỐ CHUNG</t>
  </si>
  <si>
    <t xml:space="preserve">Thông số</t>
  </si>
  <si>
    <t xml:space="preserve">Giá trị</t>
  </si>
  <si>
    <t xml:space="preserve">Đơn vị</t>
  </si>
  <si>
    <t xml:space="preserve">Ghi chú, nguồn</t>
  </si>
  <si>
    <t xml:space="preserve">Mực nước hồ khi lũ đến (MNDBT)</t>
  </si>
  <si>
    <t xml:space="preserve">m</t>
  </si>
  <si>
    <t xml:space="preserve">Giả thiết bất lợi: lũ đến khi hồ đầy ở MNDBT</t>
  </si>
  <si>
    <t xml:space="preserve">Bước thời gian Δt</t>
  </si>
  <si>
    <t xml:space="preserve">giờ</t>
  </si>
  <si>
    <t xml:space="preserve">Bằng bước của đường quá trình lũ (cố định 1 giờ)</t>
  </si>
  <si>
    <t xml:space="preserve">Δt tính bằng giây</t>
  </si>
  <si>
    <t xml:space="preserve">s</t>
  </si>
  <si>
    <t xml:space="preserve">Gia tốc trọng trường g</t>
  </si>
  <si>
    <t xml:space="preserve">m/s²</t>
  </si>
  <si>
    <t xml:space="preserve">B. TRÀN CHÍNH (9 khoang có cửa van, mở hết – chảy tự do)</t>
  </si>
  <si>
    <t xml:space="preserve">Cao trình ngưỡng</t>
  </si>
  <si>
    <t xml:space="preserve">QTVH 2026; thuyết minh mục 1.6.2</t>
  </si>
  <si>
    <t xml:space="preserve">Số khoang n</t>
  </si>
  <si>
    <t xml:space="preserve">khoang</t>
  </si>
  <si>
    <t xml:space="preserve">Đơn vị quản lý chia 9 khoang × 2,4 m (QTVH mục 6)</t>
  </si>
  <si>
    <t xml:space="preserve">Bề rộng một khoang b</t>
  </si>
  <si>
    <t xml:space="preserve">Σb = 21,6 m</t>
  </si>
  <si>
    <t xml:space="preserve">Hệ số lưu lượng m</t>
  </si>
  <si>
    <t xml:space="preserve">Đồ án lấy 0,45 (thuyết minh 2.3.2); BCNCKT 0,467; QTVH 0,40</t>
  </si>
  <si>
    <t xml:space="preserve">Hệ số hình dạng mố bên ξmb</t>
  </si>
  <si>
    <t xml:space="preserve">Mố bên lượn tròn</t>
  </si>
  <si>
    <t xml:space="preserve">Hệ số hình dạng mố trụ ξmt</t>
  </si>
  <si>
    <t xml:space="preserve">Mố trụ đầu tròn</t>
  </si>
  <si>
    <t xml:space="preserve">Hệ số chảy ngập σn</t>
  </si>
  <si>
    <t xml:space="preserve">Chảy không ngập</t>
  </si>
  <si>
    <t xml:space="preserve">C. TRÀN SỰ CỐ (cửa van phẳng – giả thiết mở hoàn toàn)</t>
  </si>
  <si>
    <t xml:space="preserve">KTTV Bảng 1-2</t>
  </si>
  <si>
    <t xml:space="preserve">Bề rộng khoang b</t>
  </si>
  <si>
    <t xml:space="preserve">Như chương trình của đồ án</t>
  </si>
  <si>
    <t xml:space="preserve">Không dùng khi n = 1</t>
  </si>
  <si>
    <t xml:space="preserve">D. ĐƯỜNG QUÁ TRÌNH LŨ ĐẾN (m³/s) – BCNCKT 2022, mô hình Gurdich 36 giờ (KTTV Bảng 4-5)</t>
  </si>
  <si>
    <t xml:space="preserve">Tần suất P (%) →</t>
  </si>
  <si>
    <t xml:space="preserve">t (giờ)</t>
  </si>
  <si>
    <t xml:space="preserve">P = 1%</t>
  </si>
  <si>
    <t xml:space="preserve">P = 0,2%</t>
  </si>
  <si>
    <t xml:space="preserve">Giờ 0 lấy bằng giờ 1 (như chương trình của đồ án); sau giờ 36 lưu lượng đến = 0.</t>
  </si>
  <si>
    <t xml:space="preserve">Tổng lượng lũ tính từ bảng (10⁶ m³):</t>
  </si>
  <si>
    <t xml:space="preserve">Tổng lượng lũ ghi trong KTTV Bảng 4-4 (10⁶ m³):</t>
  </si>
  <si>
    <t xml:space="preserve">Thuyết minh mục 1.4.3: dùng trực tiếp tung độ đường quá trình (tổng lượng 36,27 / 47,69), không dùng tổng lượng ghi – thiên an toàn.</t>
  </si>
  <si>
    <t xml:space="preserve">E. QUAN HỆ Z ~ F ~ W – BÌNH ĐỒ 2022 (QTVH Bảng 1-2)</t>
  </si>
  <si>
    <t xml:space="preserve">Z (m)</t>
  </si>
  <si>
    <t xml:space="preserve">F (km²)</t>
  </si>
  <si>
    <t xml:space="preserve">W (10⁶ m³)</t>
  </si>
  <si>
    <t xml:space="preserve">Ghi chú</t>
  </si>
  <si>
    <t xml:space="preserve">W cộng dồn từ F (F biến đổi tuyến tính giữa hai cao trình): dùng cho mọi tính toán – V(+74,70) = 36,41·10⁶ m³ như thuyết minh. Điều tiết lũ chỉ dùng chênh lệch dung tích nên chỉ phần trên MNDBT quyết định kết quả.</t>
  </si>
  <si>
    <t xml:space="preserve">BẢNG QUAN HỆ Z ~ V ~ q ~ f (bước 0,1 m) – dùng để tra trong các sheet điều tiết</t>
  </si>
  <si>
    <t xml:space="preserve">f = V·10⁶/Δt + q/2 (m³/s). Cột q hai tràn = q tràn chính + q tràn sự cố tại CÙNG mực nước Z.</t>
  </si>
  <si>
    <t xml:space="preserve">V (10⁶ m³)</t>
  </si>
  <si>
    <t xml:space="preserve">H tràn chính (m)</t>
  </si>
  <si>
    <t xml:space="preserve">ε tràn chính</t>
  </si>
  <si>
    <t xml:space="preserve">q tràn chính (m³/s)</t>
  </si>
  <si>
    <t xml:space="preserve">H tràn sự cố (m)</t>
  </si>
  <si>
    <t xml:space="preserve">ε tràn sự cố</t>
  </si>
  <si>
    <t xml:space="preserve">q tràn sự cố (m³/s)</t>
  </si>
  <si>
    <t xml:space="preserve">q hai tràn (m³/s)</t>
  </si>
  <si>
    <t xml:space="preserve">q kẹt van (m³/s)</t>
  </si>
  <si>
    <t xml:space="preserve">f hai tràn (m³/s)</t>
  </si>
  <si>
    <t xml:space="preserve">f kẹt van (m³/s)</t>
  </si>
  <si>
    <t xml:space="preserve">ĐIỀU TIẾT LŨ – PHƯƠNG PHÁP PÔ-TA-PỐP (Δt = 1 giờ)</t>
  </si>
  <si>
    <t xml:space="preserve">Tần suất P (%)</t>
  </si>
  <si>
    <t xml:space="preserve">Trường hợp</t>
  </si>
  <si>
    <t xml:space="preserve">Hai tràn</t>
  </si>
  <si>
    <t xml:space="preserve">← sửa ô vàng: P = 1 hoặc 0,2; trường hợp “Hai tràn” hoặc “Kẹt van”</t>
  </si>
  <si>
    <t xml:space="preserve">Cột lũ</t>
  </si>
  <si>
    <t xml:space="preserve">Cột f</t>
  </si>
  <si>
    <t xml:space="preserve">Giờ 0: Z = MNDBT, q = q(MNDBT) theo trường hợp chọn. Từ giờ 1: f₂ = f₁ + Qtb − q₁ → tìm dòng k, tỷ lệ w</t>
  </si>
  <si>
    <t xml:space="preserve">Mực nước lớn nhất Zmax (m)</t>
  </si>
  <si>
    <t xml:space="preserve">trong bảng QuanHe (cột M, N) → Z₂, q₂, V₂ nội suy với cùng k, w (cột L kiểm tra bằng f₂).</t>
  </si>
  <si>
    <t xml:space="preserve">Thời điểm xuất hiện (giờ)</t>
  </si>
  <si>
    <t xml:space="preserve">Lưu lượng xả lớn nhất qmax (m³/s)</t>
  </si>
  <si>
    <t xml:space="preserve">Lúc Zmax: q tràn chính / q tràn sự cố (m³/s)</t>
  </si>
  <si>
    <t xml:space="preserve">Cột nước trên ngưỡng lúc Zmax: tràn chính / tràn sự cố (m)</t>
  </si>
  <si>
    <t xml:space="preserve">Dung tích phòng lũ V(Zmax) − V(MNDBT) (10⁶ m³)</t>
  </si>
  <si>
    <t xml:space="preserve">Cân bằng nước: W đến − W xả − ΔV (10⁶ m³, phải ≈ 0)</t>
  </si>
  <si>
    <t xml:space="preserve">Q đến (m³/s)</t>
  </si>
  <si>
    <t xml:space="preserve">Qtb = (Q₁+Q₂)/2</t>
  </si>
  <si>
    <t xml:space="preserve">f₁ (giờ trước)</t>
  </si>
  <si>
    <t xml:space="preserve">q₁ (giờ trước)</t>
  </si>
  <si>
    <t xml:space="preserve">f₂ = f₁ + Qtb − q₁</t>
  </si>
  <si>
    <t xml:space="preserve">Z₂ (m)</t>
  </si>
  <si>
    <t xml:space="preserve">q xả = tổng (m³/s)</t>
  </si>
  <si>
    <t xml:space="preserve">V₂ (10⁶ m³)</t>
  </si>
  <si>
    <t xml:space="preserve">Kiểm tra V₂/Δt + q₂/2 (= f₂)</t>
  </si>
  <si>
    <t xml:space="preserve">k – dòng tra bảng QuanHe</t>
  </si>
  <si>
    <t xml:space="preserve">w – tỷ lệ nội suy</t>
  </si>
  <si>
    <t xml:space="preserve">Kẹt van</t>
  </si>
  <si>
    <t xml:space="preserve">BẢNG QUAN HỆ PHỤ TRỢ PÔ-TA-PỐP – DÙNG ĐỂ IN VÀO THUYẾT MINH</t>
  </si>
  <si>
    <t xml:space="preserve">Chọn mực nước đầu, cuối, bước ở ô vàng; bảng tự rút gọn. Chọn vùng có số liệu → Copy → Word: dán “Giữ văn bản” (Keep Text Only) rồi chuyển thành bảng, hoặc Excel khác: Paste Special → Values.</t>
  </si>
  <si>
    <t xml:space="preserve">Z đầu (m)</t>
  </si>
  <si>
    <t xml:space="preserve">Z cuối (m)</t>
  </si>
  <si>
    <t xml:space="preserve">Bước (m)</t>
  </si>
  <si>
    <t xml:space="preserve">TT</t>
  </si>
  <si>
    <t xml:space="preserve">V/Δt (m³/s)</t>
  </si>
  <si>
    <t xml:space="preserve">f hai tràn = V/Δt + q/2</t>
  </si>
  <si>
    <t xml:space="preserve">f kẹt van = V/Δt + q tc/2</t>
  </si>
  <si>
    <t xml:space="preserve">KẾT QUẢ ĐIỀU TIẾT LŨ – HỒ CÀ GIÂY (hai tràn, cửa van tràn sự cố mở hoàn toàn)</t>
  </si>
  <si>
    <t xml:space="preserve">Sheet</t>
  </si>
  <si>
    <t xml:space="preserve">P (%) – trường hợp</t>
  </si>
  <si>
    <t xml:space="preserve">Zmax (m)</t>
  </si>
  <si>
    <t xml:space="preserve">qmax (m³/s)</t>
  </si>
  <si>
    <t xml:space="preserve">q tràn chính lúc Zmax</t>
  </si>
  <si>
    <t xml:space="preserve">q tràn sự cố lúc Zmax</t>
  </si>
  <si>
    <t xml:space="preserve">Dung tích phòng lũ (10⁶ m³)</t>
  </si>
  <si>
    <t xml:space="preserve">Thuyết minh (quy tắc QTVH)</t>
  </si>
  <si>
    <t xml:space="preserve">Ý nghĩa</t>
  </si>
  <si>
    <t xml:space="preserve">P1_HaiTran</t>
  </si>
  <si>
    <t xml:space="preserve">MNLTK – trường hợp thiết kế</t>
  </si>
  <si>
    <t xml:space="preserve">P1_KetVan</t>
  </si>
  <si>
    <t xml:space="preserve">Kẹt van tràn sự cố – tổ hợp đặc biệt</t>
  </si>
  <si>
    <t xml:space="preserve">P02_HaiTran</t>
  </si>
  <si>
    <t xml:space="preserve">MNLKT – trường hợp kiểm tra</t>
  </si>
  <si>
    <t xml:space="preserve">P02_KetVan</t>
  </si>
  <si>
    <t xml:space="preserve">Kẹt van + lũ kiểm tra – đánh giá rủi ro</t>
  </si>
  <si>
    <t xml:space="preserve">Cột “Thuyết minh”: chương trình của đồ án, đầu lũ dùng cửa van tràn sự cố giữ MNDBT rồi mới mở hết (QTVH) – cao hơn giả thiết mở hoàn toàn từ đầu khoảng 2 cm.</t>
  </si>
  <si>
    <t xml:space="preserve">Kẹt van: chương trình chia mỗi giờ thành 10 bước 6 phút, lệch file này (Δt = 1 giờ) dưới 2 mm – 78,21 và 78,20 chỉ khác nhau do làm tròn.</t>
  </si>
  <si>
    <t xml:space="preserve">SO SÁNH VỚI BẢNG TÍNH HAI TRÀN ĐỘC LẬP (bảng của bạn)</t>
  </si>
  <si>
    <t xml:space="preserve">Cách tính</t>
  </si>
  <si>
    <t xml:space="preserve">Zmax P = 1% (m)</t>
  </si>
  <si>
    <t xml:space="preserve">Zmax P = 0,2% (m)</t>
  </si>
  <si>
    <t xml:space="preserve">Nhận xét</t>
  </si>
  <si>
    <t xml:space="preserve">Chỉ tràn chính (bảng của bạn)</t>
  </si>
  <si>
    <t xml:space="preserve">Thực chất là trường hợp kẹt van tràn sự cố – gần kết quả kẹt van của file này</t>
  </si>
  <si>
    <t xml:space="preserve">Chỉ tràn sự cố (bảng của bạn)</t>
  </si>
  <si>
    <t xml:space="preserve">Trường hợp cả 9 cửa tràn chính không mở – không phải trường hợp thiết kế</t>
  </si>
  <si>
    <t xml:space="preserve">Kẹt van – file này</t>
  </si>
  <si>
    <t xml:space="preserve">Chỉ tràn chính làm việc</t>
  </si>
  <si>
    <t xml:space="preserve">Hai tràn cùng làm việc – file này</t>
  </si>
  <si>
    <t xml:space="preserve">ĐÚNG cho MNLTK, MNLKT: q(Z) = q tràn chính(Z) + q tràn sự cố(Z), điều tiết một lần</t>
  </si>
  <si>
    <t xml:space="preserve">Kết luận: MNLTK = Zmax (P = 1%, hai tràn) =</t>
  </si>
  <si>
    <t xml:space="preserve">             MNLKT = Zmax (P = 0,2%, hai tràn) =</t>
  </si>
  <si>
    <t xml:space="preserve">SỐ LIỆU VẼ BIỂU ĐỒ (lấy từ các sheet điều tiết)</t>
  </si>
  <si>
    <t xml:space="preserve">Q đến P = 1%</t>
  </si>
  <si>
    <t xml:space="preserve">q xả – hai tràn</t>
  </si>
  <si>
    <t xml:space="preserve">q xả – kẹt van</t>
  </si>
  <si>
    <t xml:space="preserve">Z P = 1% – hai tràn</t>
  </si>
  <si>
    <t xml:space="preserve">Z P = 1% – kẹt van</t>
  </si>
  <si>
    <t xml:space="preserve">Z P = 0,2% – hai tràn</t>
  </si>
  <si>
    <t xml:space="preserve">Z P = 0,2% – kẹt van</t>
  </si>
</sst>
</file>

<file path=xl/styles.xml><?xml version="1.0" encoding="utf-8"?>
<styleSheet xmlns="http://schemas.openxmlformats.org/spreadsheetml/2006/main">
  <numFmts count="6">
    <numFmt numFmtId="164" formatCode="General"/>
    <numFmt numFmtId="165" formatCode="0.00"/>
    <numFmt numFmtId="166" formatCode="0"/>
    <numFmt numFmtId="167" formatCode="0.0"/>
    <numFmt numFmtId="168" formatCode="0.000"/>
    <numFmt numFmtId="169" formatCode="0.0000"/>
  </numFmts>
  <fonts count="18">
    <font>
      <sz val="11"/>
      <color theme="1"/>
      <name val="Calibri"/>
      <family val="2"/>
      <charset val="1"/>
    </font>
    <font>
      <sz val="10"/>
      <name val="Arial"/>
      <family val="0"/>
    </font>
    <font>
      <sz val="10"/>
      <name val="Arial"/>
      <family val="0"/>
    </font>
    <font>
      <sz val="10"/>
      <name val="Arial"/>
      <family val="0"/>
    </font>
    <font>
      <b val="true"/>
      <sz val="14"/>
      <color rgb="FF12324A"/>
      <name val="Times New Roman"/>
      <family val="0"/>
      <charset val="1"/>
    </font>
    <font>
      <i val="true"/>
      <sz val="10"/>
      <color rgb="FF52514E"/>
      <name val="Times New Roman"/>
      <family val="0"/>
      <charset val="1"/>
    </font>
    <font>
      <b val="true"/>
      <sz val="12"/>
      <color rgb="FFA65A10"/>
      <name val="Times New Roman"/>
      <family val="0"/>
      <charset val="1"/>
    </font>
    <font>
      <sz val="11"/>
      <name val="Times New Roman"/>
      <family val="0"/>
      <charset val="1"/>
    </font>
    <font>
      <b val="true"/>
      <sz val="12"/>
      <color rgb="FF12324A"/>
      <name val="Times New Roman"/>
      <family val="0"/>
      <charset val="1"/>
    </font>
    <font>
      <b val="true"/>
      <sz val="10"/>
      <color rgb="FFFFFFFF"/>
      <name val="Times New Roman"/>
      <family val="0"/>
      <charset val="1"/>
    </font>
    <font>
      <b val="true"/>
      <sz val="11"/>
      <name val="Times New Roman"/>
      <family val="0"/>
      <charset val="1"/>
    </font>
    <font>
      <b val="true"/>
      <sz val="11"/>
      <color rgb="FF0000FF"/>
      <name val="Times New Roman"/>
      <family val="0"/>
      <charset val="1"/>
    </font>
    <font>
      <sz val="11"/>
      <color rgb="FF0000FF"/>
      <name val="Times New Roman"/>
      <family val="0"/>
      <charset val="1"/>
    </font>
    <font>
      <sz val="10"/>
      <color rgb="FF8A8984"/>
      <name val="Times New Roman"/>
      <family val="0"/>
      <charset val="1"/>
    </font>
    <font>
      <sz val="10"/>
      <name val="Arial"/>
      <family val="2"/>
    </font>
    <font>
      <b val="true"/>
      <sz val="18"/>
      <color rgb="FF000000"/>
      <name val="Calibri"/>
      <family val="2"/>
    </font>
    <font>
      <sz val="10"/>
      <color rgb="FF000000"/>
      <name val="Calibri"/>
      <family val="2"/>
    </font>
    <font>
      <b val="true"/>
      <sz val="10"/>
      <color rgb="FF000000"/>
      <name val="Calibri"/>
      <family val="2"/>
    </font>
  </fonts>
  <fills count="7">
    <fill>
      <patternFill patternType="none"/>
    </fill>
    <fill>
      <patternFill patternType="gray125"/>
    </fill>
    <fill>
      <patternFill patternType="solid">
        <fgColor rgb="FF12324A"/>
        <bgColor rgb="FF003300"/>
      </patternFill>
    </fill>
    <fill>
      <patternFill patternType="solid">
        <fgColor rgb="FFFFF2CC"/>
        <bgColor rgb="FFFBF3E8"/>
      </patternFill>
    </fill>
    <fill>
      <patternFill patternType="solid">
        <fgColor rgb="FFFBF3E8"/>
        <bgColor rgb="FFF4F1FA"/>
      </patternFill>
    </fill>
    <fill>
      <patternFill patternType="solid">
        <fgColor rgb="FFEEF3FA"/>
        <bgColor rgb="FFF4F1FA"/>
      </patternFill>
    </fill>
    <fill>
      <patternFill patternType="solid">
        <fgColor rgb="FFF4F1FA"/>
        <bgColor rgb="FFEEF3FA"/>
      </patternFill>
    </fill>
  </fills>
  <borders count="2">
    <border diagonalUp="false" diagonalDown="false">
      <left/>
      <right/>
      <top/>
      <bottom/>
      <diagonal/>
    </border>
    <border diagonalUp="false" diagonalDown="false">
      <left style="thin">
        <color rgb="FFB8BEC6"/>
      </left>
      <right style="thin">
        <color rgb="FFB8BEC6"/>
      </right>
      <top style="thin">
        <color rgb="FFB8BEC6"/>
      </top>
      <bottom style="thin">
        <color rgb="FFB8BEC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1" fillId="3"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center"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6" fontId="11" fillId="3"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right" vertical="bottom" textRotation="0" wrapText="false" indent="0" shrinkToFit="false"/>
      <protection locked="true" hidden="false"/>
    </xf>
    <xf numFmtId="167" fontId="11" fillId="0" borderId="1" xfId="0" applyFont="true" applyBorder="true" applyAlignment="true" applyProtection="false">
      <alignment horizontal="center" vertical="bottom" textRotation="0" wrapText="false" indent="0" shrinkToFit="false"/>
      <protection locked="true" hidden="false"/>
    </xf>
    <xf numFmtId="166" fontId="12"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4" borderId="1" xfId="0" applyFont="true" applyBorder="true" applyAlignment="true" applyProtection="false">
      <alignment horizontal="center" vertical="bottom" textRotation="0" wrapText="false" indent="0" shrinkToFit="false"/>
      <protection locked="true" hidden="false"/>
    </xf>
    <xf numFmtId="165" fontId="12" fillId="0" borderId="1" xfId="0" applyFont="true" applyBorder="true" applyAlignment="true" applyProtection="false">
      <alignment horizontal="center" vertical="bottom" textRotation="0" wrapText="false" indent="0" shrinkToFit="false"/>
      <protection locked="true" hidden="false"/>
    </xf>
    <xf numFmtId="168" fontId="7" fillId="0" borderId="1" xfId="0" applyFont="true" applyBorder="true" applyAlignment="true" applyProtection="false">
      <alignment horizontal="center"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8" fontId="7" fillId="0" borderId="0" xfId="0" applyFont="true" applyBorder="false" applyAlignment="true" applyProtection="false">
      <alignment horizontal="center" vertical="bottom" textRotation="0" wrapText="false" indent="0" shrinkToFit="false"/>
      <protection locked="true" hidden="false"/>
    </xf>
    <xf numFmtId="165" fontId="7" fillId="5" borderId="0" xfId="0" applyFont="true" applyBorder="false" applyAlignment="true" applyProtection="false">
      <alignment horizontal="center" vertical="bottom" textRotation="0" wrapText="false" indent="0" shrinkToFit="false"/>
      <protection locked="true" hidden="false"/>
    </xf>
    <xf numFmtId="168" fontId="7" fillId="5" borderId="0" xfId="0" applyFont="true" applyBorder="false" applyAlignment="true" applyProtection="false">
      <alignment horizontal="center" vertical="bottom" textRotation="0" wrapText="false" indent="0" shrinkToFit="false"/>
      <protection locked="true" hidden="false"/>
    </xf>
    <xf numFmtId="167" fontId="7" fillId="5" borderId="0" xfId="0" applyFont="true" applyBorder="false" applyAlignment="true" applyProtection="false">
      <alignment horizontal="center" vertical="bottom" textRotation="0" wrapText="false" indent="0" shrinkToFit="false"/>
      <protection locked="true" hidden="false"/>
    </xf>
    <xf numFmtId="165" fontId="7" fillId="6" borderId="0" xfId="0" applyFont="true" applyBorder="false" applyAlignment="true" applyProtection="false">
      <alignment horizontal="center" vertical="bottom" textRotation="0" wrapText="false" indent="0" shrinkToFit="false"/>
      <protection locked="true" hidden="false"/>
    </xf>
    <xf numFmtId="168" fontId="7" fillId="6" borderId="0" xfId="0" applyFont="true" applyBorder="false" applyAlignment="true" applyProtection="false">
      <alignment horizontal="center" vertical="bottom" textRotation="0" wrapText="false" indent="0" shrinkToFit="false"/>
      <protection locked="true" hidden="false"/>
    </xf>
    <xf numFmtId="167" fontId="7" fillId="6" borderId="0" xfId="0" applyFont="true" applyBorder="false" applyAlignment="true" applyProtection="false">
      <alignment horizontal="center" vertical="bottom" textRotation="0" wrapText="false" indent="0" shrinkToFit="false"/>
      <protection locked="true" hidden="false"/>
    </xf>
    <xf numFmtId="167" fontId="7" fillId="0" borderId="0" xfId="0" applyFont="true" applyBorder="false" applyAlignment="true" applyProtection="false">
      <alignment horizontal="center" vertical="bottom" textRotation="0" wrapText="false" indent="0" shrinkToFit="false"/>
      <protection locked="true" hidden="false"/>
    </xf>
    <xf numFmtId="167" fontId="11" fillId="3" borderId="1" xfId="0" applyFont="true" applyBorder="true" applyAlignment="true" applyProtection="false">
      <alignment horizontal="center" vertical="bottom" textRotation="0" wrapText="false" indent="0" shrinkToFit="false"/>
      <protection locked="true" hidden="false"/>
    </xf>
    <xf numFmtId="164" fontId="11" fillId="3"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6" fontId="10" fillId="4" borderId="1" xfId="0" applyFont="true" applyBorder="true" applyAlignment="true" applyProtection="false">
      <alignment horizontal="center" vertical="bottom" textRotation="0" wrapText="false" indent="0" shrinkToFit="false"/>
      <protection locked="true" hidden="false"/>
    </xf>
    <xf numFmtId="167" fontId="10" fillId="4" borderId="1" xfId="0" applyFont="true" applyBorder="true" applyAlignment="true" applyProtection="false">
      <alignment horizontal="center" vertical="bottom" textRotation="0" wrapText="false" indent="0" shrinkToFit="false"/>
      <protection locked="true" hidden="false"/>
    </xf>
    <xf numFmtId="168" fontId="10" fillId="4" borderId="1" xfId="0" applyFont="true" applyBorder="true" applyAlignment="true" applyProtection="false">
      <alignment horizontal="center" vertical="bottom" textRotation="0" wrapText="false" indent="0" shrinkToFit="false"/>
      <protection locked="true" hidden="false"/>
    </xf>
    <xf numFmtId="169" fontId="10" fillId="4" borderId="1" xfId="0" applyFont="true" applyBorder="true" applyAlignment="true" applyProtection="false">
      <alignment horizontal="center"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8" fontId="10" fillId="0" borderId="1" xfId="0" applyFont="true" applyBorder="true" applyAlignment="true" applyProtection="false">
      <alignment horizontal="center" vertical="bottom" textRotation="0" wrapText="false" indent="0" shrinkToFit="false"/>
      <protection locked="true" hidden="false"/>
    </xf>
    <xf numFmtId="167" fontId="7" fillId="5" borderId="1" xfId="0" applyFont="true" applyBorder="true" applyAlignment="true" applyProtection="false">
      <alignment horizontal="center" vertical="bottom" textRotation="0" wrapText="false" indent="0" shrinkToFit="false"/>
      <protection locked="true" hidden="false"/>
    </xf>
    <xf numFmtId="167" fontId="7" fillId="6" borderId="1" xfId="0" applyFont="true" applyBorder="true" applyAlignment="true" applyProtection="false">
      <alignment horizontal="center" vertical="bottom" textRotation="0" wrapText="false" indent="0" shrinkToFit="false"/>
      <protection locked="true" hidden="false"/>
    </xf>
    <xf numFmtId="166" fontId="13" fillId="0" borderId="1" xfId="0" applyFont="true" applyBorder="true" applyAlignment="true" applyProtection="false">
      <alignment horizontal="center" vertical="bottom" textRotation="0" wrapText="false" indent="0" shrinkToFit="false"/>
      <protection locked="true" hidden="false"/>
    </xf>
    <xf numFmtId="168" fontId="13" fillId="0" borderId="1" xfId="0" applyFont="true" applyBorder="true" applyAlignment="true" applyProtection="false">
      <alignment horizontal="center" vertical="bottom" textRotation="0" wrapText="false" indent="0" shrinkToFit="false"/>
      <protection locked="true" hidden="false"/>
    </xf>
    <xf numFmtId="166" fontId="7" fillId="0" borderId="0" xfId="0" applyFont="true" applyBorder="false" applyAlignment="true" applyProtection="false">
      <alignment horizontal="center" vertical="bottom" textRotation="0" wrapText="false" indent="0" shrinkToFit="false"/>
      <protection locked="true" hidden="false"/>
    </xf>
    <xf numFmtId="165" fontId="10" fillId="0" borderId="0" xfId="0" applyFont="true" applyBorder="false" applyAlignment="true" applyProtection="false">
      <alignment horizontal="center" vertical="bottom" textRotation="0" wrapText="false" indent="0" shrinkToFit="false"/>
      <protection locked="true" hidden="false"/>
    </xf>
    <xf numFmtId="166" fontId="7" fillId="4" borderId="1" xfId="0" applyFont="true" applyBorder="true" applyAlignment="true" applyProtection="false">
      <alignment horizontal="center" vertical="bottom" textRotation="0" wrapText="false" indent="0" shrinkToFit="false"/>
      <protection locked="true" hidden="false"/>
    </xf>
    <xf numFmtId="167" fontId="7" fillId="4" borderId="1" xfId="0" applyFont="true" applyBorder="true" applyAlignment="true" applyProtection="false">
      <alignment horizontal="center" vertical="bottom" textRotation="0" wrapText="false" indent="0" shrinkToFit="false"/>
      <protection locked="true" hidden="false"/>
    </xf>
    <xf numFmtId="165" fontId="7" fillId="4"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8D7D7"/>
        </patternFill>
      </fill>
    </dxf>
    <dxf>
      <border diagonalUp="false" diagonalDown="false">
        <left style="thin">
          <color rgb="FFB8BEC6"/>
        </left>
        <right style="thin">
          <color rgb="FFB8BEC6"/>
        </right>
        <top style="thin">
          <color rgb="FFB8BEC6"/>
        </top>
        <bottom style="thin">
          <color rgb="FFB8BEC6"/>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8BEC6"/>
      <rgbColor rgb="FF878787"/>
      <rgbColor rgb="FF9999FF"/>
      <rgbColor rgb="FF993366"/>
      <rgbColor rgb="FFFFF2CC"/>
      <rgbColor rgb="FFEEF3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4F1FA"/>
      <rgbColor rgb="FFCCFFCC"/>
      <rgbColor rgb="FFFBF3E8"/>
      <rgbColor rgb="FF99CCFF"/>
      <rgbColor rgb="FFFF99CC"/>
      <rgbColor rgb="FFCC99FF"/>
      <rgbColor rgb="FFF8D7D7"/>
      <rgbColor rgb="FF2A78D6"/>
      <rgbColor rgb="FF33CCCC"/>
      <rgbColor rgb="FF99CC00"/>
      <rgbColor rgb="FFFFCC00"/>
      <rgbColor rgb="FFEDA100"/>
      <rgbColor rgb="FFEB6834"/>
      <rgbColor rgb="FF666699"/>
      <rgbColor rgb="FF8A8984"/>
      <rgbColor rgb="FF12324A"/>
      <rgbColor rgb="FF1BAF7A"/>
      <rgbColor rgb="FF003300"/>
      <rgbColor rgb="FF333300"/>
      <rgbColor rgb="FFA65A10"/>
      <rgbColor rgb="FF993366"/>
      <rgbColor rgb="FF333399"/>
      <rgbColor rgb="FF5251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Lưu lượng đến và xả – P = 1%</a:t>
            </a:r>
          </a:p>
        </c:rich>
      </c:tx>
      <c:overlay val="0"/>
      <c:spPr>
        <a:noFill/>
        <a:ln w="0">
          <a:noFill/>
        </a:ln>
      </c:spPr>
    </c:title>
    <c:autoTitleDeleted val="0"/>
    <c:plotArea>
      <c:lineChart>
        <c:grouping val="standard"/>
        <c:varyColors val="0"/>
        <c:ser>
          <c:idx val="0"/>
          <c:order val="0"/>
          <c:tx>
            <c:strRef>
              <c:f>KetQua!B22</c:f>
              <c:strCache>
                <c:ptCount val="1"/>
                <c:pt idx="0">
                  <c:v>Q đến P = 1%</c:v>
                </c:pt>
              </c:strCache>
            </c:strRef>
          </c:tx>
          <c:spPr>
            <a:solidFill>
              <a:srgbClr val="52514E"/>
            </a:solidFill>
            <a:ln w="22320">
              <a:solidFill>
                <a:srgbClr val="52514E"/>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2320">
                  <a:solidFill>
                    <a:srgbClr val="000000"/>
                  </a:solidFill>
                </a:ln>
              </c:spPr>
            </c:leaderLines>
            <c:extLst>
              <c:ext xmlns:c15="http://schemas.microsoft.com/office/drawing/2012/chart" uri="{CE6537A1-D6FC-4f65-9D91-7224C49458BB}">
                <c15:showLeaderLines val="1"/>
              </c:ext>
            </c:extLst>
          </c:dLbls>
          <c:cat>
            <c:strRef>
              <c:f>KetQua!$A$23:$A$71</c:f>
              <c:strCach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strCache>
            </c:strRef>
          </c:cat>
          <c:val>
            <c:numRef>
              <c:f>KetQua!$B$23:$B$71</c:f>
              <c:numCache>
                <c:formatCode>0.0</c:formatCode>
                <c:ptCount val="49"/>
                <c:pt idx="0">
                  <c:v>2</c:v>
                </c:pt>
                <c:pt idx="1">
                  <c:v>2</c:v>
                </c:pt>
                <c:pt idx="2">
                  <c:v>50</c:v>
                </c:pt>
                <c:pt idx="3">
                  <c:v>207</c:v>
                </c:pt>
                <c:pt idx="4">
                  <c:v>437</c:v>
                </c:pt>
                <c:pt idx="5">
                  <c:v>657</c:v>
                </c:pt>
                <c:pt idx="6">
                  <c:v>816</c:v>
                </c:pt>
                <c:pt idx="7">
                  <c:v>898</c:v>
                </c:pt>
                <c:pt idx="8">
                  <c:v>914</c:v>
                </c:pt>
                <c:pt idx="9">
                  <c:v>879</c:v>
                </c:pt>
                <c:pt idx="10">
                  <c:v>812</c:v>
                </c:pt>
                <c:pt idx="11">
                  <c:v>727</c:v>
                </c:pt>
                <c:pt idx="12">
                  <c:v>636</c:v>
                </c:pt>
                <c:pt idx="13">
                  <c:v>547</c:v>
                </c:pt>
                <c:pt idx="14">
                  <c:v>461</c:v>
                </c:pt>
                <c:pt idx="15">
                  <c:v>386</c:v>
                </c:pt>
                <c:pt idx="16">
                  <c:v>321</c:v>
                </c:pt>
                <c:pt idx="17">
                  <c:v>263</c:v>
                </c:pt>
                <c:pt idx="18">
                  <c:v>214</c:v>
                </c:pt>
                <c:pt idx="19">
                  <c:v>174</c:v>
                </c:pt>
                <c:pt idx="20">
                  <c:v>141</c:v>
                </c:pt>
                <c:pt idx="21">
                  <c:v>112</c:v>
                </c:pt>
                <c:pt idx="22">
                  <c:v>89</c:v>
                </c:pt>
                <c:pt idx="23">
                  <c:v>71</c:v>
                </c:pt>
                <c:pt idx="24">
                  <c:v>57</c:v>
                </c:pt>
                <c:pt idx="25">
                  <c:v>46</c:v>
                </c:pt>
                <c:pt idx="26">
                  <c:v>36</c:v>
                </c:pt>
                <c:pt idx="27">
                  <c:v>29</c:v>
                </c:pt>
                <c:pt idx="28">
                  <c:v>23</c:v>
                </c:pt>
                <c:pt idx="29">
                  <c:v>18</c:v>
                </c:pt>
                <c:pt idx="30">
                  <c:v>14</c:v>
                </c:pt>
                <c:pt idx="31">
                  <c:v>11</c:v>
                </c:pt>
                <c:pt idx="32">
                  <c:v>8</c:v>
                </c:pt>
                <c:pt idx="33">
                  <c:v>7</c:v>
                </c:pt>
                <c:pt idx="34">
                  <c:v>5</c:v>
                </c:pt>
                <c:pt idx="35">
                  <c:v>4</c:v>
                </c:pt>
                <c:pt idx="36">
                  <c:v>3</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ser>
        <c:ser>
          <c:idx val="1"/>
          <c:order val="1"/>
          <c:tx>
            <c:strRef>
              <c:f>KetQua!C22</c:f>
              <c:strCache>
                <c:ptCount val="1"/>
                <c:pt idx="0">
                  <c:v>q xả – hai tràn</c:v>
                </c:pt>
              </c:strCache>
            </c:strRef>
          </c:tx>
          <c:spPr>
            <a:solidFill>
              <a:srgbClr val="2A78D6"/>
            </a:solidFill>
            <a:ln w="22320">
              <a:solidFill>
                <a:srgbClr val="2A78D6"/>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2320">
                  <a:solidFill>
                    <a:srgbClr val="000000"/>
                  </a:solidFill>
                </a:ln>
              </c:spPr>
            </c:leaderLines>
            <c:extLst>
              <c:ext xmlns:c15="http://schemas.microsoft.com/office/drawing/2012/chart" uri="{CE6537A1-D6FC-4f65-9D91-7224C49458BB}">
                <c15:showLeaderLines val="1"/>
              </c:ext>
            </c:extLst>
          </c:dLbls>
          <c:cat>
            <c:strRef>
              <c:f>KetQua!$A$23:$A$71</c:f>
              <c:strCach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strCache>
            </c:strRef>
          </c:cat>
          <c:val>
            <c:numRef>
              <c:f>KetQua!$C$23:$C$71</c:f>
              <c:numCache>
                <c:formatCode>0.0</c:formatCode>
                <c:ptCount val="49"/>
                <c:pt idx="0">
                  <c:v>63.5823321712985</c:v>
                </c:pt>
                <c:pt idx="1">
                  <c:v>62.7447183269476</c:v>
                </c:pt>
                <c:pt idx="2">
                  <c:v>62.2449339944574</c:v>
                </c:pt>
                <c:pt idx="3">
                  <c:v>63.1461041610931</c:v>
                </c:pt>
                <c:pt idx="4">
                  <c:v>68.6874749025587</c:v>
                </c:pt>
                <c:pt idx="5">
                  <c:v>83.4455867136531</c:v>
                </c:pt>
                <c:pt idx="6">
                  <c:v>108.461483808235</c:v>
                </c:pt>
                <c:pt idx="7">
                  <c:v>141.191814327621</c:v>
                </c:pt>
                <c:pt idx="8">
                  <c:v>177.492019392864</c:v>
                </c:pt>
                <c:pt idx="9">
                  <c:v>213.264015609186</c:v>
                </c:pt>
                <c:pt idx="10">
                  <c:v>245.561376405628</c:v>
                </c:pt>
                <c:pt idx="11">
                  <c:v>272.715172838473</c:v>
                </c:pt>
                <c:pt idx="12">
                  <c:v>294.051910727734</c:v>
                </c:pt>
                <c:pt idx="13">
                  <c:v>309.631247894074</c:v>
                </c:pt>
                <c:pt idx="14">
                  <c:v>319.82596520227</c:v>
                </c:pt>
                <c:pt idx="15">
                  <c:v>325.266218833005</c:v>
                </c:pt>
                <c:pt idx="16">
                  <c:v>326.748241000745</c:v>
                </c:pt>
                <c:pt idx="17">
                  <c:v>324.9243751512</c:v>
                </c:pt>
                <c:pt idx="18">
                  <c:v>320.389290531241</c:v>
                </c:pt>
                <c:pt idx="19">
                  <c:v>313.757639209451</c:v>
                </c:pt>
                <c:pt idx="20">
                  <c:v>305.566278743307</c:v>
                </c:pt>
                <c:pt idx="21">
                  <c:v>296.189510426197</c:v>
                </c:pt>
                <c:pt idx="22">
                  <c:v>285.958441778936</c:v>
                </c:pt>
                <c:pt idx="23">
                  <c:v>275.214408514334</c:v>
                </c:pt>
                <c:pt idx="24">
                  <c:v>264.228266161518</c:v>
                </c:pt>
                <c:pt idx="25">
                  <c:v>253.203925279157</c:v>
                </c:pt>
                <c:pt idx="26">
                  <c:v>242.256100626819</c:v>
                </c:pt>
                <c:pt idx="27">
                  <c:v>231.492000741736</c:v>
                </c:pt>
                <c:pt idx="28">
                  <c:v>221.011086627658</c:v>
                </c:pt>
                <c:pt idx="29">
                  <c:v>210.854798127776</c:v>
                </c:pt>
                <c:pt idx="30">
                  <c:v>201.060964224787</c:v>
                </c:pt>
                <c:pt idx="31">
                  <c:v>191.663650047772</c:v>
                </c:pt>
                <c:pt idx="32">
                  <c:v>182.668465862427</c:v>
                </c:pt>
                <c:pt idx="33">
                  <c:v>174.103392704388</c:v>
                </c:pt>
                <c:pt idx="34">
                  <c:v>165.971327030509</c:v>
                </c:pt>
                <c:pt idx="35">
                  <c:v>158.266794026192</c:v>
                </c:pt>
                <c:pt idx="36">
                  <c:v>150.974475678325</c:v>
                </c:pt>
                <c:pt idx="37">
                  <c:v>144.022395543803</c:v>
                </c:pt>
                <c:pt idx="38">
                  <c:v>137.410930374207</c:v>
                </c:pt>
                <c:pt idx="39">
                  <c:v>131.221309737423</c:v>
                </c:pt>
                <c:pt idx="40">
                  <c:v>125.41281393021</c:v>
                </c:pt>
                <c:pt idx="41">
                  <c:v>119.93416329105</c:v>
                </c:pt>
                <c:pt idx="42">
                  <c:v>114.809135899257</c:v>
                </c:pt>
                <c:pt idx="43">
                  <c:v>110.001323090754</c:v>
                </c:pt>
                <c:pt idx="44">
                  <c:v>105.450988442844</c:v>
                </c:pt>
                <c:pt idx="45">
                  <c:v>101.240568190767</c:v>
                </c:pt>
                <c:pt idx="46">
                  <c:v>97.2300597579819</c:v>
                </c:pt>
                <c:pt idx="47">
                  <c:v>93.5280613439438</c:v>
                </c:pt>
                <c:pt idx="48">
                  <c:v>90.0013622994195</c:v>
                </c:pt>
              </c:numCache>
            </c:numRef>
          </c:val>
          <c:smooth val="0"/>
        </c:ser>
        <c:ser>
          <c:idx val="2"/>
          <c:order val="2"/>
          <c:tx>
            <c:strRef>
              <c:f>KetQua!D22</c:f>
              <c:strCache>
                <c:ptCount val="1"/>
                <c:pt idx="0">
                  <c:v>q xả – kẹt van</c:v>
                </c:pt>
              </c:strCache>
            </c:strRef>
          </c:tx>
          <c:spPr>
            <a:solidFill>
              <a:srgbClr val="2A78D6"/>
            </a:solidFill>
            <a:ln w="22320">
              <a:solidFill>
                <a:srgbClr val="2A78D6"/>
              </a:solidFill>
              <a:prstDash val="dash"/>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2320">
                  <a:solidFill>
                    <a:srgbClr val="000000"/>
                  </a:solidFill>
                  <a:prstDash val="dash"/>
                </a:ln>
              </c:spPr>
            </c:leaderLines>
            <c:extLst>
              <c:ext xmlns:c15="http://schemas.microsoft.com/office/drawing/2012/chart" uri="{CE6537A1-D6FC-4f65-9D91-7224C49458BB}">
                <c15:showLeaderLines val="1"/>
              </c:ext>
            </c:extLst>
          </c:dLbls>
          <c:cat>
            <c:strRef>
              <c:f>KetQua!$A$23:$A$71</c:f>
              <c:strCach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strCache>
            </c:strRef>
          </c:cat>
          <c:val>
            <c:numRef>
              <c:f>KetQua!$D$23:$D$71</c:f>
              <c:numCache>
                <c:formatCode>0.0</c:formatCode>
                <c:ptCount val="49"/>
                <c:pt idx="0">
                  <c:v>0</c:v>
                </c:pt>
                <c:pt idx="1">
                  <c:v>0.015450380866394</c:v>
                </c:pt>
                <c:pt idx="2">
                  <c:v>0.216185974995059</c:v>
                </c:pt>
                <c:pt idx="3">
                  <c:v>1.20720286783505</c:v>
                </c:pt>
                <c:pt idx="4">
                  <c:v>5.99538230559741</c:v>
                </c:pt>
                <c:pt idx="5">
                  <c:v>17.8939608193328</c:v>
                </c:pt>
                <c:pt idx="6">
                  <c:v>38.237633119706</c:v>
                </c:pt>
                <c:pt idx="7">
                  <c:v>65.3818070691551</c:v>
                </c:pt>
                <c:pt idx="8">
                  <c:v>96.0154957909195</c:v>
                </c:pt>
                <c:pt idx="9">
                  <c:v>126.838006529791</c:v>
                </c:pt>
                <c:pt idx="10">
                  <c:v>155.37011258532</c:v>
                </c:pt>
                <c:pt idx="11">
                  <c:v>180.145974453468</c:v>
                </c:pt>
                <c:pt idx="12">
                  <c:v>200.534514357358</c:v>
                </c:pt>
                <c:pt idx="13">
                  <c:v>216.485622061645</c:v>
                </c:pt>
                <c:pt idx="14">
                  <c:v>228.228941154988</c:v>
                </c:pt>
                <c:pt idx="15">
                  <c:v>236.204312636176</c:v>
                </c:pt>
                <c:pt idx="16">
                  <c:v>240.993780038306</c:v>
                </c:pt>
                <c:pt idx="17">
                  <c:v>243.076117997252</c:v>
                </c:pt>
                <c:pt idx="18">
                  <c:v>242.889418525531</c:v>
                </c:pt>
                <c:pt idx="19">
                  <c:v>240.89336017833</c:v>
                </c:pt>
                <c:pt idx="20">
                  <c:v>237.488207021341</c:v>
                </c:pt>
                <c:pt idx="21">
                  <c:v>232.956126245888</c:v>
                </c:pt>
                <c:pt idx="22">
                  <c:v>227.545541161945</c:v>
                </c:pt>
                <c:pt idx="23">
                  <c:v>221.518964804994</c:v>
                </c:pt>
                <c:pt idx="24">
                  <c:v>215.085533134386</c:v>
                </c:pt>
                <c:pt idx="25">
                  <c:v>208.408973146753</c:v>
                </c:pt>
                <c:pt idx="26">
                  <c:v>201.581765456549</c:v>
                </c:pt>
                <c:pt idx="27">
                  <c:v>194.693398972575</c:v>
                </c:pt>
                <c:pt idx="28">
                  <c:v>187.829536849463</c:v>
                </c:pt>
                <c:pt idx="29">
                  <c:v>181.036644778243</c:v>
                </c:pt>
                <c:pt idx="30">
                  <c:v>174.351434761773</c:v>
                </c:pt>
                <c:pt idx="31">
                  <c:v>167.810293024402</c:v>
                </c:pt>
                <c:pt idx="32">
                  <c:v>161.427781135286</c:v>
                </c:pt>
                <c:pt idx="33">
                  <c:v>155.247396290832</c:v>
                </c:pt>
                <c:pt idx="34">
                  <c:v>149.27542204409</c:v>
                </c:pt>
                <c:pt idx="35">
                  <c:v>143.500036553406</c:v>
                </c:pt>
                <c:pt idx="36">
                  <c:v>137.94105451634</c:v>
                </c:pt>
                <c:pt idx="37">
                  <c:v>132.550415372954</c:v>
                </c:pt>
                <c:pt idx="38">
                  <c:v>127.330551104367</c:v>
                </c:pt>
                <c:pt idx="39">
                  <c:v>122.349659429738</c:v>
                </c:pt>
                <c:pt idx="40">
                  <c:v>117.586231988384</c:v>
                </c:pt>
                <c:pt idx="41">
                  <c:v>113.028079509861</c:v>
                </c:pt>
                <c:pt idx="42">
                  <c:v>108.681651029193</c:v>
                </c:pt>
                <c:pt idx="43">
                  <c:v>104.51167833829</c:v>
                </c:pt>
                <c:pt idx="44">
                  <c:v>100.544539121636</c:v>
                </c:pt>
                <c:pt idx="45">
                  <c:v>96.7311277733075</c:v>
                </c:pt>
                <c:pt idx="46">
                  <c:v>93.1070763510137</c:v>
                </c:pt>
                <c:pt idx="47">
                  <c:v>89.6213967480977</c:v>
                </c:pt>
                <c:pt idx="48">
                  <c:v>86.3054953415178</c:v>
                </c:pt>
              </c:numCache>
            </c:numRef>
          </c:val>
          <c:smooth val="0"/>
        </c:ser>
        <c:hiLowLines>
          <c:spPr>
            <a:ln w="0">
              <a:noFill/>
            </a:ln>
          </c:spPr>
        </c:hiLowLines>
        <c:marker val="0"/>
        <c:axId val="61349872"/>
        <c:axId val="14030336"/>
      </c:lineChart>
      <c:catAx>
        <c:axId val="61349872"/>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t (giờ)</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4030336"/>
        <c:crosses val="autoZero"/>
        <c:auto val="1"/>
        <c:lblAlgn val="ctr"/>
        <c:lblOffset val="100"/>
        <c:noMultiLvlLbl val="0"/>
      </c:catAx>
      <c:valAx>
        <c:axId val="14030336"/>
        <c:scaling>
          <c:orientation val="minMax"/>
          <c:max val="1000"/>
          <c:min val="0"/>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Lưu lượng (m³/s)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1349872"/>
        <c:crosses val="autoZero"/>
        <c:crossBetween val="between"/>
        <c:majorUnit val="100"/>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Mực nước hồ theo thời gian</a:t>
            </a:r>
          </a:p>
        </c:rich>
      </c:tx>
      <c:overlay val="0"/>
      <c:spPr>
        <a:noFill/>
        <a:ln w="0">
          <a:noFill/>
        </a:ln>
      </c:spPr>
    </c:title>
    <c:autoTitleDeleted val="0"/>
    <c:plotArea>
      <c:lineChart>
        <c:grouping val="standard"/>
        <c:varyColors val="0"/>
        <c:ser>
          <c:idx val="0"/>
          <c:order val="0"/>
          <c:tx>
            <c:strRef>
              <c:f>KetQua!E22</c:f>
              <c:strCache>
                <c:ptCount val="1"/>
                <c:pt idx="0">
                  <c:v>Z P = 1% – hai tràn</c:v>
                </c:pt>
              </c:strCache>
            </c:strRef>
          </c:tx>
          <c:spPr>
            <a:solidFill>
              <a:srgbClr val="2A78D6"/>
            </a:solidFill>
            <a:ln w="22320">
              <a:solidFill>
                <a:srgbClr val="2A78D6"/>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2320">
                  <a:solidFill>
                    <a:srgbClr val="000000"/>
                  </a:solidFill>
                </a:ln>
              </c:spPr>
            </c:leaderLines>
            <c:extLst>
              <c:ext xmlns:c15="http://schemas.microsoft.com/office/drawing/2012/chart" uri="{CE6537A1-D6FC-4f65-9D91-7224C49458BB}">
                <c15:showLeaderLines val="1"/>
              </c:ext>
            </c:extLst>
          </c:dLbls>
          <c:cat>
            <c:strRef>
              <c:f>KetQua!$A$23:$A$71</c:f>
              <c:strCach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strCache>
            </c:strRef>
          </c:cat>
          <c:val>
            <c:numRef>
              <c:f>KetQua!$E$23:$E$71</c:f>
              <c:numCache>
                <c:formatCode>0.00</c:formatCode>
                <c:ptCount val="49"/>
                <c:pt idx="0">
                  <c:v>74.7</c:v>
                </c:pt>
                <c:pt idx="1">
                  <c:v>74.6646510369406</c:v>
                </c:pt>
                <c:pt idx="2">
                  <c:v>74.6435591483263</c:v>
                </c:pt>
                <c:pt idx="3">
                  <c:v>74.6815903140544</c:v>
                </c:pt>
                <c:pt idx="4">
                  <c:v>74.8279398874281</c:v>
                </c:pt>
                <c:pt idx="5">
                  <c:v>75.0916825228357</c:v>
                </c:pt>
                <c:pt idx="6">
                  <c:v>75.4422128846623</c:v>
                </c:pt>
                <c:pt idx="7">
                  <c:v>75.8332568699791</c:v>
                </c:pt>
                <c:pt idx="8">
                  <c:v>76.2219283343402</c:v>
                </c:pt>
                <c:pt idx="9">
                  <c:v>76.5774335450504</c:v>
                </c:pt>
                <c:pt idx="10">
                  <c:v>76.8827303727112</c:v>
                </c:pt>
                <c:pt idx="11">
                  <c:v>77.1308636650131</c:v>
                </c:pt>
                <c:pt idx="12">
                  <c:v>77.3215836169494</c:v>
                </c:pt>
                <c:pt idx="13">
                  <c:v>77.4587838987525</c:v>
                </c:pt>
                <c:pt idx="14">
                  <c:v>77.547772771559</c:v>
                </c:pt>
                <c:pt idx="15">
                  <c:v>77.5950918352575</c:v>
                </c:pt>
                <c:pt idx="16">
                  <c:v>77.6079256047331</c:v>
                </c:pt>
                <c:pt idx="17">
                  <c:v>77.5921184954001</c:v>
                </c:pt>
                <c:pt idx="18">
                  <c:v>77.5526725481013</c:v>
                </c:pt>
                <c:pt idx="19">
                  <c:v>77.4949520980614</c:v>
                </c:pt>
                <c:pt idx="20">
                  <c:v>77.4231540703643</c:v>
                </c:pt>
                <c:pt idx="21">
                  <c:v>77.3404754977026</c:v>
                </c:pt>
                <c:pt idx="22">
                  <c:v>77.249608401909</c:v>
                </c:pt>
                <c:pt idx="23">
                  <c:v>77.1533626850588</c:v>
                </c:pt>
                <c:pt idx="24">
                  <c:v>77.0539922295368</c:v>
                </c:pt>
                <c:pt idx="25">
                  <c:v>76.9532123872315</c:v>
                </c:pt>
                <c:pt idx="26">
                  <c:v>76.8519745132016</c:v>
                </c:pt>
                <c:pt idx="27">
                  <c:v>76.7511981754966</c:v>
                </c:pt>
                <c:pt idx="28">
                  <c:v>76.6517731722454</c:v>
                </c:pt>
                <c:pt idx="29">
                  <c:v>76.554077014204</c:v>
                </c:pt>
                <c:pt idx="30">
                  <c:v>76.4584777831128</c:v>
                </c:pt>
                <c:pt idx="31">
                  <c:v>76.3653356747686</c:v>
                </c:pt>
                <c:pt idx="32">
                  <c:v>76.2747547459573</c:v>
                </c:pt>
                <c:pt idx="33">
                  <c:v>76.1870914329648</c:v>
                </c:pt>
                <c:pt idx="34">
                  <c:v>76.1024269891622</c:v>
                </c:pt>
                <c:pt idx="35">
                  <c:v>76.0205053619501</c:v>
                </c:pt>
                <c:pt idx="36">
                  <c:v>75.9415477385921</c:v>
                </c:pt>
                <c:pt idx="37">
                  <c:v>75.864906493684</c:v>
                </c:pt>
                <c:pt idx="38">
                  <c:v>75.7907203227075</c:v>
                </c:pt>
                <c:pt idx="39">
                  <c:v>75.7195070631787</c:v>
                </c:pt>
                <c:pt idx="40">
                  <c:v>75.6511579508422</c:v>
                </c:pt>
                <c:pt idx="41">
                  <c:v>75.5855993699468</c:v>
                </c:pt>
                <c:pt idx="42">
                  <c:v>75.5225528258491</c:v>
                </c:pt>
                <c:pt idx="43">
                  <c:v>75.4619240331419</c:v>
                </c:pt>
                <c:pt idx="44">
                  <c:v>75.4036761868276</c:v>
                </c:pt>
                <c:pt idx="45">
                  <c:v>75.3474495388506</c:v>
                </c:pt>
                <c:pt idx="46">
                  <c:v>75.2933917990335</c:v>
                </c:pt>
                <c:pt idx="47">
                  <c:v>75.2411293001015</c:v>
                </c:pt>
                <c:pt idx="48">
                  <c:v>75.1907855561</c:v>
                </c:pt>
              </c:numCache>
            </c:numRef>
          </c:val>
          <c:smooth val="0"/>
        </c:ser>
        <c:ser>
          <c:idx val="1"/>
          <c:order val="1"/>
          <c:tx>
            <c:strRef>
              <c:f>KetQua!F22</c:f>
              <c:strCache>
                <c:ptCount val="1"/>
                <c:pt idx="0">
                  <c:v>Z P = 1% – kẹt van</c:v>
                </c:pt>
              </c:strCache>
            </c:strRef>
          </c:tx>
          <c:spPr>
            <a:solidFill>
              <a:srgbClr val="2A78D6"/>
            </a:solidFill>
            <a:ln w="22320">
              <a:solidFill>
                <a:srgbClr val="2A78D6"/>
              </a:solidFill>
              <a:prstDash val="dash"/>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2320">
                  <a:solidFill>
                    <a:srgbClr val="000000"/>
                  </a:solidFill>
                  <a:prstDash val="dash"/>
                </a:ln>
              </c:spPr>
            </c:leaderLines>
            <c:extLst>
              <c:ext xmlns:c15="http://schemas.microsoft.com/office/drawing/2012/chart" uri="{CE6537A1-D6FC-4f65-9D91-7224C49458BB}">
                <c15:showLeaderLines val="1"/>
              </c:ext>
            </c:extLst>
          </c:dLbls>
          <c:cat>
            <c:strRef>
              <c:f>KetQua!$A$23:$A$71</c:f>
              <c:strCach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strCache>
            </c:strRef>
          </c:cat>
          <c:val>
            <c:numRef>
              <c:f>KetQua!$F$23:$F$71</c:f>
              <c:numCache>
                <c:formatCode>0.00</c:formatCode>
                <c:ptCount val="49"/>
                <c:pt idx="0">
                  <c:v>74.7</c:v>
                </c:pt>
                <c:pt idx="1">
                  <c:v>74.701139346992</c:v>
                </c:pt>
                <c:pt idx="2">
                  <c:v>74.7159420562151</c:v>
                </c:pt>
                <c:pt idx="3">
                  <c:v>74.7890219450289</c:v>
                </c:pt>
                <c:pt idx="4">
                  <c:v>74.9686212059506</c:v>
                </c:pt>
                <c:pt idx="5">
                  <c:v>75.2644943185723</c:v>
                </c:pt>
                <c:pt idx="6">
                  <c:v>75.6473896833575</c:v>
                </c:pt>
                <c:pt idx="7">
                  <c:v>76.0712744854281</c:v>
                </c:pt>
                <c:pt idx="8">
                  <c:v>76.4932857075707</c:v>
                </c:pt>
                <c:pt idx="9">
                  <c:v>76.8834026433125</c:v>
                </c:pt>
                <c:pt idx="10">
                  <c:v>77.2247824308013</c:v>
                </c:pt>
                <c:pt idx="11">
                  <c:v>77.5103210456594</c:v>
                </c:pt>
                <c:pt idx="12">
                  <c:v>77.7393505828882</c:v>
                </c:pt>
                <c:pt idx="13">
                  <c:v>77.9156521866667</c:v>
                </c:pt>
                <c:pt idx="14">
                  <c:v>78.0439608684455</c:v>
                </c:pt>
                <c:pt idx="15">
                  <c:v>78.1305324981421</c:v>
                </c:pt>
                <c:pt idx="16">
                  <c:v>78.1823156019461</c:v>
                </c:pt>
                <c:pt idx="17">
                  <c:v>78.2048023895375</c:v>
                </c:pt>
                <c:pt idx="18">
                  <c:v>78.2027951798682</c:v>
                </c:pt>
                <c:pt idx="19">
                  <c:v>78.1812298753722</c:v>
                </c:pt>
                <c:pt idx="20">
                  <c:v>78.1444137986372</c:v>
                </c:pt>
                <c:pt idx="21">
                  <c:v>78.095385285236</c:v>
                </c:pt>
                <c:pt idx="22">
                  <c:v>78.0365265401082</c:v>
                </c:pt>
                <c:pt idx="23">
                  <c:v>77.9707728469222</c:v>
                </c:pt>
                <c:pt idx="24">
                  <c:v>77.9003196671022</c:v>
                </c:pt>
                <c:pt idx="25">
                  <c:v>77.8266777690638</c:v>
                </c:pt>
                <c:pt idx="26">
                  <c:v>77.7509922228687</c:v>
                </c:pt>
                <c:pt idx="27">
                  <c:v>77.6742031531401</c:v>
                </c:pt>
                <c:pt idx="28">
                  <c:v>77.5972346063438</c:v>
                </c:pt>
                <c:pt idx="29">
                  <c:v>77.52039597254</c:v>
                </c:pt>
                <c:pt idx="30">
                  <c:v>77.4442365455038</c:v>
                </c:pt>
                <c:pt idx="31">
                  <c:v>77.3692038812306</c:v>
                </c:pt>
                <c:pt idx="32">
                  <c:v>77.2954876227723</c:v>
                </c:pt>
                <c:pt idx="33">
                  <c:v>77.2233500844971</c:v>
                </c:pt>
                <c:pt idx="34">
                  <c:v>77.1530832191599</c:v>
                </c:pt>
                <c:pt idx="35">
                  <c:v>77.0846583883339</c:v>
                </c:pt>
                <c:pt idx="36">
                  <c:v>77.0181316946533</c:v>
                </c:pt>
                <c:pt idx="37">
                  <c:v>76.9529697969962</c:v>
                </c:pt>
                <c:pt idx="38">
                  <c:v>76.889469831152</c:v>
                </c:pt>
                <c:pt idx="39">
                  <c:v>76.8281149671299</c:v>
                </c:pt>
                <c:pt idx="40">
                  <c:v>76.7689426157628</c:v>
                </c:pt>
                <c:pt idx="41">
                  <c:v>76.7118834046704</c:v>
                </c:pt>
                <c:pt idx="42">
                  <c:v>76.6567300005546</c:v>
                </c:pt>
                <c:pt idx="43">
                  <c:v>76.603616091508</c:v>
                </c:pt>
                <c:pt idx="44">
                  <c:v>76.5521986159885</c:v>
                </c:pt>
                <c:pt idx="45">
                  <c:v>76.5027078563494</c:v>
                </c:pt>
                <c:pt idx="46">
                  <c:v>76.4547677335976</c:v>
                </c:pt>
                <c:pt idx="47">
                  <c:v>76.4086047509199</c:v>
                </c:pt>
                <c:pt idx="48">
                  <c:v>76.3639067766139</c:v>
                </c:pt>
              </c:numCache>
            </c:numRef>
          </c:val>
          <c:smooth val="0"/>
        </c:ser>
        <c:ser>
          <c:idx val="2"/>
          <c:order val="2"/>
          <c:tx>
            <c:strRef>
              <c:f>KetQua!G22</c:f>
              <c:strCache>
                <c:ptCount val="1"/>
                <c:pt idx="0">
                  <c:v>Z P = 0,2% – hai tràn</c:v>
                </c:pt>
              </c:strCache>
            </c:strRef>
          </c:tx>
          <c:spPr>
            <a:solidFill>
              <a:srgbClr val="EB6834"/>
            </a:solidFill>
            <a:ln w="22320">
              <a:solidFill>
                <a:srgbClr val="EB6834"/>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2320">
                  <a:solidFill>
                    <a:srgbClr val="000000"/>
                  </a:solidFill>
                </a:ln>
              </c:spPr>
            </c:leaderLines>
            <c:extLst>
              <c:ext xmlns:c15="http://schemas.microsoft.com/office/drawing/2012/chart" uri="{CE6537A1-D6FC-4f65-9D91-7224C49458BB}">
                <c15:showLeaderLines val="1"/>
              </c:ext>
            </c:extLst>
          </c:dLbls>
          <c:cat>
            <c:strRef>
              <c:f>KetQua!$A$23:$A$71</c:f>
              <c:strCach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strCache>
            </c:strRef>
          </c:cat>
          <c:val>
            <c:numRef>
              <c:f>KetQua!$G$23:$G$71</c:f>
              <c:numCache>
                <c:formatCode>0.00</c:formatCode>
                <c:ptCount val="49"/>
                <c:pt idx="0">
                  <c:v>74.7</c:v>
                </c:pt>
                <c:pt idx="1">
                  <c:v>74.6657990598171</c:v>
                </c:pt>
                <c:pt idx="2">
                  <c:v>74.6550237622251</c:v>
                </c:pt>
                <c:pt idx="3">
                  <c:v>74.7357200112288</c:v>
                </c:pt>
                <c:pt idx="4">
                  <c:v>74.9718857522888</c:v>
                </c:pt>
                <c:pt idx="5">
                  <c:v>75.3640243851251</c:v>
                </c:pt>
                <c:pt idx="6">
                  <c:v>75.8599294426409</c:v>
                </c:pt>
                <c:pt idx="7">
                  <c:v>76.3901988833981</c:v>
                </c:pt>
                <c:pt idx="8">
                  <c:v>76.8971196588953</c:v>
                </c:pt>
                <c:pt idx="9">
                  <c:v>77.3457404625878</c:v>
                </c:pt>
                <c:pt idx="10">
                  <c:v>77.7196555070385</c:v>
                </c:pt>
                <c:pt idx="11">
                  <c:v>78.0146020978347</c:v>
                </c:pt>
                <c:pt idx="12">
                  <c:v>78.2335860207002</c:v>
                </c:pt>
                <c:pt idx="13">
                  <c:v>78.3839863154308</c:v>
                </c:pt>
                <c:pt idx="14">
                  <c:v>78.4745457587841</c:v>
                </c:pt>
                <c:pt idx="15">
                  <c:v>78.5143600647203</c:v>
                </c:pt>
                <c:pt idx="16">
                  <c:v>78.5123805053525</c:v>
                </c:pt>
                <c:pt idx="17">
                  <c:v>78.4763392460491</c:v>
                </c:pt>
                <c:pt idx="18">
                  <c:v>78.4132446434452</c:v>
                </c:pt>
                <c:pt idx="19">
                  <c:v>78.3292974843209</c:v>
                </c:pt>
                <c:pt idx="20">
                  <c:v>78.2292560260225</c:v>
                </c:pt>
                <c:pt idx="21">
                  <c:v>78.1173699666755</c:v>
                </c:pt>
                <c:pt idx="22">
                  <c:v>77.9973036657321</c:v>
                </c:pt>
                <c:pt idx="23">
                  <c:v>77.8720651474031</c:v>
                </c:pt>
                <c:pt idx="24">
                  <c:v>77.7439300450288</c:v>
                </c:pt>
                <c:pt idx="25">
                  <c:v>77.6145323583213</c:v>
                </c:pt>
                <c:pt idx="26">
                  <c:v>77.4853580886957</c:v>
                </c:pt>
                <c:pt idx="27">
                  <c:v>77.3572589092867</c:v>
                </c:pt>
                <c:pt idx="28">
                  <c:v>77.231388903849</c:v>
                </c:pt>
                <c:pt idx="29">
                  <c:v>77.1083067689869</c:v>
                </c:pt>
                <c:pt idx="30">
                  <c:v>76.9882380186135</c:v>
                </c:pt>
                <c:pt idx="31">
                  <c:v>76.8717735655619</c:v>
                </c:pt>
                <c:pt idx="32">
                  <c:v>76.7592611346596</c:v>
                </c:pt>
                <c:pt idx="33">
                  <c:v>76.6507369398344</c:v>
                </c:pt>
                <c:pt idx="34">
                  <c:v>76.5459946598661</c:v>
                </c:pt>
                <c:pt idx="35">
                  <c:v>76.445082393419</c:v>
                </c:pt>
                <c:pt idx="36">
                  <c:v>76.3480510646772</c:v>
                </c:pt>
                <c:pt idx="37">
                  <c:v>76.2542054699667</c:v>
                </c:pt>
                <c:pt idx="38">
                  <c:v>76.1636251893476</c:v>
                </c:pt>
                <c:pt idx="39">
                  <c:v>76.0769004740949</c:v>
                </c:pt>
                <c:pt idx="40">
                  <c:v>75.9938527577505</c:v>
                </c:pt>
                <c:pt idx="41">
                  <c:v>75.9142312710635</c:v>
                </c:pt>
                <c:pt idx="42">
                  <c:v>75.83792006792</c:v>
                </c:pt>
                <c:pt idx="43">
                  <c:v>75.7647961626931</c:v>
                </c:pt>
                <c:pt idx="44">
                  <c:v>75.6947134534017</c:v>
                </c:pt>
                <c:pt idx="45">
                  <c:v>75.6273433917893</c:v>
                </c:pt>
                <c:pt idx="46">
                  <c:v>75.5626677300659</c:v>
                </c:pt>
                <c:pt idx="47">
                  <c:v>75.5006011009424</c:v>
                </c:pt>
                <c:pt idx="48">
                  <c:v>75.4407567179111</c:v>
                </c:pt>
              </c:numCache>
            </c:numRef>
          </c:val>
          <c:smooth val="0"/>
        </c:ser>
        <c:ser>
          <c:idx val="3"/>
          <c:order val="3"/>
          <c:tx>
            <c:strRef>
              <c:f>KetQua!H22</c:f>
              <c:strCache>
                <c:ptCount val="1"/>
                <c:pt idx="0">
                  <c:v>Z P = 0,2% – kẹt van</c:v>
                </c:pt>
              </c:strCache>
            </c:strRef>
          </c:tx>
          <c:spPr>
            <a:solidFill>
              <a:srgbClr val="EB6834"/>
            </a:solidFill>
            <a:ln w="22320">
              <a:solidFill>
                <a:srgbClr val="EB6834"/>
              </a:solidFill>
              <a:prstDash val="dash"/>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2320">
                  <a:solidFill>
                    <a:srgbClr val="000000"/>
                  </a:solidFill>
                  <a:prstDash val="dash"/>
                </a:ln>
              </c:spPr>
            </c:leaderLines>
            <c:extLst>
              <c:ext xmlns:c15="http://schemas.microsoft.com/office/drawing/2012/chart" uri="{CE6537A1-D6FC-4f65-9D91-7224C49458BB}">
                <c15:showLeaderLines val="1"/>
              </c:ext>
            </c:extLst>
          </c:dLbls>
          <c:cat>
            <c:strRef>
              <c:f>KetQua!$A$23:$A$71</c:f>
              <c:strCach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strCache>
            </c:strRef>
          </c:cat>
          <c:val>
            <c:numRef>
              <c:f>KetQua!$H$23:$H$71</c:f>
              <c:numCache>
                <c:formatCode>0.00</c:formatCode>
                <c:ptCount val="49"/>
                <c:pt idx="0">
                  <c:v>74.7</c:v>
                </c:pt>
                <c:pt idx="1">
                  <c:v>74.7022786939839</c:v>
                </c:pt>
                <c:pt idx="2">
                  <c:v>74.7273267244623</c:v>
                </c:pt>
                <c:pt idx="3">
                  <c:v>74.8427476361973</c:v>
                </c:pt>
                <c:pt idx="4">
                  <c:v>75.1118285490324</c:v>
                </c:pt>
                <c:pt idx="5">
                  <c:v>75.5367653871904</c:v>
                </c:pt>
                <c:pt idx="6">
                  <c:v>76.0659870930294</c:v>
                </c:pt>
                <c:pt idx="7">
                  <c:v>76.6302068801042</c:v>
                </c:pt>
                <c:pt idx="8">
                  <c:v>77.1731705350896</c:v>
                </c:pt>
                <c:pt idx="9">
                  <c:v>77.6601514914498</c:v>
                </c:pt>
                <c:pt idx="10">
                  <c:v>78.0745706273876</c:v>
                </c:pt>
                <c:pt idx="11">
                  <c:v>78.4118139687018</c:v>
                </c:pt>
                <c:pt idx="12">
                  <c:v>78.6744451592964</c:v>
                </c:pt>
                <c:pt idx="13">
                  <c:v>78.8693823650968</c:v>
                </c:pt>
                <c:pt idx="14">
                  <c:v>79.00503744811</c:v>
                </c:pt>
                <c:pt idx="15">
                  <c:v>79.0897882482442</c:v>
                </c:pt>
                <c:pt idx="16">
                  <c:v>79.1323382778297</c:v>
                </c:pt>
                <c:pt idx="17">
                  <c:v>79.1402507451014</c:v>
                </c:pt>
                <c:pt idx="18">
                  <c:v>79.1201498840108</c:v>
                </c:pt>
                <c:pt idx="19">
                  <c:v>79.0779303293809</c:v>
                </c:pt>
                <c:pt idx="20">
                  <c:v>79.0180619687361</c:v>
                </c:pt>
                <c:pt idx="21">
                  <c:v>78.9445606715525</c:v>
                </c:pt>
                <c:pt idx="22">
                  <c:v>78.861049554444</c:v>
                </c:pt>
                <c:pt idx="23">
                  <c:v>78.770524425208</c:v>
                </c:pt>
                <c:pt idx="24">
                  <c:v>78.6750551077334</c:v>
                </c:pt>
                <c:pt idx="25">
                  <c:v>78.5762447822952</c:v>
                </c:pt>
                <c:pt idx="26">
                  <c:v>78.4756680858262</c:v>
                </c:pt>
                <c:pt idx="27">
                  <c:v>78.3742183754404</c:v>
                </c:pt>
                <c:pt idx="28">
                  <c:v>78.2729919521732</c:v>
                </c:pt>
                <c:pt idx="29">
                  <c:v>78.1726247058744</c:v>
                </c:pt>
                <c:pt idx="30">
                  <c:v>78.0735191250006</c:v>
                </c:pt>
                <c:pt idx="31">
                  <c:v>77.9762956343451</c:v>
                </c:pt>
                <c:pt idx="32">
                  <c:v>77.8813434762683</c:v>
                </c:pt>
                <c:pt idx="33">
                  <c:v>77.7888178841145</c:v>
                </c:pt>
                <c:pt idx="34">
                  <c:v>77.6986394952798</c:v>
                </c:pt>
                <c:pt idx="35">
                  <c:v>77.6108876543354</c:v>
                </c:pt>
                <c:pt idx="36">
                  <c:v>77.525757095008</c:v>
                </c:pt>
                <c:pt idx="37">
                  <c:v>77.4427113281917</c:v>
                </c:pt>
                <c:pt idx="38">
                  <c:v>77.3619123150717</c:v>
                </c:pt>
                <c:pt idx="39">
                  <c:v>77.2839899321585</c:v>
                </c:pt>
                <c:pt idx="40">
                  <c:v>77.2087991998414</c:v>
                </c:pt>
                <c:pt idx="41">
                  <c:v>77.1361884691356</c:v>
                </c:pt>
                <c:pt idx="42">
                  <c:v>77.0661867579703</c:v>
                </c:pt>
                <c:pt idx="43">
                  <c:v>76.9987214772942</c:v>
                </c:pt>
                <c:pt idx="44">
                  <c:v>76.9334904970737</c:v>
                </c:pt>
                <c:pt idx="45">
                  <c:v>76.8706278986934</c:v>
                </c:pt>
                <c:pt idx="46">
                  <c:v>76.810010089712</c:v>
                </c:pt>
                <c:pt idx="47">
                  <c:v>76.7514232393186</c:v>
                </c:pt>
                <c:pt idx="48">
                  <c:v>76.6950078449555</c:v>
                </c:pt>
              </c:numCache>
            </c:numRef>
          </c:val>
          <c:smooth val="0"/>
        </c:ser>
        <c:hiLowLines>
          <c:spPr>
            <a:ln w="0">
              <a:noFill/>
            </a:ln>
          </c:spPr>
        </c:hiLowLines>
        <c:marker val="0"/>
        <c:axId val="4485176"/>
        <c:axId val="34296797"/>
      </c:lineChart>
      <c:catAx>
        <c:axId val="4485176"/>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t (giờ)</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296797"/>
        <c:crosses val="autoZero"/>
        <c:auto val="1"/>
        <c:lblAlgn val="ctr"/>
        <c:lblOffset val="100"/>
        <c:noMultiLvlLbl val="0"/>
      </c:catAx>
      <c:valAx>
        <c:axId val="34296797"/>
        <c:scaling>
          <c:orientation val="minMax"/>
          <c:max val="80"/>
          <c:min val="74"/>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Mực nước (m)</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485176"/>
        <c:crosses val="autoZero"/>
        <c:crossBetween val="between"/>
        <c:majorUnit val="1"/>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2</xdr:row>
      <xdr:rowOff>0</xdr:rowOff>
    </xdr:from>
    <xdr:to>
      <xdr:col>21</xdr:col>
      <xdr:colOff>4680</xdr:colOff>
      <xdr:row>16</xdr:row>
      <xdr:rowOff>1080</xdr:rowOff>
    </xdr:to>
    <xdr:graphicFrame>
      <xdr:nvGraphicFramePr>
        <xdr:cNvPr id="1" name="Chart 1"/>
        <xdr:cNvGraphicFramePr/>
      </xdr:nvGraphicFramePr>
      <xdr:xfrm>
        <a:off x="11818800" y="410760"/>
        <a:ext cx="61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21</xdr:row>
      <xdr:rowOff>0</xdr:rowOff>
    </xdr:from>
    <xdr:to>
      <xdr:col>21</xdr:col>
      <xdr:colOff>4680</xdr:colOff>
      <xdr:row>36</xdr:row>
      <xdr:rowOff>1080</xdr:rowOff>
    </xdr:to>
    <xdr:graphicFrame>
      <xdr:nvGraphicFramePr>
        <xdr:cNvPr id="2" name="Chart 2"/>
        <xdr:cNvGraphicFramePr/>
      </xdr:nvGraphicFramePr>
      <xdr:xfrm>
        <a:off x="11818800" y="4601880"/>
        <a:ext cx="611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4.vml"/>
</Relationships>
</file>

<file path=xl/worksheets/_rels/sheet9.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5A10"/>
    <pageSetUpPr fitToPage="true"/>
  </sheetPr>
  <dimension ref="B1:B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25"/>
  </cols>
  <sheetData>
    <row r="1" customFormat="false" ht="24" hidden="false" customHeight="true" outlineLevel="0" collapsed="false">
      <c r="B1" s="1" t="s">
        <v>0</v>
      </c>
    </row>
    <row r="2" customFormat="false" ht="30" hidden="false" customHeight="true" outlineLevel="0" collapsed="false">
      <c r="B2" s="2" t="s">
        <v>1</v>
      </c>
    </row>
    <row r="3" customFormat="false" ht="21.75" hidden="false" customHeight="true" outlineLevel="0" collapsed="false">
      <c r="B3" s="3" t="s">
        <v>2</v>
      </c>
    </row>
    <row r="4" customFormat="false" ht="30.75" hidden="false" customHeight="true" outlineLevel="0" collapsed="false">
      <c r="B4" s="4" t="s">
        <v>3</v>
      </c>
    </row>
    <row r="5" customFormat="false" ht="30.75" hidden="false" customHeight="true" outlineLevel="0" collapsed="false">
      <c r="B5" s="4" t="s">
        <v>4</v>
      </c>
    </row>
    <row r="6" customFormat="false" ht="30.75" hidden="false" customHeight="true" outlineLevel="0" collapsed="false">
      <c r="B6" s="4" t="s">
        <v>5</v>
      </c>
    </row>
    <row r="7" customFormat="false" ht="46.5" hidden="false" customHeight="true" outlineLevel="0" collapsed="false">
      <c r="B7" s="4" t="s">
        <v>6</v>
      </c>
    </row>
    <row r="8" customFormat="false" ht="21.75" hidden="false" customHeight="true" outlineLevel="0" collapsed="false">
      <c r="B8" s="3" t="s">
        <v>7</v>
      </c>
    </row>
    <row r="9" customFormat="false" ht="15" hidden="false" customHeight="true" outlineLevel="0" collapsed="false">
      <c r="B9" s="4" t="s">
        <v>8</v>
      </c>
    </row>
    <row r="10" customFormat="false" ht="30.75" hidden="false" customHeight="true" outlineLevel="0" collapsed="false">
      <c r="B10" s="4" t="s">
        <v>9</v>
      </c>
    </row>
    <row r="11" customFormat="false" ht="15" hidden="false" customHeight="true" outlineLevel="0" collapsed="false">
      <c r="B11" s="4" t="s">
        <v>10</v>
      </c>
    </row>
    <row r="12" customFormat="false" ht="15" hidden="false" customHeight="true" outlineLevel="0" collapsed="false">
      <c r="B12" s="4" t="s">
        <v>11</v>
      </c>
    </row>
    <row r="13" customFormat="false" ht="30.75" hidden="false" customHeight="true" outlineLevel="0" collapsed="false">
      <c r="B13" s="4" t="s">
        <v>12</v>
      </c>
    </row>
    <row r="14" customFormat="false" ht="21.75" hidden="false" customHeight="true" outlineLevel="0" collapsed="false">
      <c r="B14" s="3" t="s">
        <v>13</v>
      </c>
    </row>
    <row r="15" customFormat="false" ht="24" hidden="false" customHeight="true" outlineLevel="0" collapsed="false">
      <c r="B15" s="5" t="s">
        <v>14</v>
      </c>
    </row>
    <row r="16" customFormat="false" ht="30.75" hidden="false" customHeight="true" outlineLevel="0" collapsed="false">
      <c r="B16" s="4" t="s">
        <v>15</v>
      </c>
    </row>
    <row r="17" customFormat="false" ht="21.75" hidden="false" customHeight="true" outlineLevel="0" collapsed="false">
      <c r="B17" s="3" t="s">
        <v>16</v>
      </c>
    </row>
    <row r="18" customFormat="false" ht="24" hidden="false" customHeight="true" outlineLevel="0" collapsed="false">
      <c r="B18" s="5" t="s">
        <v>17</v>
      </c>
    </row>
    <row r="19" customFormat="false" ht="30.75" hidden="false" customHeight="true" outlineLevel="0" collapsed="false">
      <c r="B19" s="4" t="s">
        <v>18</v>
      </c>
    </row>
    <row r="20" customFormat="false" ht="46.5" hidden="false" customHeight="true" outlineLevel="0" collapsed="false">
      <c r="B20" s="4" t="s">
        <v>19</v>
      </c>
    </row>
    <row r="21" customFormat="false" ht="46.5" hidden="false" customHeight="true" outlineLevel="0" collapsed="false">
      <c r="B21" s="4" t="s">
        <v>20</v>
      </c>
    </row>
    <row r="22" customFormat="false" ht="30.75" hidden="false" customHeight="true" outlineLevel="0" collapsed="false">
      <c r="B22" s="4" t="s">
        <v>21</v>
      </c>
    </row>
    <row r="23" customFormat="false" ht="15" hidden="false" customHeight="true" outlineLevel="0" collapsed="false">
      <c r="B23" s="4" t="s">
        <v>22</v>
      </c>
    </row>
    <row r="24" customFormat="false" ht="30.75" hidden="false" customHeight="true" outlineLevel="0" collapsed="false">
      <c r="B24" s="4" t="s">
        <v>23</v>
      </c>
    </row>
    <row r="25" customFormat="false" ht="21.75" hidden="false" customHeight="true" outlineLevel="0" collapsed="false">
      <c r="B25" s="3" t="s">
        <v>24</v>
      </c>
    </row>
    <row r="26" customFormat="false" ht="15" hidden="false" customHeight="true" outlineLevel="0" collapsed="false">
      <c r="B26" s="4" t="s">
        <v>25</v>
      </c>
    </row>
    <row r="27" customFormat="false" ht="15" hidden="false" customHeight="true" outlineLevel="0" collapsed="false">
      <c r="B27" s="4" t="s">
        <v>26</v>
      </c>
    </row>
    <row r="28" customFormat="false" ht="30.75" hidden="false" customHeight="true" outlineLevel="0" collapsed="false">
      <c r="B28" s="4" t="s">
        <v>27</v>
      </c>
    </row>
    <row r="29" customFormat="false" ht="15" hidden="false" customHeight="true" outlineLevel="0" collapsed="false">
      <c r="B29" s="4" t="s">
        <v>28</v>
      </c>
    </row>
    <row r="30" customFormat="false" ht="15" hidden="false" customHeight="true" outlineLevel="0" collapsed="false">
      <c r="B30" s="4" t="s">
        <v>29</v>
      </c>
    </row>
    <row r="31" customFormat="false" ht="21.75" hidden="false" customHeight="true" outlineLevel="0" collapsed="false">
      <c r="B31" s="3" t="s">
        <v>30</v>
      </c>
    </row>
    <row r="32" customFormat="false" ht="15" hidden="false" customHeight="true" outlineLevel="0" collapsed="false">
      <c r="B32" s="4" t="s">
        <v>31</v>
      </c>
    </row>
  </sheetData>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A100"/>
    <pageSetUpPr fitToPage="true"/>
  </sheetPr>
  <dimension ref="A1:H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11"/>
    <col collapsed="false" customWidth="true" hidden="false" outlineLevel="0" max="3" min="3" style="0" width="10"/>
    <col collapsed="false" customWidth="true" hidden="false" outlineLevel="0" max="7" min="4" style="0" width="14"/>
    <col collapsed="false" customWidth="true" hidden="false" outlineLevel="0" max="8" min="8" style="0" width="30"/>
  </cols>
  <sheetData>
    <row r="1" customFormat="false" ht="17.35" hidden="false" customHeight="false" outlineLevel="0" collapsed="false">
      <c r="A1" s="6" t="s">
        <v>32</v>
      </c>
    </row>
    <row r="2" customFormat="false" ht="15" hidden="false" customHeight="false" outlineLevel="0" collapsed="false">
      <c r="A2" s="7" t="s">
        <v>33</v>
      </c>
    </row>
    <row r="4" customFormat="false" ht="15" hidden="false" customHeight="false" outlineLevel="0" collapsed="false">
      <c r="A4" s="8" t="s">
        <v>34</v>
      </c>
    </row>
    <row r="5" customFormat="false" ht="15" hidden="false" customHeight="true" outlineLevel="0" collapsed="false">
      <c r="A5" s="9" t="s">
        <v>35</v>
      </c>
      <c r="B5" s="9" t="s">
        <v>36</v>
      </c>
      <c r="C5" s="9" t="s">
        <v>37</v>
      </c>
      <c r="D5" s="9" t="s">
        <v>38</v>
      </c>
      <c r="E5" s="9"/>
      <c r="F5" s="9"/>
      <c r="G5" s="9"/>
      <c r="H5" s="9"/>
    </row>
    <row r="6" customFormat="false" ht="15" hidden="false" customHeight="false" outlineLevel="0" collapsed="false">
      <c r="A6" s="10" t="s">
        <v>39</v>
      </c>
      <c r="B6" s="11" t="n">
        <v>74.7</v>
      </c>
      <c r="C6" s="12" t="s">
        <v>40</v>
      </c>
      <c r="D6" s="13" t="s">
        <v>41</v>
      </c>
      <c r="E6" s="13"/>
      <c r="F6" s="13"/>
      <c r="G6" s="13"/>
      <c r="H6" s="13"/>
    </row>
    <row r="7" customFormat="false" ht="15" hidden="false" customHeight="false" outlineLevel="0" collapsed="false">
      <c r="A7" s="10" t="s">
        <v>42</v>
      </c>
      <c r="B7" s="14" t="n">
        <v>1</v>
      </c>
      <c r="C7" s="12" t="s">
        <v>43</v>
      </c>
      <c r="D7" s="13" t="s">
        <v>44</v>
      </c>
      <c r="E7" s="13"/>
      <c r="F7" s="13"/>
      <c r="G7" s="13"/>
      <c r="H7" s="13"/>
    </row>
    <row r="8" customFormat="false" ht="15" hidden="false" customHeight="false" outlineLevel="0" collapsed="false">
      <c r="A8" s="10" t="s">
        <v>45</v>
      </c>
      <c r="B8" s="14" t="n">
        <f aca="false">dt_h*3600</f>
        <v>3600</v>
      </c>
      <c r="C8" s="12" t="s">
        <v>46</v>
      </c>
      <c r="D8" s="13"/>
      <c r="E8" s="13"/>
      <c r="F8" s="13"/>
      <c r="G8" s="13"/>
      <c r="H8" s="13"/>
    </row>
    <row r="9" customFormat="false" ht="15" hidden="false" customHeight="false" outlineLevel="0" collapsed="false">
      <c r="A9" s="10" t="s">
        <v>47</v>
      </c>
      <c r="B9" s="15" t="n">
        <v>9.81</v>
      </c>
      <c r="C9" s="12" t="s">
        <v>48</v>
      </c>
      <c r="D9" s="13"/>
      <c r="E9" s="13"/>
      <c r="F9" s="13"/>
      <c r="G9" s="13"/>
      <c r="H9" s="13"/>
    </row>
    <row r="11" customFormat="false" ht="15" hidden="false" customHeight="false" outlineLevel="0" collapsed="false">
      <c r="A11" s="8" t="s">
        <v>49</v>
      </c>
    </row>
    <row r="12" customFormat="false" ht="15" hidden="false" customHeight="true" outlineLevel="0" collapsed="false">
      <c r="A12" s="9" t="s">
        <v>35</v>
      </c>
      <c r="B12" s="9" t="s">
        <v>36</v>
      </c>
      <c r="C12" s="9" t="s">
        <v>37</v>
      </c>
      <c r="D12" s="9" t="s">
        <v>38</v>
      </c>
      <c r="E12" s="9"/>
      <c r="F12" s="9"/>
      <c r="G12" s="9"/>
      <c r="H12" s="9"/>
    </row>
    <row r="13" customFormat="false" ht="15" hidden="false" customHeight="false" outlineLevel="0" collapsed="false">
      <c r="A13" s="10" t="s">
        <v>50</v>
      </c>
      <c r="B13" s="11" t="n">
        <v>74.7</v>
      </c>
      <c r="C13" s="12" t="s">
        <v>40</v>
      </c>
      <c r="D13" s="13" t="s">
        <v>51</v>
      </c>
      <c r="E13" s="13"/>
      <c r="F13" s="13"/>
      <c r="G13" s="13"/>
      <c r="H13" s="13"/>
    </row>
    <row r="14" customFormat="false" ht="15" hidden="false" customHeight="false" outlineLevel="0" collapsed="false">
      <c r="A14" s="10" t="s">
        <v>52</v>
      </c>
      <c r="B14" s="16" t="n">
        <v>9</v>
      </c>
      <c r="C14" s="12" t="s">
        <v>53</v>
      </c>
      <c r="D14" s="13" t="s">
        <v>54</v>
      </c>
      <c r="E14" s="13"/>
      <c r="F14" s="13"/>
      <c r="G14" s="13"/>
      <c r="H14" s="13"/>
    </row>
    <row r="15" customFormat="false" ht="15" hidden="false" customHeight="false" outlineLevel="0" collapsed="false">
      <c r="A15" s="10" t="s">
        <v>55</v>
      </c>
      <c r="B15" s="11" t="n">
        <v>2.4</v>
      </c>
      <c r="C15" s="12" t="s">
        <v>40</v>
      </c>
      <c r="D15" s="13" t="s">
        <v>56</v>
      </c>
      <c r="E15" s="13"/>
      <c r="F15" s="13"/>
      <c r="G15" s="13"/>
      <c r="H15" s="13"/>
    </row>
    <row r="16" customFormat="false" ht="15" hidden="false" customHeight="false" outlineLevel="0" collapsed="false">
      <c r="A16" s="10" t="s">
        <v>57</v>
      </c>
      <c r="B16" s="11" t="n">
        <v>0.45</v>
      </c>
      <c r="C16" s="12"/>
      <c r="D16" s="13" t="s">
        <v>58</v>
      </c>
      <c r="E16" s="13"/>
      <c r="F16" s="13"/>
      <c r="G16" s="13"/>
      <c r="H16" s="13"/>
    </row>
    <row r="17" customFormat="false" ht="15" hidden="false" customHeight="false" outlineLevel="0" collapsed="false">
      <c r="A17" s="10" t="s">
        <v>59</v>
      </c>
      <c r="B17" s="11" t="n">
        <v>0.7</v>
      </c>
      <c r="C17" s="12"/>
      <c r="D17" s="13" t="s">
        <v>60</v>
      </c>
      <c r="E17" s="13"/>
      <c r="F17" s="13"/>
      <c r="G17" s="13"/>
      <c r="H17" s="13"/>
    </row>
    <row r="18" customFormat="false" ht="15" hidden="false" customHeight="false" outlineLevel="0" collapsed="false">
      <c r="A18" s="10" t="s">
        <v>61</v>
      </c>
      <c r="B18" s="11" t="n">
        <v>0.45</v>
      </c>
      <c r="C18" s="12"/>
      <c r="D18" s="13" t="s">
        <v>62</v>
      </c>
      <c r="E18" s="13"/>
      <c r="F18" s="13"/>
      <c r="G18" s="13"/>
      <c r="H18" s="13"/>
    </row>
    <row r="19" customFormat="false" ht="15" hidden="false" customHeight="false" outlineLevel="0" collapsed="false">
      <c r="A19" s="10" t="s">
        <v>63</v>
      </c>
      <c r="B19" s="11" t="n">
        <v>1</v>
      </c>
      <c r="C19" s="12"/>
      <c r="D19" s="13" t="s">
        <v>64</v>
      </c>
      <c r="E19" s="13"/>
      <c r="F19" s="13"/>
      <c r="G19" s="13"/>
      <c r="H19" s="13"/>
    </row>
    <row r="21" customFormat="false" ht="15" hidden="false" customHeight="false" outlineLevel="0" collapsed="false">
      <c r="A21" s="8" t="s">
        <v>65</v>
      </c>
    </row>
    <row r="22" customFormat="false" ht="15" hidden="false" customHeight="true" outlineLevel="0" collapsed="false">
      <c r="A22" s="9" t="s">
        <v>35</v>
      </c>
      <c r="B22" s="9" t="s">
        <v>36</v>
      </c>
      <c r="C22" s="9" t="s">
        <v>37</v>
      </c>
      <c r="D22" s="9" t="s">
        <v>38</v>
      </c>
      <c r="E22" s="9"/>
      <c r="F22" s="9"/>
      <c r="G22" s="9"/>
      <c r="H22" s="9"/>
    </row>
    <row r="23" customFormat="false" ht="15" hidden="false" customHeight="false" outlineLevel="0" collapsed="false">
      <c r="A23" s="10" t="s">
        <v>50</v>
      </c>
      <c r="B23" s="11" t="n">
        <v>71</v>
      </c>
      <c r="C23" s="12" t="s">
        <v>40</v>
      </c>
      <c r="D23" s="13" t="s">
        <v>66</v>
      </c>
      <c r="E23" s="13"/>
      <c r="F23" s="13"/>
      <c r="G23" s="13"/>
      <c r="H23" s="13"/>
    </row>
    <row r="24" customFormat="false" ht="15" hidden="false" customHeight="false" outlineLevel="0" collapsed="false">
      <c r="A24" s="10" t="s">
        <v>52</v>
      </c>
      <c r="B24" s="16" t="n">
        <v>1</v>
      </c>
      <c r="C24" s="12" t="s">
        <v>53</v>
      </c>
      <c r="D24" s="13"/>
      <c r="E24" s="13"/>
      <c r="F24" s="13"/>
      <c r="G24" s="13"/>
      <c r="H24" s="13"/>
    </row>
    <row r="25" customFormat="false" ht="15" hidden="false" customHeight="false" outlineLevel="0" collapsed="false">
      <c r="A25" s="10" t="s">
        <v>67</v>
      </c>
      <c r="B25" s="11" t="n">
        <v>5</v>
      </c>
      <c r="C25" s="12" t="s">
        <v>40</v>
      </c>
      <c r="D25" s="13" t="s">
        <v>66</v>
      </c>
      <c r="E25" s="13"/>
      <c r="F25" s="13"/>
      <c r="G25" s="13"/>
      <c r="H25" s="13"/>
    </row>
    <row r="26" customFormat="false" ht="15" hidden="false" customHeight="false" outlineLevel="0" collapsed="false">
      <c r="A26" s="10" t="s">
        <v>57</v>
      </c>
      <c r="B26" s="11" t="n">
        <v>0.45</v>
      </c>
      <c r="C26" s="12"/>
      <c r="D26" s="13" t="s">
        <v>68</v>
      </c>
      <c r="E26" s="13"/>
      <c r="F26" s="13"/>
      <c r="G26" s="13"/>
      <c r="H26" s="13"/>
    </row>
    <row r="27" customFormat="false" ht="15" hidden="false" customHeight="false" outlineLevel="0" collapsed="false">
      <c r="A27" s="10" t="s">
        <v>59</v>
      </c>
      <c r="B27" s="11" t="n">
        <v>0.7</v>
      </c>
      <c r="C27" s="12"/>
      <c r="D27" s="13"/>
      <c r="E27" s="13"/>
      <c r="F27" s="13"/>
      <c r="G27" s="13"/>
      <c r="H27" s="13"/>
    </row>
    <row r="28" customFormat="false" ht="15" hidden="false" customHeight="false" outlineLevel="0" collapsed="false">
      <c r="A28" s="10" t="s">
        <v>61</v>
      </c>
      <c r="B28" s="11" t="n">
        <v>0.45</v>
      </c>
      <c r="C28" s="12"/>
      <c r="D28" s="13" t="s">
        <v>69</v>
      </c>
      <c r="E28" s="13"/>
      <c r="F28" s="13"/>
      <c r="G28" s="13"/>
      <c r="H28" s="13"/>
    </row>
    <row r="29" customFormat="false" ht="15" hidden="false" customHeight="false" outlineLevel="0" collapsed="false">
      <c r="A29" s="10" t="s">
        <v>63</v>
      </c>
      <c r="B29" s="11" t="n">
        <v>1</v>
      </c>
      <c r="C29" s="12"/>
      <c r="D29" s="13" t="s">
        <v>64</v>
      </c>
      <c r="E29" s="13"/>
      <c r="F29" s="13"/>
      <c r="G29" s="13"/>
      <c r="H29" s="13"/>
    </row>
    <row r="31" customFormat="false" ht="15" hidden="false" customHeight="false" outlineLevel="0" collapsed="false">
      <c r="A31" s="8" t="s">
        <v>70</v>
      </c>
    </row>
    <row r="32" customFormat="false" ht="15" hidden="false" customHeight="false" outlineLevel="0" collapsed="false">
      <c r="A32" s="17" t="s">
        <v>71</v>
      </c>
      <c r="B32" s="18" t="n">
        <v>1</v>
      </c>
      <c r="C32" s="18" t="n">
        <v>0.2</v>
      </c>
    </row>
    <row r="33" customFormat="false" ht="15" hidden="false" customHeight="false" outlineLevel="0" collapsed="false">
      <c r="A33" s="9" t="s">
        <v>72</v>
      </c>
      <c r="B33" s="9" t="s">
        <v>73</v>
      </c>
      <c r="C33" s="9" t="s">
        <v>74</v>
      </c>
    </row>
    <row r="34" customFormat="false" ht="15" hidden="false" customHeight="false" outlineLevel="0" collapsed="false">
      <c r="A34" s="19" t="n">
        <v>0</v>
      </c>
      <c r="B34" s="19" t="n">
        <v>2</v>
      </c>
      <c r="C34" s="19" t="n">
        <v>4</v>
      </c>
      <c r="D34" s="7" t="s">
        <v>75</v>
      </c>
    </row>
    <row r="35" customFormat="false" ht="15" hidden="false" customHeight="false" outlineLevel="0" collapsed="false">
      <c r="A35" s="19" t="n">
        <v>1</v>
      </c>
      <c r="B35" s="19" t="n">
        <v>2</v>
      </c>
      <c r="C35" s="19" t="n">
        <v>4</v>
      </c>
      <c r="E35" s="9" t="s">
        <v>73</v>
      </c>
      <c r="F35" s="9" t="s">
        <v>74</v>
      </c>
    </row>
    <row r="36" customFormat="false" ht="15" hidden="false" customHeight="false" outlineLevel="0" collapsed="false">
      <c r="A36" s="19" t="n">
        <v>2</v>
      </c>
      <c r="B36" s="19" t="n">
        <v>50</v>
      </c>
      <c r="C36" s="19" t="n">
        <v>84</v>
      </c>
      <c r="D36" s="20" t="s">
        <v>76</v>
      </c>
      <c r="E36" s="21" t="n">
        <f aca="false">SUMPRODUCT((B34:B69+B35:B70)/2)*dt_s/1000000+B70/2*dt_s/1000000</f>
        <v>36.2736</v>
      </c>
      <c r="F36" s="21" t="n">
        <f aca="false">SUMPRODUCT((C34:C69+C35:C70)/2)*dt_s/1000000+C70/2*dt_s/1000000</f>
        <v>47.6964</v>
      </c>
    </row>
    <row r="37" customFormat="false" ht="15" hidden="false" customHeight="false" outlineLevel="0" collapsed="false">
      <c r="A37" s="19" t="n">
        <v>3</v>
      </c>
      <c r="B37" s="19" t="n">
        <v>207</v>
      </c>
      <c r="C37" s="19" t="n">
        <v>324</v>
      </c>
      <c r="D37" s="20" t="s">
        <v>77</v>
      </c>
      <c r="E37" s="22" t="n">
        <v>32.43</v>
      </c>
      <c r="F37" s="22" t="n">
        <v>41.95</v>
      </c>
    </row>
    <row r="38" customFormat="false" ht="15" hidden="false" customHeight="false" outlineLevel="0" collapsed="false">
      <c r="A38" s="19" t="n">
        <v>4</v>
      </c>
      <c r="B38" s="19" t="n">
        <v>437</v>
      </c>
      <c r="C38" s="19" t="n">
        <v>652</v>
      </c>
      <c r="D38" s="7" t="s">
        <v>78</v>
      </c>
    </row>
    <row r="39" customFormat="false" ht="15" hidden="false" customHeight="false" outlineLevel="0" collapsed="false">
      <c r="A39" s="19" t="n">
        <v>5</v>
      </c>
      <c r="B39" s="19" t="n">
        <v>657</v>
      </c>
      <c r="C39" s="19" t="n">
        <v>950</v>
      </c>
    </row>
    <row r="40" customFormat="false" ht="15" hidden="false" customHeight="false" outlineLevel="0" collapsed="false">
      <c r="A40" s="19" t="n">
        <v>6</v>
      </c>
      <c r="B40" s="19" t="n">
        <v>816</v>
      </c>
      <c r="C40" s="19" t="n">
        <v>1150</v>
      </c>
    </row>
    <row r="41" customFormat="false" ht="15" hidden="false" customHeight="false" outlineLevel="0" collapsed="false">
      <c r="A41" s="19" t="n">
        <v>7</v>
      </c>
      <c r="B41" s="19" t="n">
        <v>898</v>
      </c>
      <c r="C41" s="19" t="n">
        <v>1239</v>
      </c>
    </row>
    <row r="42" customFormat="false" ht="15" hidden="false" customHeight="false" outlineLevel="0" collapsed="false">
      <c r="A42" s="19" t="n">
        <v>8</v>
      </c>
      <c r="B42" s="19" t="n">
        <v>914</v>
      </c>
      <c r="C42" s="19" t="n">
        <v>1236</v>
      </c>
    </row>
    <row r="43" customFormat="false" ht="15" hidden="false" customHeight="false" outlineLevel="0" collapsed="false">
      <c r="A43" s="19" t="n">
        <v>9</v>
      </c>
      <c r="B43" s="19" t="n">
        <v>879</v>
      </c>
      <c r="C43" s="19" t="n">
        <v>1168</v>
      </c>
    </row>
    <row r="44" customFormat="false" ht="15" hidden="false" customHeight="false" outlineLevel="0" collapsed="false">
      <c r="A44" s="19" t="n">
        <v>10</v>
      </c>
      <c r="B44" s="19" t="n">
        <v>812</v>
      </c>
      <c r="C44" s="19" t="n">
        <v>1062</v>
      </c>
    </row>
    <row r="45" customFormat="false" ht="15" hidden="false" customHeight="false" outlineLevel="0" collapsed="false">
      <c r="A45" s="19" t="n">
        <v>11</v>
      </c>
      <c r="B45" s="19" t="n">
        <v>727</v>
      </c>
      <c r="C45" s="19" t="n">
        <v>937</v>
      </c>
    </row>
    <row r="46" customFormat="false" ht="15" hidden="false" customHeight="false" outlineLevel="0" collapsed="false">
      <c r="A46" s="19" t="n">
        <v>12</v>
      </c>
      <c r="B46" s="19" t="n">
        <v>636</v>
      </c>
      <c r="C46" s="19" t="n">
        <v>808</v>
      </c>
    </row>
    <row r="47" customFormat="false" ht="15" hidden="false" customHeight="false" outlineLevel="0" collapsed="false">
      <c r="A47" s="19" t="n">
        <v>13</v>
      </c>
      <c r="B47" s="19" t="n">
        <v>547</v>
      </c>
      <c r="C47" s="19" t="n">
        <v>685</v>
      </c>
    </row>
    <row r="48" customFormat="false" ht="15" hidden="false" customHeight="false" outlineLevel="0" collapsed="false">
      <c r="A48" s="19" t="n">
        <v>14</v>
      </c>
      <c r="B48" s="19" t="n">
        <v>461</v>
      </c>
      <c r="C48" s="19" t="n">
        <v>572</v>
      </c>
    </row>
    <row r="49" customFormat="false" ht="15" hidden="false" customHeight="false" outlineLevel="0" collapsed="false">
      <c r="A49" s="19" t="n">
        <v>15</v>
      </c>
      <c r="B49" s="19" t="n">
        <v>386</v>
      </c>
      <c r="C49" s="19" t="n">
        <v>472</v>
      </c>
    </row>
    <row r="50" customFormat="false" ht="15" hidden="false" customHeight="false" outlineLevel="0" collapsed="false">
      <c r="A50" s="19" t="n">
        <v>16</v>
      </c>
      <c r="B50" s="19" t="n">
        <v>321</v>
      </c>
      <c r="C50" s="19" t="n">
        <v>387</v>
      </c>
    </row>
    <row r="51" customFormat="false" ht="15" hidden="false" customHeight="false" outlineLevel="0" collapsed="false">
      <c r="A51" s="19" t="n">
        <v>17</v>
      </c>
      <c r="B51" s="19" t="n">
        <v>263</v>
      </c>
      <c r="C51" s="19" t="n">
        <v>313</v>
      </c>
    </row>
    <row r="52" customFormat="false" ht="15" hidden="false" customHeight="false" outlineLevel="0" collapsed="false">
      <c r="A52" s="19" t="n">
        <v>18</v>
      </c>
      <c r="B52" s="19" t="n">
        <v>214</v>
      </c>
      <c r="C52" s="19" t="n">
        <v>253</v>
      </c>
    </row>
    <row r="53" customFormat="false" ht="15" hidden="false" customHeight="false" outlineLevel="0" collapsed="false">
      <c r="A53" s="19" t="n">
        <v>19</v>
      </c>
      <c r="B53" s="19" t="n">
        <v>174</v>
      </c>
      <c r="C53" s="19" t="n">
        <v>203</v>
      </c>
    </row>
    <row r="54" customFormat="false" ht="15" hidden="false" customHeight="false" outlineLevel="0" collapsed="false">
      <c r="A54" s="19" t="n">
        <v>20</v>
      </c>
      <c r="B54" s="19" t="n">
        <v>141</v>
      </c>
      <c r="C54" s="19" t="n">
        <v>161</v>
      </c>
    </row>
    <row r="55" customFormat="false" ht="15" hidden="false" customHeight="false" outlineLevel="0" collapsed="false">
      <c r="A55" s="19" t="n">
        <v>21</v>
      </c>
      <c r="B55" s="19" t="n">
        <v>112</v>
      </c>
      <c r="C55" s="19" t="n">
        <v>128</v>
      </c>
    </row>
    <row r="56" customFormat="false" ht="15" hidden="false" customHeight="false" outlineLevel="0" collapsed="false">
      <c r="A56" s="19" t="n">
        <v>22</v>
      </c>
      <c r="B56" s="19" t="n">
        <v>89</v>
      </c>
      <c r="C56" s="19" t="n">
        <v>101</v>
      </c>
    </row>
    <row r="57" customFormat="false" ht="15" hidden="false" customHeight="false" outlineLevel="0" collapsed="false">
      <c r="A57" s="19" t="n">
        <v>23</v>
      </c>
      <c r="B57" s="19" t="n">
        <v>71</v>
      </c>
      <c r="C57" s="19" t="n">
        <v>81</v>
      </c>
    </row>
    <row r="58" customFormat="false" ht="15" hidden="false" customHeight="false" outlineLevel="0" collapsed="false">
      <c r="A58" s="19" t="n">
        <v>24</v>
      </c>
      <c r="B58" s="19" t="n">
        <v>57</v>
      </c>
      <c r="C58" s="19" t="n">
        <v>63</v>
      </c>
    </row>
    <row r="59" customFormat="false" ht="15" hidden="false" customHeight="false" outlineLevel="0" collapsed="false">
      <c r="A59" s="19" t="n">
        <v>25</v>
      </c>
      <c r="B59" s="19" t="n">
        <v>46</v>
      </c>
      <c r="C59" s="19" t="n">
        <v>50</v>
      </c>
    </row>
    <row r="60" customFormat="false" ht="15" hidden="false" customHeight="false" outlineLevel="0" collapsed="false">
      <c r="A60" s="19" t="n">
        <v>26</v>
      </c>
      <c r="B60" s="19" t="n">
        <v>36</v>
      </c>
      <c r="C60" s="19" t="n">
        <v>39</v>
      </c>
    </row>
    <row r="61" customFormat="false" ht="15" hidden="false" customHeight="false" outlineLevel="0" collapsed="false">
      <c r="A61" s="19" t="n">
        <v>27</v>
      </c>
      <c r="B61" s="19" t="n">
        <v>29</v>
      </c>
      <c r="C61" s="19" t="n">
        <v>30</v>
      </c>
    </row>
    <row r="62" customFormat="false" ht="15" hidden="false" customHeight="false" outlineLevel="0" collapsed="false">
      <c r="A62" s="19" t="n">
        <v>28</v>
      </c>
      <c r="B62" s="19" t="n">
        <v>23</v>
      </c>
      <c r="C62" s="19" t="n">
        <v>24</v>
      </c>
    </row>
    <row r="63" customFormat="false" ht="15" hidden="false" customHeight="false" outlineLevel="0" collapsed="false">
      <c r="A63" s="19" t="n">
        <v>29</v>
      </c>
      <c r="B63" s="19" t="n">
        <v>18</v>
      </c>
      <c r="C63" s="19" t="n">
        <v>18</v>
      </c>
    </row>
    <row r="64" customFormat="false" ht="15" hidden="false" customHeight="false" outlineLevel="0" collapsed="false">
      <c r="A64" s="19" t="n">
        <v>30</v>
      </c>
      <c r="B64" s="19" t="n">
        <v>14</v>
      </c>
      <c r="C64" s="19" t="n">
        <v>14</v>
      </c>
    </row>
    <row r="65" customFormat="false" ht="15" hidden="false" customHeight="false" outlineLevel="0" collapsed="false">
      <c r="A65" s="19" t="n">
        <v>31</v>
      </c>
      <c r="B65" s="19" t="n">
        <v>11</v>
      </c>
      <c r="C65" s="19" t="n">
        <v>11</v>
      </c>
    </row>
    <row r="66" customFormat="false" ht="15" hidden="false" customHeight="false" outlineLevel="0" collapsed="false">
      <c r="A66" s="19" t="n">
        <v>32</v>
      </c>
      <c r="B66" s="19" t="n">
        <v>8</v>
      </c>
      <c r="C66" s="19" t="n">
        <v>9</v>
      </c>
    </row>
    <row r="67" customFormat="false" ht="15" hidden="false" customHeight="false" outlineLevel="0" collapsed="false">
      <c r="A67" s="19" t="n">
        <v>33</v>
      </c>
      <c r="B67" s="19" t="n">
        <v>7</v>
      </c>
      <c r="C67" s="19" t="n">
        <v>7</v>
      </c>
    </row>
    <row r="68" customFormat="false" ht="15" hidden="false" customHeight="false" outlineLevel="0" collapsed="false">
      <c r="A68" s="19" t="n">
        <v>34</v>
      </c>
      <c r="B68" s="19" t="n">
        <v>5</v>
      </c>
      <c r="C68" s="19" t="n">
        <v>5</v>
      </c>
    </row>
    <row r="69" customFormat="false" ht="15" hidden="false" customHeight="false" outlineLevel="0" collapsed="false">
      <c r="A69" s="19" t="n">
        <v>35</v>
      </c>
      <c r="B69" s="19" t="n">
        <v>4</v>
      </c>
      <c r="C69" s="19" t="n">
        <v>4</v>
      </c>
    </row>
    <row r="70" customFormat="false" ht="15" hidden="false" customHeight="false" outlineLevel="0" collapsed="false">
      <c r="A70" s="19" t="n">
        <v>36</v>
      </c>
      <c r="B70" s="19" t="n">
        <v>3</v>
      </c>
      <c r="C70" s="19" t="n">
        <v>3</v>
      </c>
    </row>
    <row r="73" customFormat="false" ht="15" hidden="false" customHeight="false" outlineLevel="0" collapsed="false">
      <c r="A73" s="8" t="s">
        <v>79</v>
      </c>
    </row>
    <row r="74" customFormat="false" ht="15" hidden="false" customHeight="false" outlineLevel="0" collapsed="false">
      <c r="A74" s="9" t="s">
        <v>80</v>
      </c>
      <c r="B74" s="9" t="s">
        <v>81</v>
      </c>
      <c r="C74" s="9" t="s">
        <v>82</v>
      </c>
      <c r="D74" s="9" t="s">
        <v>83</v>
      </c>
    </row>
    <row r="75" customFormat="false" ht="15" hidden="false" customHeight="false" outlineLevel="0" collapsed="false">
      <c r="A75" s="22" t="n">
        <v>59</v>
      </c>
      <c r="B75" s="22" t="n">
        <v>0</v>
      </c>
      <c r="C75" s="23" t="n">
        <v>0</v>
      </c>
      <c r="D75" s="7" t="s">
        <v>84</v>
      </c>
    </row>
    <row r="76" customFormat="false" ht="15" hidden="false" customHeight="false" outlineLevel="0" collapsed="false">
      <c r="A76" s="22" t="n">
        <v>60</v>
      </c>
      <c r="B76" s="22" t="n">
        <v>0.09</v>
      </c>
      <c r="C76" s="23" t="n">
        <f aca="false">C75+(A76-A75)*(B75+B76)/2</f>
        <v>0.045</v>
      </c>
    </row>
    <row r="77" customFormat="false" ht="15" hidden="false" customHeight="false" outlineLevel="0" collapsed="false">
      <c r="A77" s="22" t="n">
        <v>61</v>
      </c>
      <c r="B77" s="22" t="n">
        <v>0.21</v>
      </c>
      <c r="C77" s="23" t="n">
        <f aca="false">C76+(A77-A76)*(B76+B77)/2</f>
        <v>0.195</v>
      </c>
    </row>
    <row r="78" customFormat="false" ht="15" hidden="false" customHeight="false" outlineLevel="0" collapsed="false">
      <c r="A78" s="22" t="n">
        <v>62</v>
      </c>
      <c r="B78" s="22" t="n">
        <v>0.4</v>
      </c>
      <c r="C78" s="23" t="n">
        <f aca="false">C77+(A78-A77)*(B77+B78)/2</f>
        <v>0.5</v>
      </c>
    </row>
    <row r="79" customFormat="false" ht="15" hidden="false" customHeight="false" outlineLevel="0" collapsed="false">
      <c r="A79" s="22" t="n">
        <v>63</v>
      </c>
      <c r="B79" s="22" t="n">
        <v>0.62</v>
      </c>
      <c r="C79" s="23" t="n">
        <f aca="false">C78+(A79-A78)*(B78+B79)/2</f>
        <v>1.01</v>
      </c>
    </row>
    <row r="80" customFormat="false" ht="15" hidden="false" customHeight="false" outlineLevel="0" collapsed="false">
      <c r="A80" s="22" t="n">
        <v>64</v>
      </c>
      <c r="B80" s="22" t="n">
        <v>0.87</v>
      </c>
      <c r="C80" s="23" t="n">
        <f aca="false">C79+(A80-A79)*(B79+B80)/2</f>
        <v>1.755</v>
      </c>
    </row>
    <row r="81" customFormat="false" ht="15" hidden="false" customHeight="false" outlineLevel="0" collapsed="false">
      <c r="A81" s="22" t="n">
        <v>65</v>
      </c>
      <c r="B81" s="22" t="n">
        <v>1.16</v>
      </c>
      <c r="C81" s="23" t="n">
        <f aca="false">C80+(A81-A80)*(B80+B81)/2</f>
        <v>2.77</v>
      </c>
    </row>
    <row r="82" customFormat="false" ht="15" hidden="false" customHeight="false" outlineLevel="0" collapsed="false">
      <c r="A82" s="22" t="n">
        <v>66</v>
      </c>
      <c r="B82" s="22" t="n">
        <v>1.48</v>
      </c>
      <c r="C82" s="23" t="n">
        <f aca="false">C81+(A82-A81)*(B81+B82)/2</f>
        <v>4.09</v>
      </c>
    </row>
    <row r="83" customFormat="false" ht="15" hidden="false" customHeight="false" outlineLevel="0" collapsed="false">
      <c r="A83" s="22" t="n">
        <v>67</v>
      </c>
      <c r="B83" s="22" t="n">
        <v>1.92</v>
      </c>
      <c r="C83" s="23" t="n">
        <f aca="false">C82+(A83-A82)*(B82+B83)/2</f>
        <v>5.79</v>
      </c>
    </row>
    <row r="84" customFormat="false" ht="15" hidden="false" customHeight="false" outlineLevel="0" collapsed="false">
      <c r="A84" s="22" t="n">
        <v>68</v>
      </c>
      <c r="B84" s="22" t="n">
        <v>2.45</v>
      </c>
      <c r="C84" s="23" t="n">
        <f aca="false">C83+(A84-A83)*(B83+B84)/2</f>
        <v>7.975</v>
      </c>
    </row>
    <row r="85" customFormat="false" ht="15" hidden="false" customHeight="false" outlineLevel="0" collapsed="false">
      <c r="A85" s="22" t="n">
        <v>69</v>
      </c>
      <c r="B85" s="22" t="n">
        <v>2.94</v>
      </c>
      <c r="C85" s="23" t="n">
        <f aca="false">C84+(A85-A84)*(B84+B85)/2</f>
        <v>10.67</v>
      </c>
    </row>
    <row r="86" customFormat="false" ht="15" hidden="false" customHeight="false" outlineLevel="0" collapsed="false">
      <c r="A86" s="22" t="n">
        <v>70</v>
      </c>
      <c r="B86" s="22" t="n">
        <v>3.45</v>
      </c>
      <c r="C86" s="23" t="n">
        <f aca="false">C85+(A86-A85)*(B85+B86)/2</f>
        <v>13.865</v>
      </c>
    </row>
    <row r="87" customFormat="false" ht="15" hidden="false" customHeight="false" outlineLevel="0" collapsed="false">
      <c r="A87" s="22" t="n">
        <v>71</v>
      </c>
      <c r="B87" s="22" t="n">
        <v>3.95</v>
      </c>
      <c r="C87" s="23" t="n">
        <f aca="false">C86+(A87-A86)*(B86+B87)/2</f>
        <v>17.565</v>
      </c>
    </row>
    <row r="88" customFormat="false" ht="15" hidden="false" customHeight="false" outlineLevel="0" collapsed="false">
      <c r="A88" s="22" t="n">
        <v>72</v>
      </c>
      <c r="B88" s="22" t="n">
        <v>4.55</v>
      </c>
      <c r="C88" s="23" t="n">
        <f aca="false">C87+(A88-A87)*(B87+B88)/2</f>
        <v>21.815</v>
      </c>
    </row>
    <row r="89" customFormat="false" ht="15" hidden="false" customHeight="false" outlineLevel="0" collapsed="false">
      <c r="A89" s="22" t="n">
        <v>73</v>
      </c>
      <c r="B89" s="22" t="n">
        <v>5.2</v>
      </c>
      <c r="C89" s="23" t="n">
        <f aca="false">C88+(A89-A88)*(B88+B89)/2</f>
        <v>26.69</v>
      </c>
    </row>
    <row r="90" customFormat="false" ht="15" hidden="false" customHeight="false" outlineLevel="0" collapsed="false">
      <c r="A90" s="22" t="n">
        <v>74</v>
      </c>
      <c r="B90" s="22" t="n">
        <v>5.8</v>
      </c>
      <c r="C90" s="23" t="n">
        <f aca="false">C89+(A90-A89)*(B89+B90)/2</f>
        <v>32.19</v>
      </c>
    </row>
    <row r="91" customFormat="false" ht="15" hidden="false" customHeight="false" outlineLevel="0" collapsed="false">
      <c r="A91" s="22" t="n">
        <v>75</v>
      </c>
      <c r="B91" s="22" t="n">
        <v>6.46</v>
      </c>
      <c r="C91" s="23" t="n">
        <f aca="false">C90+(A91-A90)*(B90+B91)/2</f>
        <v>38.32</v>
      </c>
    </row>
    <row r="92" customFormat="false" ht="15" hidden="false" customHeight="false" outlineLevel="0" collapsed="false">
      <c r="A92" s="22" t="n">
        <v>76</v>
      </c>
      <c r="B92" s="22" t="n">
        <v>6.9</v>
      </c>
      <c r="C92" s="23" t="n">
        <f aca="false">C91+(A92-A91)*(B91+B92)/2</f>
        <v>45</v>
      </c>
    </row>
    <row r="93" customFormat="false" ht="15" hidden="false" customHeight="false" outlineLevel="0" collapsed="false">
      <c r="A93" s="22" t="n">
        <v>77</v>
      </c>
      <c r="B93" s="22" t="n">
        <v>7.4</v>
      </c>
      <c r="C93" s="23" t="n">
        <f aca="false">C92+(A93-A92)*(B92+B93)/2</f>
        <v>52.15</v>
      </c>
    </row>
    <row r="94" customFormat="false" ht="15" hidden="false" customHeight="false" outlineLevel="0" collapsed="false">
      <c r="A94" s="22" t="n">
        <v>78</v>
      </c>
      <c r="B94" s="22" t="n">
        <v>7.91</v>
      </c>
      <c r="C94" s="23" t="n">
        <f aca="false">C93+(A94-A93)*(B93+B94)/2</f>
        <v>59.805</v>
      </c>
    </row>
    <row r="95" customFormat="false" ht="15" hidden="false" customHeight="false" outlineLevel="0" collapsed="false">
      <c r="A95" s="22" t="n">
        <v>79</v>
      </c>
      <c r="B95" s="22" t="n">
        <v>8.43</v>
      </c>
      <c r="C95" s="23" t="n">
        <f aca="false">C94+(A95-A94)*(B94+B95)/2</f>
        <v>67.975</v>
      </c>
    </row>
    <row r="96" customFormat="false" ht="15" hidden="false" customHeight="false" outlineLevel="0" collapsed="false">
      <c r="A96" s="22" t="n">
        <v>80</v>
      </c>
      <c r="B96" s="22" t="n">
        <v>9.13</v>
      </c>
      <c r="C96" s="23" t="n">
        <f aca="false">C95+(A96-A95)*(B95+B96)/2</f>
        <v>76.755</v>
      </c>
    </row>
    <row r="97" customFormat="false" ht="15" hidden="false" customHeight="false" outlineLevel="0" collapsed="false">
      <c r="A97" s="22" t="n">
        <v>81</v>
      </c>
      <c r="B97" s="22" t="n">
        <v>9.99</v>
      </c>
      <c r="C97" s="23" t="n">
        <f aca="false">C96+(A97-A96)*(B96+B97)/2</f>
        <v>86.315</v>
      </c>
    </row>
    <row r="98" customFormat="false" ht="15" hidden="false" customHeight="false" outlineLevel="0" collapsed="false">
      <c r="A98" s="22" t="n">
        <v>82</v>
      </c>
      <c r="B98" s="22" t="n">
        <v>10.5</v>
      </c>
      <c r="C98" s="23" t="n">
        <f aca="false">C97+(A98-A97)*(B97+B98)/2</f>
        <v>96.56</v>
      </c>
    </row>
    <row r="99" customFormat="false" ht="15" hidden="false" customHeight="false" outlineLevel="0" collapsed="false">
      <c r="A99" s="22" t="n">
        <v>83</v>
      </c>
      <c r="B99" s="22" t="n">
        <v>11.22</v>
      </c>
      <c r="C99" s="23" t="n">
        <f aca="false">C98+(A99-A98)*(B98+B99)/2</f>
        <v>107.42</v>
      </c>
    </row>
    <row r="100" customFormat="false" ht="15" hidden="false" customHeight="false" outlineLevel="0" collapsed="false">
      <c r="A100" s="22" t="n">
        <v>84</v>
      </c>
      <c r="B100" s="22" t="n">
        <v>11.95</v>
      </c>
      <c r="C100" s="23" t="n">
        <f aca="false">C99+(A100-A99)*(B99+B100)/2</f>
        <v>119.005</v>
      </c>
    </row>
    <row r="101" customFormat="false" ht="15" hidden="false" customHeight="false" outlineLevel="0" collapsed="false">
      <c r="A101" s="22" t="n">
        <v>85</v>
      </c>
      <c r="B101" s="22" t="n">
        <v>12.95</v>
      </c>
      <c r="C101" s="23" t="n">
        <f aca="false">C100+(A101-A100)*(B100+B101)/2</f>
        <v>131.455</v>
      </c>
    </row>
  </sheetData>
  <mergeCells count="21">
    <mergeCell ref="D5:H5"/>
    <mergeCell ref="D6:H6"/>
    <mergeCell ref="D7:H7"/>
    <mergeCell ref="D8:H8"/>
    <mergeCell ref="D9:H9"/>
    <mergeCell ref="D12:H12"/>
    <mergeCell ref="D13:H13"/>
    <mergeCell ref="D14:H14"/>
    <mergeCell ref="D15:H15"/>
    <mergeCell ref="D16:H16"/>
    <mergeCell ref="D17:H17"/>
    <mergeCell ref="D18:H18"/>
    <mergeCell ref="D19:H19"/>
    <mergeCell ref="D22:H22"/>
    <mergeCell ref="D23:H23"/>
    <mergeCell ref="D24:H24"/>
    <mergeCell ref="D25:H25"/>
    <mergeCell ref="D26:H26"/>
    <mergeCell ref="D27:H27"/>
    <mergeCell ref="D28:H28"/>
    <mergeCell ref="D29:H29"/>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8984"/>
    <pageSetUpPr fitToPage="true"/>
  </sheetPr>
  <dimension ref="A1:M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8"/>
    <col collapsed="false" customWidth="true" hidden="false" outlineLevel="0" max="3" min="3" style="0" width="10"/>
    <col collapsed="false" customWidth="true" hidden="false" outlineLevel="0" max="5" min="4" style="0" width="7"/>
    <col collapsed="false" customWidth="true" hidden="false" outlineLevel="0" max="6" min="6" style="0" width="9"/>
    <col collapsed="false" customWidth="true" hidden="false" outlineLevel="0" max="8" min="7" style="0" width="7"/>
    <col collapsed="false" customWidth="true" hidden="false" outlineLevel="0" max="9" min="9" style="0" width="9"/>
    <col collapsed="false" customWidth="true" hidden="false" outlineLevel="0" max="11" min="10" style="0" width="10"/>
    <col collapsed="false" customWidth="true" hidden="false" outlineLevel="0" max="13" min="12" style="0" width="11"/>
  </cols>
  <sheetData>
    <row r="1" customFormat="false" ht="17.35" hidden="false" customHeight="false" outlineLevel="0" collapsed="false">
      <c r="A1" s="6" t="s">
        <v>85</v>
      </c>
    </row>
    <row r="2" customFormat="false" ht="15" hidden="false" customHeight="false" outlineLevel="0" collapsed="false">
      <c r="A2" s="7" t="s">
        <v>86</v>
      </c>
    </row>
    <row r="4" customFormat="false" ht="45" hidden="false" customHeight="true" outlineLevel="0" collapsed="false">
      <c r="A4" s="9" t="s">
        <v>80</v>
      </c>
      <c r="B4" s="9" t="s">
        <v>81</v>
      </c>
      <c r="C4" s="9" t="s">
        <v>87</v>
      </c>
      <c r="D4" s="9" t="s">
        <v>88</v>
      </c>
      <c r="E4" s="9" t="s">
        <v>89</v>
      </c>
      <c r="F4" s="9" t="s">
        <v>90</v>
      </c>
      <c r="G4" s="9" t="s">
        <v>91</v>
      </c>
      <c r="H4" s="9" t="s">
        <v>92</v>
      </c>
      <c r="I4" s="9" t="s">
        <v>93</v>
      </c>
      <c r="J4" s="9" t="s">
        <v>94</v>
      </c>
      <c r="K4" s="9" t="s">
        <v>95</v>
      </c>
      <c r="L4" s="9" t="s">
        <v>96</v>
      </c>
      <c r="M4" s="9" t="s">
        <v>97</v>
      </c>
    </row>
    <row r="5" customFormat="false" ht="15" hidden="false" customHeight="false" outlineLevel="0" collapsed="false">
      <c r="A5" s="24" t="n">
        <v>71</v>
      </c>
      <c r="B5" s="25" t="n">
        <f aca="false">INDEX(Bang_F,MATCH(A5,Bang_Z,1))+(A5-INDEX(Bang_Z,MATCH(A5,Bang_Z,1)))*(INDEX(Bang_F,MATCH(A5,Bang_Z,1)+1)-INDEX(Bang_F,MATCH(A5,Bang_Z,1)))</f>
        <v>3.95</v>
      </c>
      <c r="C5" s="25" t="n">
        <f aca="false">INDEX(Bang_W,MATCH(A5,Bang_Z,1))+(A5-INDEX(Bang_Z,MATCH(A5,Bang_Z,1)))*(INDEX(Bang_F,MATCH(A5,Bang_Z,1))+B5)/2</f>
        <v>17.565</v>
      </c>
      <c r="D5" s="26" t="n">
        <f aca="false">MAX(A5-TC_Z,0)</f>
        <v>0</v>
      </c>
      <c r="E5" s="27" t="n">
        <f aca="false">1-0.2*(TC_xmb+(TC_n-1)*TC_xmt)*D5/(TC_n*TC_b)</f>
        <v>1</v>
      </c>
      <c r="F5" s="28" t="n">
        <f aca="false">TC_s*E5*TC_m*TC_n*TC_b*SQRT(2*g_)*D5^1.5</f>
        <v>0</v>
      </c>
      <c r="G5" s="29" t="n">
        <f aca="false">MAX(A5-SC_Z,0)</f>
        <v>0</v>
      </c>
      <c r="H5" s="30" t="n">
        <f aca="false">1-0.2*(SC_xmb+(SC_n-1)*SC_xmt)*G5/(SC_n*SC_b)</f>
        <v>1</v>
      </c>
      <c r="I5" s="31" t="n">
        <f aca="false">SC_s*H5*SC_m*SC_n*SC_b*SQRT(2*g_)*G5^1.5</f>
        <v>0</v>
      </c>
      <c r="J5" s="32" t="n">
        <f aca="false">F5+I5</f>
        <v>0</v>
      </c>
      <c r="K5" s="32" t="n">
        <f aca="false">F5</f>
        <v>0</v>
      </c>
      <c r="L5" s="32" t="n">
        <f aca="false">C5*1000000/dt_s+J5/2</f>
        <v>4879.16666666667</v>
      </c>
      <c r="M5" s="32" t="n">
        <f aca="false">C5*1000000/dt_s+K5/2</f>
        <v>4879.16666666667</v>
      </c>
    </row>
    <row r="6" customFormat="false" ht="15" hidden="false" customHeight="false" outlineLevel="0" collapsed="false">
      <c r="A6" s="24" t="n">
        <f aca="false">ROUND(A5+0.1,2)</f>
        <v>71.1</v>
      </c>
      <c r="B6" s="25" t="n">
        <f aca="false">INDEX(Bang_F,MATCH(A6,Bang_Z,1))+(A6-INDEX(Bang_Z,MATCH(A6,Bang_Z,1)))*(INDEX(Bang_F,MATCH(A6,Bang_Z,1)+1)-INDEX(Bang_F,MATCH(A6,Bang_Z,1)))</f>
        <v>4.01</v>
      </c>
      <c r="C6" s="25" t="n">
        <f aca="false">INDEX(Bang_W,MATCH(A6,Bang_Z,1))+(A6-INDEX(Bang_Z,MATCH(A6,Bang_Z,1)))*(INDEX(Bang_F,MATCH(A6,Bang_Z,1))+B6)/2</f>
        <v>17.963</v>
      </c>
      <c r="D6" s="26" t="n">
        <f aca="false">MAX(A6-TC_Z,0)</f>
        <v>0</v>
      </c>
      <c r="E6" s="27" t="n">
        <f aca="false">1-0.2*(TC_xmb+(TC_n-1)*TC_xmt)*D6/(TC_n*TC_b)</f>
        <v>1</v>
      </c>
      <c r="F6" s="28" t="n">
        <f aca="false">TC_s*E6*TC_m*TC_n*TC_b*SQRT(2*g_)*D6^1.5</f>
        <v>0</v>
      </c>
      <c r="G6" s="29" t="n">
        <f aca="false">MAX(A6-SC_Z,0)</f>
        <v>0.0999999999999943</v>
      </c>
      <c r="H6" s="30" t="n">
        <f aca="false">1-0.2*(SC_xmb+(SC_n-1)*SC_xmt)*G6/(SC_n*SC_b)</f>
        <v>0.9972</v>
      </c>
      <c r="I6" s="31" t="n">
        <f aca="false">SC_s*H6*SC_m*SC_n*SC_b*SQRT(2*g_)*G6^1.5</f>
        <v>0.314278223422787</v>
      </c>
      <c r="J6" s="32" t="n">
        <f aca="false">F6+I6</f>
        <v>0.314278223422787</v>
      </c>
      <c r="K6" s="32" t="n">
        <f aca="false">F6</f>
        <v>0</v>
      </c>
      <c r="L6" s="32" t="n">
        <f aca="false">C6*1000000/dt_s+J6/2</f>
        <v>4989.87936133393</v>
      </c>
      <c r="M6" s="32" t="n">
        <f aca="false">C6*1000000/dt_s+K6/2</f>
        <v>4989.72222222222</v>
      </c>
    </row>
    <row r="7" customFormat="false" ht="15" hidden="false" customHeight="false" outlineLevel="0" collapsed="false">
      <c r="A7" s="24" t="n">
        <f aca="false">ROUND(A6+0.1,2)</f>
        <v>71.2</v>
      </c>
      <c r="B7" s="25" t="n">
        <f aca="false">INDEX(Bang_F,MATCH(A7,Bang_Z,1))+(A7-INDEX(Bang_Z,MATCH(A7,Bang_Z,1)))*(INDEX(Bang_F,MATCH(A7,Bang_Z,1)+1)-INDEX(Bang_F,MATCH(A7,Bang_Z,1)))</f>
        <v>4.07</v>
      </c>
      <c r="C7" s="25" t="n">
        <f aca="false">INDEX(Bang_W,MATCH(A7,Bang_Z,1))+(A7-INDEX(Bang_Z,MATCH(A7,Bang_Z,1)))*(INDEX(Bang_F,MATCH(A7,Bang_Z,1))+B7)/2</f>
        <v>18.367</v>
      </c>
      <c r="D7" s="26" t="n">
        <f aca="false">MAX(A7-TC_Z,0)</f>
        <v>0</v>
      </c>
      <c r="E7" s="27" t="n">
        <f aca="false">1-0.2*(TC_xmb+(TC_n-1)*TC_xmt)*D7/(TC_n*TC_b)</f>
        <v>1</v>
      </c>
      <c r="F7" s="28" t="n">
        <f aca="false">TC_s*E7*TC_m*TC_n*TC_b*SQRT(2*g_)*D7^1.5</f>
        <v>0</v>
      </c>
      <c r="G7" s="29" t="n">
        <f aca="false">MAX(A7-SC_Z,0)</f>
        <v>0.200000000000003</v>
      </c>
      <c r="H7" s="30" t="n">
        <f aca="false">1-0.2*(SC_xmb+(SC_n-1)*SC_xmt)*G7/(SC_n*SC_b)</f>
        <v>0.9944</v>
      </c>
      <c r="I7" s="31" t="n">
        <f aca="false">SC_s*H7*SC_m*SC_n*SC_b*SQRT(2*g_)*G7^1.5</f>
        <v>0.886417106654443</v>
      </c>
      <c r="J7" s="32" t="n">
        <f aca="false">F7+I7</f>
        <v>0.886417106654443</v>
      </c>
      <c r="K7" s="32" t="n">
        <f aca="false">F7</f>
        <v>0</v>
      </c>
      <c r="L7" s="32" t="n">
        <f aca="false">C7*1000000/dt_s+J7/2</f>
        <v>5102.38765299778</v>
      </c>
      <c r="M7" s="32" t="n">
        <f aca="false">C7*1000000/dt_s+K7/2</f>
        <v>5101.94444444445</v>
      </c>
    </row>
    <row r="8" customFormat="false" ht="15" hidden="false" customHeight="false" outlineLevel="0" collapsed="false">
      <c r="A8" s="24" t="n">
        <f aca="false">ROUND(A7+0.1,2)</f>
        <v>71.3</v>
      </c>
      <c r="B8" s="25" t="n">
        <f aca="false">INDEX(Bang_F,MATCH(A8,Bang_Z,1))+(A8-INDEX(Bang_Z,MATCH(A8,Bang_Z,1)))*(INDEX(Bang_F,MATCH(A8,Bang_Z,1)+1)-INDEX(Bang_F,MATCH(A8,Bang_Z,1)))</f>
        <v>4.13</v>
      </c>
      <c r="C8" s="25" t="n">
        <f aca="false">INDEX(Bang_W,MATCH(A8,Bang_Z,1))+(A8-INDEX(Bang_Z,MATCH(A8,Bang_Z,1)))*(INDEX(Bang_F,MATCH(A8,Bang_Z,1))+B8)/2</f>
        <v>18.777</v>
      </c>
      <c r="D8" s="26" t="n">
        <f aca="false">MAX(A8-TC_Z,0)</f>
        <v>0</v>
      </c>
      <c r="E8" s="27" t="n">
        <f aca="false">1-0.2*(TC_xmb+(TC_n-1)*TC_xmt)*D8/(TC_n*TC_b)</f>
        <v>1</v>
      </c>
      <c r="F8" s="28" t="n">
        <f aca="false">TC_s*E8*TC_m*TC_n*TC_b*SQRT(2*g_)*D8^1.5</f>
        <v>0</v>
      </c>
      <c r="G8" s="29" t="n">
        <f aca="false">MAX(A8-SC_Z,0)</f>
        <v>0.299999999999997</v>
      </c>
      <c r="H8" s="30" t="n">
        <f aca="false">1-0.2*(SC_xmb+(SC_n-1)*SC_xmt)*G8/(SC_n*SC_b)</f>
        <v>0.9916</v>
      </c>
      <c r="I8" s="31" t="n">
        <f aca="false">SC_s*H8*SC_m*SC_n*SC_b*SQRT(2*g_)*G8^1.5</f>
        <v>1.62386686382392</v>
      </c>
      <c r="J8" s="32" t="n">
        <f aca="false">F8+I8</f>
        <v>1.62386686382392</v>
      </c>
      <c r="K8" s="32" t="n">
        <f aca="false">F8</f>
        <v>0</v>
      </c>
      <c r="L8" s="32" t="n">
        <f aca="false">C8*1000000/dt_s+J8/2</f>
        <v>5216.64526676524</v>
      </c>
      <c r="M8" s="32" t="n">
        <f aca="false">C8*1000000/dt_s+K8/2</f>
        <v>5215.83333333333</v>
      </c>
    </row>
    <row r="9" customFormat="false" ht="15" hidden="false" customHeight="false" outlineLevel="0" collapsed="false">
      <c r="A9" s="24" t="n">
        <f aca="false">ROUND(A8+0.1,2)</f>
        <v>71.4</v>
      </c>
      <c r="B9" s="25" t="n">
        <f aca="false">INDEX(Bang_F,MATCH(A9,Bang_Z,1))+(A9-INDEX(Bang_Z,MATCH(A9,Bang_Z,1)))*(INDEX(Bang_F,MATCH(A9,Bang_Z,1)+1)-INDEX(Bang_F,MATCH(A9,Bang_Z,1)))</f>
        <v>4.19</v>
      </c>
      <c r="C9" s="25" t="n">
        <f aca="false">INDEX(Bang_W,MATCH(A9,Bang_Z,1))+(A9-INDEX(Bang_Z,MATCH(A9,Bang_Z,1)))*(INDEX(Bang_F,MATCH(A9,Bang_Z,1))+B9)/2</f>
        <v>19.193</v>
      </c>
      <c r="D9" s="26" t="n">
        <f aca="false">MAX(A9-TC_Z,0)</f>
        <v>0</v>
      </c>
      <c r="E9" s="27" t="n">
        <f aca="false">1-0.2*(TC_xmb+(TC_n-1)*TC_xmt)*D9/(TC_n*TC_b)</f>
        <v>1</v>
      </c>
      <c r="F9" s="28" t="n">
        <f aca="false">TC_s*E9*TC_m*TC_n*TC_b*SQRT(2*g_)*D9^1.5</f>
        <v>0</v>
      </c>
      <c r="G9" s="29" t="n">
        <f aca="false">MAX(A9-SC_Z,0)</f>
        <v>0.400000000000006</v>
      </c>
      <c r="H9" s="30" t="n">
        <f aca="false">1-0.2*(SC_xmb+(SC_n-1)*SC_xmt)*G9/(SC_n*SC_b)</f>
        <v>0.9888</v>
      </c>
      <c r="I9" s="31" t="n">
        <f aca="false">SC_s*H9*SC_m*SC_n*SC_b*SQRT(2*g_)*G9^1.5</f>
        <v>2.49304699013626</v>
      </c>
      <c r="J9" s="32" t="n">
        <f aca="false">F9+I9</f>
        <v>2.49304699013626</v>
      </c>
      <c r="K9" s="32" t="n">
        <f aca="false">F9</f>
        <v>0</v>
      </c>
      <c r="L9" s="32" t="n">
        <f aca="false">C9*1000000/dt_s+J9/2</f>
        <v>5332.63541238396</v>
      </c>
      <c r="M9" s="32" t="n">
        <f aca="false">C9*1000000/dt_s+K9/2</f>
        <v>5331.3888888889</v>
      </c>
    </row>
    <row r="10" customFormat="false" ht="15" hidden="false" customHeight="false" outlineLevel="0" collapsed="false">
      <c r="A10" s="24" t="n">
        <f aca="false">ROUND(A9+0.1,2)</f>
        <v>71.5</v>
      </c>
      <c r="B10" s="25" t="n">
        <f aca="false">INDEX(Bang_F,MATCH(A10,Bang_Z,1))+(A10-INDEX(Bang_Z,MATCH(A10,Bang_Z,1)))*(INDEX(Bang_F,MATCH(A10,Bang_Z,1)+1)-INDEX(Bang_F,MATCH(A10,Bang_Z,1)))</f>
        <v>4.25</v>
      </c>
      <c r="C10" s="25" t="n">
        <f aca="false">INDEX(Bang_W,MATCH(A10,Bang_Z,1))+(A10-INDEX(Bang_Z,MATCH(A10,Bang_Z,1)))*(INDEX(Bang_F,MATCH(A10,Bang_Z,1))+B10)/2</f>
        <v>19.615</v>
      </c>
      <c r="D10" s="26" t="n">
        <f aca="false">MAX(A10-TC_Z,0)</f>
        <v>0</v>
      </c>
      <c r="E10" s="27" t="n">
        <f aca="false">1-0.2*(TC_xmb+(TC_n-1)*TC_xmt)*D10/(TC_n*TC_b)</f>
        <v>1</v>
      </c>
      <c r="F10" s="28" t="n">
        <f aca="false">TC_s*E10*TC_m*TC_n*TC_b*SQRT(2*g_)*D10^1.5</f>
        <v>0</v>
      </c>
      <c r="G10" s="29" t="n">
        <f aca="false">MAX(A10-SC_Z,0)</f>
        <v>0.5</v>
      </c>
      <c r="H10" s="30" t="n">
        <f aca="false">1-0.2*(SC_xmb+(SC_n-1)*SC_xmt)*G10/(SC_n*SC_b)</f>
        <v>0.986</v>
      </c>
      <c r="I10" s="31" t="n">
        <f aca="false">SC_s*H10*SC_m*SC_n*SC_b*SQRT(2*g_)*G10^1.5</f>
        <v>3.47427299850271</v>
      </c>
      <c r="J10" s="32" t="n">
        <f aca="false">F10+I10</f>
        <v>3.47427299850271</v>
      </c>
      <c r="K10" s="32" t="n">
        <f aca="false">F10</f>
        <v>0</v>
      </c>
      <c r="L10" s="32" t="n">
        <f aca="false">C10*1000000/dt_s+J10/2</f>
        <v>5450.34824761036</v>
      </c>
      <c r="M10" s="32" t="n">
        <f aca="false">C10*1000000/dt_s+K10/2</f>
        <v>5448.61111111111</v>
      </c>
    </row>
    <row r="11" customFormat="false" ht="15" hidden="false" customHeight="false" outlineLevel="0" collapsed="false">
      <c r="A11" s="24" t="n">
        <f aca="false">ROUND(A10+0.1,2)</f>
        <v>71.6</v>
      </c>
      <c r="B11" s="25" t="n">
        <f aca="false">INDEX(Bang_F,MATCH(A11,Bang_Z,1))+(A11-INDEX(Bang_Z,MATCH(A11,Bang_Z,1)))*(INDEX(Bang_F,MATCH(A11,Bang_Z,1)+1)-INDEX(Bang_F,MATCH(A11,Bang_Z,1)))</f>
        <v>4.31</v>
      </c>
      <c r="C11" s="25" t="n">
        <f aca="false">INDEX(Bang_W,MATCH(A11,Bang_Z,1))+(A11-INDEX(Bang_Z,MATCH(A11,Bang_Z,1)))*(INDEX(Bang_F,MATCH(A11,Bang_Z,1))+B11)/2</f>
        <v>20.043</v>
      </c>
      <c r="D11" s="26" t="n">
        <f aca="false">MAX(A11-TC_Z,0)</f>
        <v>0</v>
      </c>
      <c r="E11" s="27" t="n">
        <f aca="false">1-0.2*(TC_xmb+(TC_n-1)*TC_xmt)*D11/(TC_n*TC_b)</f>
        <v>1</v>
      </c>
      <c r="F11" s="28" t="n">
        <f aca="false">TC_s*E11*TC_m*TC_n*TC_b*SQRT(2*g_)*D11^1.5</f>
        <v>0</v>
      </c>
      <c r="G11" s="29" t="n">
        <f aca="false">MAX(A11-SC_Z,0)</f>
        <v>0.599999999999994</v>
      </c>
      <c r="H11" s="30" t="n">
        <f aca="false">1-0.2*(SC_xmb+(SC_n-1)*SC_xmt)*G11/(SC_n*SC_b)</f>
        <v>0.9832</v>
      </c>
      <c r="I11" s="31" t="n">
        <f aca="false">SC_s*H11*SC_m*SC_n*SC_b*SQRT(2*g_)*G11^1.5</f>
        <v>4.55408114965162</v>
      </c>
      <c r="J11" s="32" t="n">
        <f aca="false">F11+I11</f>
        <v>4.55408114965162</v>
      </c>
      <c r="K11" s="32" t="n">
        <f aca="false">F11</f>
        <v>0</v>
      </c>
      <c r="L11" s="32" t="n">
        <f aca="false">C11*1000000/dt_s+J11/2</f>
        <v>5569.77704057482</v>
      </c>
      <c r="M11" s="32" t="n">
        <f aca="false">C11*1000000/dt_s+K11/2</f>
        <v>5567.49999999999</v>
      </c>
    </row>
    <row r="12" customFormat="false" ht="15" hidden="false" customHeight="false" outlineLevel="0" collapsed="false">
      <c r="A12" s="24" t="n">
        <f aca="false">ROUND(A11+0.1,2)</f>
        <v>71.7</v>
      </c>
      <c r="B12" s="25" t="n">
        <f aca="false">INDEX(Bang_F,MATCH(A12,Bang_Z,1))+(A12-INDEX(Bang_Z,MATCH(A12,Bang_Z,1)))*(INDEX(Bang_F,MATCH(A12,Bang_Z,1)+1)-INDEX(Bang_F,MATCH(A12,Bang_Z,1)))</f>
        <v>4.37</v>
      </c>
      <c r="C12" s="25" t="n">
        <f aca="false">INDEX(Bang_W,MATCH(A12,Bang_Z,1))+(A12-INDEX(Bang_Z,MATCH(A12,Bang_Z,1)))*(INDEX(Bang_F,MATCH(A12,Bang_Z,1))+B12)/2</f>
        <v>20.477</v>
      </c>
      <c r="D12" s="26" t="n">
        <f aca="false">MAX(A12-TC_Z,0)</f>
        <v>0</v>
      </c>
      <c r="E12" s="27" t="n">
        <f aca="false">1-0.2*(TC_xmb+(TC_n-1)*TC_xmt)*D12/(TC_n*TC_b)</f>
        <v>1</v>
      </c>
      <c r="F12" s="28" t="n">
        <f aca="false">TC_s*E12*TC_m*TC_n*TC_b*SQRT(2*g_)*D12^1.5</f>
        <v>0</v>
      </c>
      <c r="G12" s="29" t="n">
        <f aca="false">MAX(A12-SC_Z,0)</f>
        <v>0.700000000000003</v>
      </c>
      <c r="H12" s="30" t="n">
        <f aca="false">1-0.2*(SC_xmb+(SC_n-1)*SC_xmt)*G12/(SC_n*SC_b)</f>
        <v>0.9804</v>
      </c>
      <c r="I12" s="31" t="n">
        <f aca="false">SC_s*H12*SC_m*SC_n*SC_b*SQRT(2*g_)*G12^1.5</f>
        <v>5.72245494810269</v>
      </c>
      <c r="J12" s="32" t="n">
        <f aca="false">F12+I12</f>
        <v>5.72245494810269</v>
      </c>
      <c r="K12" s="32" t="n">
        <f aca="false">F12</f>
        <v>0</v>
      </c>
      <c r="L12" s="32" t="n">
        <f aca="false">C12*1000000/dt_s+J12/2</f>
        <v>5690.91678302961</v>
      </c>
      <c r="M12" s="32" t="n">
        <f aca="false">C12*1000000/dt_s+K12/2</f>
        <v>5688.05555555556</v>
      </c>
    </row>
    <row r="13" customFormat="false" ht="15" hidden="false" customHeight="false" outlineLevel="0" collapsed="false">
      <c r="A13" s="24" t="n">
        <f aca="false">ROUND(A12+0.1,2)</f>
        <v>71.8</v>
      </c>
      <c r="B13" s="25" t="n">
        <f aca="false">INDEX(Bang_F,MATCH(A13,Bang_Z,1))+(A13-INDEX(Bang_Z,MATCH(A13,Bang_Z,1)))*(INDEX(Bang_F,MATCH(A13,Bang_Z,1)+1)-INDEX(Bang_F,MATCH(A13,Bang_Z,1)))</f>
        <v>4.43</v>
      </c>
      <c r="C13" s="25" t="n">
        <f aca="false">INDEX(Bang_W,MATCH(A13,Bang_Z,1))+(A13-INDEX(Bang_Z,MATCH(A13,Bang_Z,1)))*(INDEX(Bang_F,MATCH(A13,Bang_Z,1))+B13)/2</f>
        <v>20.917</v>
      </c>
      <c r="D13" s="26" t="n">
        <f aca="false">MAX(A13-TC_Z,0)</f>
        <v>0</v>
      </c>
      <c r="E13" s="27" t="n">
        <f aca="false">1-0.2*(TC_xmb+(TC_n-1)*TC_xmt)*D13/(TC_n*TC_b)</f>
        <v>1</v>
      </c>
      <c r="F13" s="28" t="n">
        <f aca="false">TC_s*E13*TC_m*TC_n*TC_b*SQRT(2*g_)*D13^1.5</f>
        <v>0</v>
      </c>
      <c r="G13" s="29" t="n">
        <f aca="false">MAX(A13-SC_Z,0)</f>
        <v>0.799999999999997</v>
      </c>
      <c r="H13" s="30" t="n">
        <f aca="false">1-0.2*(SC_xmb+(SC_n-1)*SC_xmt)*G13/(SC_n*SC_b)</f>
        <v>0.9776</v>
      </c>
      <c r="I13" s="31" t="n">
        <f aca="false">SC_s*H13*SC_m*SC_n*SC_b*SQRT(2*g_)*G13^1.5</f>
        <v>6.97153148403347</v>
      </c>
      <c r="J13" s="32" t="n">
        <f aca="false">F13+I13</f>
        <v>6.97153148403347</v>
      </c>
      <c r="K13" s="32" t="n">
        <f aca="false">F13</f>
        <v>0</v>
      </c>
      <c r="L13" s="32" t="n">
        <f aca="false">C13*1000000/dt_s+J13/2</f>
        <v>5813.76354351979</v>
      </c>
      <c r="M13" s="32" t="n">
        <f aca="false">C13*1000000/dt_s+K13/2</f>
        <v>5810.27777777778</v>
      </c>
    </row>
    <row r="14" customFormat="false" ht="15" hidden="false" customHeight="false" outlineLevel="0" collapsed="false">
      <c r="A14" s="24" t="n">
        <f aca="false">ROUND(A13+0.1,2)</f>
        <v>71.9</v>
      </c>
      <c r="B14" s="25" t="n">
        <f aca="false">INDEX(Bang_F,MATCH(A14,Bang_Z,1))+(A14-INDEX(Bang_Z,MATCH(A14,Bang_Z,1)))*(INDEX(Bang_F,MATCH(A14,Bang_Z,1)+1)-INDEX(Bang_F,MATCH(A14,Bang_Z,1)))</f>
        <v>4.49</v>
      </c>
      <c r="C14" s="25" t="n">
        <f aca="false">INDEX(Bang_W,MATCH(A14,Bang_Z,1))+(A14-INDEX(Bang_Z,MATCH(A14,Bang_Z,1)))*(INDEX(Bang_F,MATCH(A14,Bang_Z,1))+B14)/2</f>
        <v>21.363</v>
      </c>
      <c r="D14" s="26" t="n">
        <f aca="false">MAX(A14-TC_Z,0)</f>
        <v>0</v>
      </c>
      <c r="E14" s="27" t="n">
        <f aca="false">1-0.2*(TC_xmb+(TC_n-1)*TC_xmt)*D14/(TC_n*TC_b)</f>
        <v>1</v>
      </c>
      <c r="F14" s="28" t="n">
        <f aca="false">TC_s*E14*TC_m*TC_n*TC_b*SQRT(2*g_)*D14^1.5</f>
        <v>0</v>
      </c>
      <c r="G14" s="29" t="n">
        <f aca="false">MAX(A14-SC_Z,0)</f>
        <v>0.900000000000006</v>
      </c>
      <c r="H14" s="30" t="n">
        <f aca="false">1-0.2*(SC_xmb+(SC_n-1)*SC_xmt)*G14/(SC_n*SC_b)</f>
        <v>0.9748</v>
      </c>
      <c r="I14" s="31" t="n">
        <f aca="false">SC_s*H14*SC_m*SC_n*SC_b*SQRT(2*g_)*G14^1.5</f>
        <v>8.29490285719932</v>
      </c>
      <c r="J14" s="32" t="n">
        <f aca="false">F14+I14</f>
        <v>8.29490285719932</v>
      </c>
      <c r="K14" s="32" t="n">
        <f aca="false">F14</f>
        <v>0</v>
      </c>
      <c r="L14" s="32" t="n">
        <f aca="false">C14*1000000/dt_s+J14/2</f>
        <v>5938.31411809528</v>
      </c>
      <c r="M14" s="32" t="n">
        <f aca="false">C14*1000000/dt_s+K14/2</f>
        <v>5934.16666666668</v>
      </c>
    </row>
    <row r="15" customFormat="false" ht="15" hidden="false" customHeight="false" outlineLevel="0" collapsed="false">
      <c r="A15" s="24" t="n">
        <f aca="false">ROUND(A14+0.1,2)</f>
        <v>72</v>
      </c>
      <c r="B15" s="25" t="n">
        <f aca="false">INDEX(Bang_F,MATCH(A15,Bang_Z,1))+(A15-INDEX(Bang_Z,MATCH(A15,Bang_Z,1)))*(INDEX(Bang_F,MATCH(A15,Bang_Z,1)+1)-INDEX(Bang_F,MATCH(A15,Bang_Z,1)))</f>
        <v>4.55</v>
      </c>
      <c r="C15" s="25" t="n">
        <f aca="false">INDEX(Bang_W,MATCH(A15,Bang_Z,1))+(A15-INDEX(Bang_Z,MATCH(A15,Bang_Z,1)))*(INDEX(Bang_F,MATCH(A15,Bang_Z,1))+B15)/2</f>
        <v>21.815</v>
      </c>
      <c r="D15" s="26" t="n">
        <f aca="false">MAX(A15-TC_Z,0)</f>
        <v>0</v>
      </c>
      <c r="E15" s="27" t="n">
        <f aca="false">1-0.2*(TC_xmb+(TC_n-1)*TC_xmt)*D15/(TC_n*TC_b)</f>
        <v>1</v>
      </c>
      <c r="F15" s="28" t="n">
        <f aca="false">TC_s*E15*TC_m*TC_n*TC_b*SQRT(2*g_)*D15^1.5</f>
        <v>0</v>
      </c>
      <c r="G15" s="29" t="n">
        <f aca="false">MAX(A15-SC_Z,0)</f>
        <v>1</v>
      </c>
      <c r="H15" s="30" t="n">
        <f aca="false">1-0.2*(SC_xmb+(SC_n-1)*SC_xmt)*G15/(SC_n*SC_b)</f>
        <v>0.972</v>
      </c>
      <c r="I15" s="31" t="n">
        <f aca="false">SC_s*H15*SC_m*SC_n*SC_b*SQRT(2*g_)*G15^1.5</f>
        <v>9.68720040981914</v>
      </c>
      <c r="J15" s="32" t="n">
        <f aca="false">F15+I15</f>
        <v>9.68720040981914</v>
      </c>
      <c r="K15" s="32" t="n">
        <f aca="false">F15</f>
        <v>0</v>
      </c>
      <c r="L15" s="32" t="n">
        <f aca="false">C15*1000000/dt_s+J15/2</f>
        <v>6064.56582242713</v>
      </c>
      <c r="M15" s="32" t="n">
        <f aca="false">C15*1000000/dt_s+K15/2</f>
        <v>6059.72222222222</v>
      </c>
    </row>
    <row r="16" customFormat="false" ht="15" hidden="false" customHeight="false" outlineLevel="0" collapsed="false">
      <c r="A16" s="24" t="n">
        <f aca="false">ROUND(A15+0.1,2)</f>
        <v>72.1</v>
      </c>
      <c r="B16" s="25" t="n">
        <f aca="false">INDEX(Bang_F,MATCH(A16,Bang_Z,1))+(A16-INDEX(Bang_Z,MATCH(A16,Bang_Z,1)))*(INDEX(Bang_F,MATCH(A16,Bang_Z,1)+1)-INDEX(Bang_F,MATCH(A16,Bang_Z,1)))</f>
        <v>4.615</v>
      </c>
      <c r="C16" s="25" t="n">
        <f aca="false">INDEX(Bang_W,MATCH(A16,Bang_Z,1))+(A16-INDEX(Bang_Z,MATCH(A16,Bang_Z,1)))*(INDEX(Bang_F,MATCH(A16,Bang_Z,1))+B16)/2</f>
        <v>22.27325</v>
      </c>
      <c r="D16" s="26" t="n">
        <f aca="false">MAX(A16-TC_Z,0)</f>
        <v>0</v>
      </c>
      <c r="E16" s="27" t="n">
        <f aca="false">1-0.2*(TC_xmb+(TC_n-1)*TC_xmt)*D16/(TC_n*TC_b)</f>
        <v>1</v>
      </c>
      <c r="F16" s="28" t="n">
        <f aca="false">TC_s*E16*TC_m*TC_n*TC_b*SQRT(2*g_)*D16^1.5</f>
        <v>0</v>
      </c>
      <c r="G16" s="29" t="n">
        <f aca="false">MAX(A16-SC_Z,0)</f>
        <v>1.09999999999999</v>
      </c>
      <c r="H16" s="30" t="n">
        <f aca="false">1-0.2*(SC_xmb+(SC_n-1)*SC_xmt)*G16/(SC_n*SC_b)</f>
        <v>0.9692</v>
      </c>
      <c r="I16" s="31" t="n">
        <f aca="false">SC_s*H16*SC_m*SC_n*SC_b*SQRT(2*g_)*G16^1.5</f>
        <v>11.1438293473745</v>
      </c>
      <c r="J16" s="32" t="n">
        <f aca="false">F16+I16</f>
        <v>11.1438293473745</v>
      </c>
      <c r="K16" s="32" t="n">
        <f aca="false">F16</f>
        <v>0</v>
      </c>
      <c r="L16" s="32" t="n">
        <f aca="false">C16*1000000/dt_s+J16/2</f>
        <v>6192.58580356257</v>
      </c>
      <c r="M16" s="32" t="n">
        <f aca="false">C16*1000000/dt_s+K16/2</f>
        <v>6187.01388888888</v>
      </c>
    </row>
    <row r="17" customFormat="false" ht="15" hidden="false" customHeight="false" outlineLevel="0" collapsed="false">
      <c r="A17" s="24" t="n">
        <f aca="false">ROUND(A16+0.1,2)</f>
        <v>72.2</v>
      </c>
      <c r="B17" s="25" t="n">
        <f aca="false">INDEX(Bang_F,MATCH(A17,Bang_Z,1))+(A17-INDEX(Bang_Z,MATCH(A17,Bang_Z,1)))*(INDEX(Bang_F,MATCH(A17,Bang_Z,1)+1)-INDEX(Bang_F,MATCH(A17,Bang_Z,1)))</f>
        <v>4.68</v>
      </c>
      <c r="C17" s="25" t="n">
        <f aca="false">INDEX(Bang_W,MATCH(A17,Bang_Z,1))+(A17-INDEX(Bang_Z,MATCH(A17,Bang_Z,1)))*(INDEX(Bang_F,MATCH(A17,Bang_Z,1))+B17)/2</f>
        <v>22.738</v>
      </c>
      <c r="D17" s="26" t="n">
        <f aca="false">MAX(A17-TC_Z,0)</f>
        <v>0</v>
      </c>
      <c r="E17" s="27" t="n">
        <f aca="false">1-0.2*(TC_xmb+(TC_n-1)*TC_xmt)*D17/(TC_n*TC_b)</f>
        <v>1</v>
      </c>
      <c r="F17" s="28" t="n">
        <f aca="false">TC_s*E17*TC_m*TC_n*TC_b*SQRT(2*g_)*D17^1.5</f>
        <v>0</v>
      </c>
      <c r="G17" s="29" t="n">
        <f aca="false">MAX(A17-SC_Z,0)</f>
        <v>1.2</v>
      </c>
      <c r="H17" s="30" t="n">
        <f aca="false">1-0.2*(SC_xmb+(SC_n-1)*SC_xmt)*G17/(SC_n*SC_b)</f>
        <v>0.9664</v>
      </c>
      <c r="I17" s="31" t="n">
        <f aca="false">SC_s*H17*SC_m*SC_n*SC_b*SQRT(2*g_)*G17^1.5</f>
        <v>12.6607901347274</v>
      </c>
      <c r="J17" s="32" t="n">
        <f aca="false">F17+I17</f>
        <v>12.6607901347274</v>
      </c>
      <c r="K17" s="32" t="n">
        <f aca="false">F17</f>
        <v>0</v>
      </c>
      <c r="L17" s="32" t="n">
        <f aca="false">C17*1000000/dt_s+J17/2</f>
        <v>6322.44150617848</v>
      </c>
      <c r="M17" s="32" t="n">
        <f aca="false">C17*1000000/dt_s+K17/2</f>
        <v>6316.11111111112</v>
      </c>
    </row>
    <row r="18" customFormat="false" ht="15" hidden="false" customHeight="false" outlineLevel="0" collapsed="false">
      <c r="A18" s="24" t="n">
        <f aca="false">ROUND(A17+0.1,2)</f>
        <v>72.3</v>
      </c>
      <c r="B18" s="25" t="n">
        <f aca="false">INDEX(Bang_F,MATCH(A18,Bang_Z,1))+(A18-INDEX(Bang_Z,MATCH(A18,Bang_Z,1)))*(INDEX(Bang_F,MATCH(A18,Bang_Z,1)+1)-INDEX(Bang_F,MATCH(A18,Bang_Z,1)))</f>
        <v>4.745</v>
      </c>
      <c r="C18" s="25" t="n">
        <f aca="false">INDEX(Bang_W,MATCH(A18,Bang_Z,1))+(A18-INDEX(Bang_Z,MATCH(A18,Bang_Z,1)))*(INDEX(Bang_F,MATCH(A18,Bang_Z,1))+B18)/2</f>
        <v>23.20925</v>
      </c>
      <c r="D18" s="26" t="n">
        <f aca="false">MAX(A18-TC_Z,0)</f>
        <v>0</v>
      </c>
      <c r="E18" s="27" t="n">
        <f aca="false">1-0.2*(TC_xmb+(TC_n-1)*TC_xmt)*D18/(TC_n*TC_b)</f>
        <v>1</v>
      </c>
      <c r="F18" s="28" t="n">
        <f aca="false">TC_s*E18*TC_m*TC_n*TC_b*SQRT(2*g_)*D18^1.5</f>
        <v>0</v>
      </c>
      <c r="G18" s="29" t="n">
        <f aca="false">MAX(A18-SC_Z,0)</f>
        <v>1.3</v>
      </c>
      <c r="H18" s="30" t="n">
        <f aca="false">1-0.2*(SC_xmb+(SC_n-1)*SC_xmt)*G18/(SC_n*SC_b)</f>
        <v>0.9636</v>
      </c>
      <c r="I18" s="31" t="n">
        <f aca="false">SC_s*H18*SC_m*SC_n*SC_b*SQRT(2*g_)*G18^1.5</f>
        <v>14.2345531848075</v>
      </c>
      <c r="J18" s="32" t="n">
        <f aca="false">F18+I18</f>
        <v>14.2345531848075</v>
      </c>
      <c r="K18" s="32" t="n">
        <f aca="false">F18</f>
        <v>0</v>
      </c>
      <c r="L18" s="32" t="n">
        <f aca="false">C18*1000000/dt_s+J18/2</f>
        <v>6454.13116548129</v>
      </c>
      <c r="M18" s="32" t="n">
        <f aca="false">C18*1000000/dt_s+K18/2</f>
        <v>6447.01388888889</v>
      </c>
    </row>
    <row r="19" customFormat="false" ht="15" hidden="false" customHeight="false" outlineLevel="0" collapsed="false">
      <c r="A19" s="24" t="n">
        <f aca="false">ROUND(A18+0.1,2)</f>
        <v>72.4</v>
      </c>
      <c r="B19" s="25" t="n">
        <f aca="false">INDEX(Bang_F,MATCH(A19,Bang_Z,1))+(A19-INDEX(Bang_Z,MATCH(A19,Bang_Z,1)))*(INDEX(Bang_F,MATCH(A19,Bang_Z,1)+1)-INDEX(Bang_F,MATCH(A19,Bang_Z,1)))</f>
        <v>4.81</v>
      </c>
      <c r="C19" s="25" t="n">
        <f aca="false">INDEX(Bang_W,MATCH(A19,Bang_Z,1))+(A19-INDEX(Bang_Z,MATCH(A19,Bang_Z,1)))*(INDEX(Bang_F,MATCH(A19,Bang_Z,1))+B19)/2</f>
        <v>23.687</v>
      </c>
      <c r="D19" s="26" t="n">
        <f aca="false">MAX(A19-TC_Z,0)</f>
        <v>0</v>
      </c>
      <c r="E19" s="27" t="n">
        <f aca="false">1-0.2*(TC_xmb+(TC_n-1)*TC_xmt)*D19/(TC_n*TC_b)</f>
        <v>1</v>
      </c>
      <c r="F19" s="28" t="n">
        <f aca="false">TC_s*E19*TC_m*TC_n*TC_b*SQRT(2*g_)*D19^1.5</f>
        <v>0</v>
      </c>
      <c r="G19" s="29" t="n">
        <f aca="false">MAX(A19-SC_Z,0)</f>
        <v>1.40000000000001</v>
      </c>
      <c r="H19" s="30" t="n">
        <f aca="false">1-0.2*(SC_xmb+(SC_n-1)*SC_xmt)*G19/(SC_n*SC_b)</f>
        <v>0.9608</v>
      </c>
      <c r="I19" s="31" t="n">
        <f aca="false">SC_s*H19*SC_m*SC_n*SC_b*SQRT(2*g_)*G19^1.5</f>
        <v>15.8619679324499</v>
      </c>
      <c r="J19" s="32" t="n">
        <f aca="false">F19+I19</f>
        <v>15.8619679324499</v>
      </c>
      <c r="K19" s="32" t="n">
        <f aca="false">F19</f>
        <v>0</v>
      </c>
      <c r="L19" s="32" t="n">
        <f aca="false">C19*1000000/dt_s+J19/2</f>
        <v>6587.65320618846</v>
      </c>
      <c r="M19" s="32" t="n">
        <f aca="false">C19*1000000/dt_s+K19/2</f>
        <v>6579.72222222223</v>
      </c>
    </row>
    <row r="20" customFormat="false" ht="15" hidden="false" customHeight="false" outlineLevel="0" collapsed="false">
      <c r="A20" s="24" t="n">
        <f aca="false">ROUND(A19+0.1,2)</f>
        <v>72.5</v>
      </c>
      <c r="B20" s="25" t="n">
        <f aca="false">INDEX(Bang_F,MATCH(A20,Bang_Z,1))+(A20-INDEX(Bang_Z,MATCH(A20,Bang_Z,1)))*(INDEX(Bang_F,MATCH(A20,Bang_Z,1)+1)-INDEX(Bang_F,MATCH(A20,Bang_Z,1)))</f>
        <v>4.875</v>
      </c>
      <c r="C20" s="25" t="n">
        <f aca="false">INDEX(Bang_W,MATCH(A20,Bang_Z,1))+(A20-INDEX(Bang_Z,MATCH(A20,Bang_Z,1)))*(INDEX(Bang_F,MATCH(A20,Bang_Z,1))+B20)/2</f>
        <v>24.17125</v>
      </c>
      <c r="D20" s="26" t="n">
        <f aca="false">MAX(A20-TC_Z,0)</f>
        <v>0</v>
      </c>
      <c r="E20" s="27" t="n">
        <f aca="false">1-0.2*(TC_xmb+(TC_n-1)*TC_xmt)*D20/(TC_n*TC_b)</f>
        <v>1</v>
      </c>
      <c r="F20" s="28" t="n">
        <f aca="false">TC_s*E20*TC_m*TC_n*TC_b*SQRT(2*g_)*D20^1.5</f>
        <v>0</v>
      </c>
      <c r="G20" s="29" t="n">
        <f aca="false">MAX(A20-SC_Z,0)</f>
        <v>1.5</v>
      </c>
      <c r="H20" s="30" t="n">
        <f aca="false">1-0.2*(SC_xmb+(SC_n-1)*SC_xmt)*G20/(SC_n*SC_b)</f>
        <v>0.958</v>
      </c>
      <c r="I20" s="31" t="n">
        <f aca="false">SC_s*H20*SC_m*SC_n*SC_b*SQRT(2*g_)*G20^1.5</f>
        <v>17.5401950018914</v>
      </c>
      <c r="J20" s="32" t="n">
        <f aca="false">F20+I20</f>
        <v>17.5401950018914</v>
      </c>
      <c r="K20" s="32" t="n">
        <f aca="false">F20</f>
        <v>0</v>
      </c>
      <c r="L20" s="32" t="n">
        <f aca="false">C20*1000000/dt_s+J20/2</f>
        <v>6723.00620861206</v>
      </c>
      <c r="M20" s="32" t="n">
        <f aca="false">C20*1000000/dt_s+K20/2</f>
        <v>6714.23611111111</v>
      </c>
    </row>
    <row r="21" customFormat="false" ht="15" hidden="false" customHeight="false" outlineLevel="0" collapsed="false">
      <c r="A21" s="24" t="n">
        <f aca="false">ROUND(A20+0.1,2)</f>
        <v>72.6</v>
      </c>
      <c r="B21" s="25" t="n">
        <f aca="false">INDEX(Bang_F,MATCH(A21,Bang_Z,1))+(A21-INDEX(Bang_Z,MATCH(A21,Bang_Z,1)))*(INDEX(Bang_F,MATCH(A21,Bang_Z,1)+1)-INDEX(Bang_F,MATCH(A21,Bang_Z,1)))</f>
        <v>4.94</v>
      </c>
      <c r="C21" s="25" t="n">
        <f aca="false">INDEX(Bang_W,MATCH(A21,Bang_Z,1))+(A21-INDEX(Bang_Z,MATCH(A21,Bang_Z,1)))*(INDEX(Bang_F,MATCH(A21,Bang_Z,1))+B21)/2</f>
        <v>24.662</v>
      </c>
      <c r="D21" s="26" t="n">
        <f aca="false">MAX(A21-TC_Z,0)</f>
        <v>0</v>
      </c>
      <c r="E21" s="27" t="n">
        <f aca="false">1-0.2*(TC_xmb+(TC_n-1)*TC_xmt)*D21/(TC_n*TC_b)</f>
        <v>1</v>
      </c>
      <c r="F21" s="28" t="n">
        <f aca="false">TC_s*E21*TC_m*TC_n*TC_b*SQRT(2*g_)*D21^1.5</f>
        <v>0</v>
      </c>
      <c r="G21" s="29" t="n">
        <f aca="false">MAX(A21-SC_Z,0)</f>
        <v>1.59999999999999</v>
      </c>
      <c r="H21" s="30" t="n">
        <f aca="false">1-0.2*(SC_xmb+(SC_n-1)*SC_xmt)*G21/(SC_n*SC_b)</f>
        <v>0.9552</v>
      </c>
      <c r="I21" s="31" t="n">
        <f aca="false">SC_s*H21*SC_m*SC_n*SC_b*SQRT(2*g_)*G21^1.5</f>
        <v>19.2666544092079</v>
      </c>
      <c r="J21" s="32" t="n">
        <f aca="false">F21+I21</f>
        <v>19.2666544092079</v>
      </c>
      <c r="K21" s="32" t="n">
        <f aca="false">F21</f>
        <v>0</v>
      </c>
      <c r="L21" s="32" t="n">
        <f aca="false">C21*1000000/dt_s+J21/2</f>
        <v>6860.18888276015</v>
      </c>
      <c r="M21" s="32" t="n">
        <f aca="false">C21*1000000/dt_s+K21/2</f>
        <v>6850.55555555555</v>
      </c>
    </row>
    <row r="22" customFormat="false" ht="15" hidden="false" customHeight="false" outlineLevel="0" collapsed="false">
      <c r="A22" s="24" t="n">
        <f aca="false">ROUND(A21+0.1,2)</f>
        <v>72.7</v>
      </c>
      <c r="B22" s="25" t="n">
        <f aca="false">INDEX(Bang_F,MATCH(A22,Bang_Z,1))+(A22-INDEX(Bang_Z,MATCH(A22,Bang_Z,1)))*(INDEX(Bang_F,MATCH(A22,Bang_Z,1)+1)-INDEX(Bang_F,MATCH(A22,Bang_Z,1)))</f>
        <v>5.005</v>
      </c>
      <c r="C22" s="25" t="n">
        <f aca="false">INDEX(Bang_W,MATCH(A22,Bang_Z,1))+(A22-INDEX(Bang_Z,MATCH(A22,Bang_Z,1)))*(INDEX(Bang_F,MATCH(A22,Bang_Z,1))+B22)/2</f>
        <v>25.15925</v>
      </c>
      <c r="D22" s="26" t="n">
        <f aca="false">MAX(A22-TC_Z,0)</f>
        <v>0</v>
      </c>
      <c r="E22" s="27" t="n">
        <f aca="false">1-0.2*(TC_xmb+(TC_n-1)*TC_xmt)*D22/(TC_n*TC_b)</f>
        <v>1</v>
      </c>
      <c r="F22" s="28" t="n">
        <f aca="false">TC_s*E22*TC_m*TC_n*TC_b*SQRT(2*g_)*D22^1.5</f>
        <v>0</v>
      </c>
      <c r="G22" s="29" t="n">
        <f aca="false">MAX(A22-SC_Z,0)</f>
        <v>1.7</v>
      </c>
      <c r="H22" s="30" t="n">
        <f aca="false">1-0.2*(SC_xmb+(SC_n-1)*SC_xmt)*G22/(SC_n*SC_b)</f>
        <v>0.9524</v>
      </c>
      <c r="I22" s="31" t="n">
        <f aca="false">SC_s*H22*SC_m*SC_n*SC_b*SQRT(2*g_)*G22^1.5</f>
        <v>21.0389852156029</v>
      </c>
      <c r="J22" s="32" t="n">
        <f aca="false">F22+I22</f>
        <v>21.0389852156029</v>
      </c>
      <c r="K22" s="32" t="n">
        <f aca="false">F22</f>
        <v>0</v>
      </c>
      <c r="L22" s="32" t="n">
        <f aca="false">C22*1000000/dt_s+J22/2</f>
        <v>6999.20004816336</v>
      </c>
      <c r="M22" s="32" t="n">
        <f aca="false">C22*1000000/dt_s+K22/2</f>
        <v>6988.68055555556</v>
      </c>
    </row>
    <row r="23" customFormat="false" ht="15" hidden="false" customHeight="false" outlineLevel="0" collapsed="false">
      <c r="A23" s="24" t="n">
        <f aca="false">ROUND(A22+0.1,2)</f>
        <v>72.8</v>
      </c>
      <c r="B23" s="25" t="n">
        <f aca="false">INDEX(Bang_F,MATCH(A23,Bang_Z,1))+(A23-INDEX(Bang_Z,MATCH(A23,Bang_Z,1)))*(INDEX(Bang_F,MATCH(A23,Bang_Z,1)+1)-INDEX(Bang_F,MATCH(A23,Bang_Z,1)))</f>
        <v>5.07</v>
      </c>
      <c r="C23" s="25" t="n">
        <f aca="false">INDEX(Bang_W,MATCH(A23,Bang_Z,1))+(A23-INDEX(Bang_Z,MATCH(A23,Bang_Z,1)))*(INDEX(Bang_F,MATCH(A23,Bang_Z,1))+B23)/2</f>
        <v>25.663</v>
      </c>
      <c r="D23" s="26" t="n">
        <f aca="false">MAX(A23-TC_Z,0)</f>
        <v>0</v>
      </c>
      <c r="E23" s="27" t="n">
        <f aca="false">1-0.2*(TC_xmb+(TC_n-1)*TC_xmt)*D23/(TC_n*TC_b)</f>
        <v>1</v>
      </c>
      <c r="F23" s="28" t="n">
        <f aca="false">TC_s*E23*TC_m*TC_n*TC_b*SQRT(2*g_)*D23^1.5</f>
        <v>0</v>
      </c>
      <c r="G23" s="29" t="n">
        <f aca="false">MAX(A23-SC_Z,0)</f>
        <v>1.8</v>
      </c>
      <c r="H23" s="30" t="n">
        <f aca="false">1-0.2*(SC_xmb+(SC_n-1)*SC_xmt)*G23/(SC_n*SC_b)</f>
        <v>0.9496</v>
      </c>
      <c r="I23" s="31" t="n">
        <f aca="false">SC_s*H23*SC_m*SC_n*SC_b*SQRT(2*g_)*G23^1.5</f>
        <v>22.8550135568524</v>
      </c>
      <c r="J23" s="32" t="n">
        <f aca="false">F23+I23</f>
        <v>22.8550135568524</v>
      </c>
      <c r="K23" s="32" t="n">
        <f aca="false">F23</f>
        <v>0</v>
      </c>
      <c r="L23" s="32" t="n">
        <f aca="false">C23*1000000/dt_s+J23/2</f>
        <v>7140.03861788953</v>
      </c>
      <c r="M23" s="32" t="n">
        <f aca="false">C23*1000000/dt_s+K23/2</f>
        <v>7128.61111111111</v>
      </c>
    </row>
    <row r="24" customFormat="false" ht="15" hidden="false" customHeight="false" outlineLevel="0" collapsed="false">
      <c r="A24" s="24" t="n">
        <f aca="false">ROUND(A23+0.1,2)</f>
        <v>72.9</v>
      </c>
      <c r="B24" s="25" t="n">
        <f aca="false">INDEX(Bang_F,MATCH(A24,Bang_Z,1))+(A24-INDEX(Bang_Z,MATCH(A24,Bang_Z,1)))*(INDEX(Bang_F,MATCH(A24,Bang_Z,1)+1)-INDEX(Bang_F,MATCH(A24,Bang_Z,1)))</f>
        <v>5.135</v>
      </c>
      <c r="C24" s="25" t="n">
        <f aca="false">INDEX(Bang_W,MATCH(A24,Bang_Z,1))+(A24-INDEX(Bang_Z,MATCH(A24,Bang_Z,1)))*(INDEX(Bang_F,MATCH(A24,Bang_Z,1))+B24)/2</f>
        <v>26.17325</v>
      </c>
      <c r="D24" s="26" t="n">
        <f aca="false">MAX(A24-TC_Z,0)</f>
        <v>0</v>
      </c>
      <c r="E24" s="27" t="n">
        <f aca="false">1-0.2*(TC_xmb+(TC_n-1)*TC_xmt)*D24/(TC_n*TC_b)</f>
        <v>1</v>
      </c>
      <c r="F24" s="28" t="n">
        <f aca="false">TC_s*E24*TC_m*TC_n*TC_b*SQRT(2*g_)*D24^1.5</f>
        <v>0</v>
      </c>
      <c r="G24" s="29" t="n">
        <f aca="false">MAX(A24-SC_Z,0)</f>
        <v>1.90000000000001</v>
      </c>
      <c r="H24" s="30" t="n">
        <f aca="false">1-0.2*(SC_xmb+(SC_n-1)*SC_xmt)*G24/(SC_n*SC_b)</f>
        <v>0.9468</v>
      </c>
      <c r="I24" s="31" t="n">
        <f aca="false">SC_s*H24*SC_m*SC_n*SC_b*SQRT(2*g_)*G24^1.5</f>
        <v>24.7127269286266</v>
      </c>
      <c r="J24" s="32" t="n">
        <f aca="false">F24+I24</f>
        <v>24.7127269286266</v>
      </c>
      <c r="K24" s="32" t="n">
        <f aca="false">F24</f>
        <v>0</v>
      </c>
      <c r="L24" s="32" t="n">
        <f aca="false">C24*1000000/dt_s+J24/2</f>
        <v>7282.70358568654</v>
      </c>
      <c r="M24" s="32" t="n">
        <f aca="false">C24*1000000/dt_s+K24/2</f>
        <v>7270.34722222223</v>
      </c>
    </row>
    <row r="25" customFormat="false" ht="15" hidden="false" customHeight="false" outlineLevel="0" collapsed="false">
      <c r="A25" s="24" t="n">
        <f aca="false">ROUND(A24+0.1,2)</f>
        <v>73</v>
      </c>
      <c r="B25" s="25" t="n">
        <f aca="false">INDEX(Bang_F,MATCH(A25,Bang_Z,1))+(A25-INDEX(Bang_Z,MATCH(A25,Bang_Z,1)))*(INDEX(Bang_F,MATCH(A25,Bang_Z,1)+1)-INDEX(Bang_F,MATCH(A25,Bang_Z,1)))</f>
        <v>5.2</v>
      </c>
      <c r="C25" s="25" t="n">
        <f aca="false">INDEX(Bang_W,MATCH(A25,Bang_Z,1))+(A25-INDEX(Bang_Z,MATCH(A25,Bang_Z,1)))*(INDEX(Bang_F,MATCH(A25,Bang_Z,1))+B25)/2</f>
        <v>26.69</v>
      </c>
      <c r="D25" s="26" t="n">
        <f aca="false">MAX(A25-TC_Z,0)</f>
        <v>0</v>
      </c>
      <c r="E25" s="27" t="n">
        <f aca="false">1-0.2*(TC_xmb+(TC_n-1)*TC_xmt)*D25/(TC_n*TC_b)</f>
        <v>1</v>
      </c>
      <c r="F25" s="28" t="n">
        <f aca="false">TC_s*E25*TC_m*TC_n*TC_b*SQRT(2*g_)*D25^1.5</f>
        <v>0</v>
      </c>
      <c r="G25" s="29" t="n">
        <f aca="false">MAX(A25-SC_Z,0)</f>
        <v>2</v>
      </c>
      <c r="H25" s="30" t="n">
        <f aca="false">1-0.2*(SC_xmb+(SC_n-1)*SC_xmt)*G25/(SC_n*SC_b)</f>
        <v>0.944</v>
      </c>
      <c r="I25" s="31" t="n">
        <f aca="false">SC_s*H25*SC_m*SC_n*SC_b*SQRT(2*g_)*G25^1.5</f>
        <v>26.6102532299112</v>
      </c>
      <c r="J25" s="32" t="n">
        <f aca="false">F25+I25</f>
        <v>26.6102532299112</v>
      </c>
      <c r="K25" s="32" t="n">
        <f aca="false">F25</f>
        <v>0</v>
      </c>
      <c r="L25" s="32" t="n">
        <f aca="false">C25*1000000/dt_s+J25/2</f>
        <v>7427.19401550385</v>
      </c>
      <c r="M25" s="32" t="n">
        <f aca="false">C25*1000000/dt_s+K25/2</f>
        <v>7413.88888888889</v>
      </c>
    </row>
    <row r="26" customFormat="false" ht="15" hidden="false" customHeight="false" outlineLevel="0" collapsed="false">
      <c r="A26" s="24" t="n">
        <f aca="false">ROUND(A25+0.1,2)</f>
        <v>73.1</v>
      </c>
      <c r="B26" s="25" t="n">
        <f aca="false">INDEX(Bang_F,MATCH(A26,Bang_Z,1))+(A26-INDEX(Bang_Z,MATCH(A26,Bang_Z,1)))*(INDEX(Bang_F,MATCH(A26,Bang_Z,1)+1)-INDEX(Bang_F,MATCH(A26,Bang_Z,1)))</f>
        <v>5.26</v>
      </c>
      <c r="C26" s="25" t="n">
        <f aca="false">INDEX(Bang_W,MATCH(A26,Bang_Z,1))+(A26-INDEX(Bang_Z,MATCH(A26,Bang_Z,1)))*(INDEX(Bang_F,MATCH(A26,Bang_Z,1))+B26)/2</f>
        <v>27.213</v>
      </c>
      <c r="D26" s="26" t="n">
        <f aca="false">MAX(A26-TC_Z,0)</f>
        <v>0</v>
      </c>
      <c r="E26" s="27" t="n">
        <f aca="false">1-0.2*(TC_xmb+(TC_n-1)*TC_xmt)*D26/(TC_n*TC_b)</f>
        <v>1</v>
      </c>
      <c r="F26" s="28" t="n">
        <f aca="false">TC_s*E26*TC_m*TC_n*TC_b*SQRT(2*g_)*D26^1.5</f>
        <v>0</v>
      </c>
      <c r="G26" s="29" t="n">
        <f aca="false">MAX(A26-SC_Z,0)</f>
        <v>2.09999999999999</v>
      </c>
      <c r="H26" s="30" t="n">
        <f aca="false">1-0.2*(SC_xmb+(SC_n-1)*SC_xmt)*G26/(SC_n*SC_b)</f>
        <v>0.9412</v>
      </c>
      <c r="I26" s="31" t="n">
        <f aca="false">SC_s*H26*SC_m*SC_n*SC_b*SQRT(2*g_)*G26^1.5</f>
        <v>28.5458434839241</v>
      </c>
      <c r="J26" s="32" t="n">
        <f aca="false">F26+I26</f>
        <v>28.5458434839241</v>
      </c>
      <c r="K26" s="32" t="n">
        <f aca="false">F26</f>
        <v>0</v>
      </c>
      <c r="L26" s="32" t="n">
        <f aca="false">C26*1000000/dt_s+J26/2</f>
        <v>7573.43958840862</v>
      </c>
      <c r="M26" s="32" t="n">
        <f aca="false">C26*1000000/dt_s+K26/2</f>
        <v>7559.16666666666</v>
      </c>
    </row>
    <row r="27" customFormat="false" ht="15" hidden="false" customHeight="false" outlineLevel="0" collapsed="false">
      <c r="A27" s="24" t="n">
        <f aca="false">ROUND(A26+0.1,2)</f>
        <v>73.2</v>
      </c>
      <c r="B27" s="25" t="n">
        <f aca="false">INDEX(Bang_F,MATCH(A27,Bang_Z,1))+(A27-INDEX(Bang_Z,MATCH(A27,Bang_Z,1)))*(INDEX(Bang_F,MATCH(A27,Bang_Z,1)+1)-INDEX(Bang_F,MATCH(A27,Bang_Z,1)))</f>
        <v>5.32</v>
      </c>
      <c r="C27" s="25" t="n">
        <f aca="false">INDEX(Bang_W,MATCH(A27,Bang_Z,1))+(A27-INDEX(Bang_Z,MATCH(A27,Bang_Z,1)))*(INDEX(Bang_F,MATCH(A27,Bang_Z,1))+B27)/2</f>
        <v>27.742</v>
      </c>
      <c r="D27" s="26" t="n">
        <f aca="false">MAX(A27-TC_Z,0)</f>
        <v>0</v>
      </c>
      <c r="E27" s="27" t="n">
        <f aca="false">1-0.2*(TC_xmb+(TC_n-1)*TC_xmt)*D27/(TC_n*TC_b)</f>
        <v>1</v>
      </c>
      <c r="F27" s="28" t="n">
        <f aca="false">TC_s*E27*TC_m*TC_n*TC_b*SQRT(2*g_)*D27^1.5</f>
        <v>0</v>
      </c>
      <c r="G27" s="29" t="n">
        <f aca="false">MAX(A27-SC_Z,0)</f>
        <v>2.2</v>
      </c>
      <c r="H27" s="30" t="n">
        <f aca="false">1-0.2*(SC_xmb+(SC_n-1)*SC_xmt)*G27/(SC_n*SC_b)</f>
        <v>0.9384</v>
      </c>
      <c r="I27" s="31" t="n">
        <f aca="false">SC_s*H27*SC_m*SC_n*SC_b*SQRT(2*g_)*G27^1.5</f>
        <v>30.5178574421772</v>
      </c>
      <c r="J27" s="32" t="n">
        <f aca="false">F27+I27</f>
        <v>30.5178574421772</v>
      </c>
      <c r="K27" s="32" t="n">
        <f aca="false">F27</f>
        <v>0</v>
      </c>
      <c r="L27" s="32" t="n">
        <f aca="false">C27*1000000/dt_s+J27/2</f>
        <v>7721.3700398322</v>
      </c>
      <c r="M27" s="32" t="n">
        <f aca="false">C27*1000000/dt_s+K27/2</f>
        <v>7706.11111111112</v>
      </c>
    </row>
    <row r="28" customFormat="false" ht="15" hidden="false" customHeight="false" outlineLevel="0" collapsed="false">
      <c r="A28" s="24" t="n">
        <f aca="false">ROUND(A27+0.1,2)</f>
        <v>73.3</v>
      </c>
      <c r="B28" s="25" t="n">
        <f aca="false">INDEX(Bang_F,MATCH(A28,Bang_Z,1))+(A28-INDEX(Bang_Z,MATCH(A28,Bang_Z,1)))*(INDEX(Bang_F,MATCH(A28,Bang_Z,1)+1)-INDEX(Bang_F,MATCH(A28,Bang_Z,1)))</f>
        <v>5.38</v>
      </c>
      <c r="C28" s="25" t="n">
        <f aca="false">INDEX(Bang_W,MATCH(A28,Bang_Z,1))+(A28-INDEX(Bang_Z,MATCH(A28,Bang_Z,1)))*(INDEX(Bang_F,MATCH(A28,Bang_Z,1))+B28)/2</f>
        <v>28.277</v>
      </c>
      <c r="D28" s="26" t="n">
        <f aca="false">MAX(A28-TC_Z,0)</f>
        <v>0</v>
      </c>
      <c r="E28" s="27" t="n">
        <f aca="false">1-0.2*(TC_xmb+(TC_n-1)*TC_xmt)*D28/(TC_n*TC_b)</f>
        <v>1</v>
      </c>
      <c r="F28" s="28" t="n">
        <f aca="false">TC_s*E28*TC_m*TC_n*TC_b*SQRT(2*g_)*D28^1.5</f>
        <v>0</v>
      </c>
      <c r="G28" s="29" t="n">
        <f aca="false">MAX(A28-SC_Z,0)</f>
        <v>2.3</v>
      </c>
      <c r="H28" s="30" t="n">
        <f aca="false">1-0.2*(SC_xmb+(SC_n-1)*SC_xmt)*G28/(SC_n*SC_b)</f>
        <v>0.9356</v>
      </c>
      <c r="I28" s="31" t="n">
        <f aca="false">SC_s*H28*SC_m*SC_n*SC_b*SQRT(2*g_)*G28^1.5</f>
        <v>32.5247514779745</v>
      </c>
      <c r="J28" s="32" t="n">
        <f aca="false">F28+I28</f>
        <v>32.5247514779745</v>
      </c>
      <c r="K28" s="32" t="n">
        <f aca="false">F28</f>
        <v>0</v>
      </c>
      <c r="L28" s="32" t="n">
        <f aca="false">C28*1000000/dt_s+J28/2</f>
        <v>7870.98459796121</v>
      </c>
      <c r="M28" s="32" t="n">
        <f aca="false">C28*1000000/dt_s+K28/2</f>
        <v>7854.72222222222</v>
      </c>
    </row>
    <row r="29" customFormat="false" ht="15" hidden="false" customHeight="false" outlineLevel="0" collapsed="false">
      <c r="A29" s="24" t="n">
        <f aca="false">ROUND(A28+0.1,2)</f>
        <v>73.4</v>
      </c>
      <c r="B29" s="25" t="n">
        <f aca="false">INDEX(Bang_F,MATCH(A29,Bang_Z,1))+(A29-INDEX(Bang_Z,MATCH(A29,Bang_Z,1)))*(INDEX(Bang_F,MATCH(A29,Bang_Z,1)+1)-INDEX(Bang_F,MATCH(A29,Bang_Z,1)))</f>
        <v>5.44</v>
      </c>
      <c r="C29" s="25" t="n">
        <f aca="false">INDEX(Bang_W,MATCH(A29,Bang_Z,1))+(A29-INDEX(Bang_Z,MATCH(A29,Bang_Z,1)))*(INDEX(Bang_F,MATCH(A29,Bang_Z,1))+B29)/2</f>
        <v>28.818</v>
      </c>
      <c r="D29" s="26" t="n">
        <f aca="false">MAX(A29-TC_Z,0)</f>
        <v>0</v>
      </c>
      <c r="E29" s="27" t="n">
        <f aca="false">1-0.2*(TC_xmb+(TC_n-1)*TC_xmt)*D29/(TC_n*TC_b)</f>
        <v>1</v>
      </c>
      <c r="F29" s="28" t="n">
        <f aca="false">TC_s*E29*TC_m*TC_n*TC_b*SQRT(2*g_)*D29^1.5</f>
        <v>0</v>
      </c>
      <c r="G29" s="29" t="n">
        <f aca="false">MAX(A29-SC_Z,0)</f>
        <v>2.40000000000001</v>
      </c>
      <c r="H29" s="30" t="n">
        <f aca="false">1-0.2*(SC_xmb+(SC_n-1)*SC_xmt)*G29/(SC_n*SC_b)</f>
        <v>0.9328</v>
      </c>
      <c r="I29" s="31" t="n">
        <f aca="false">SC_s*H29*SC_m*SC_n*SC_b*SQRT(2*g_)*G29^1.5</f>
        <v>34.5650683189187</v>
      </c>
      <c r="J29" s="32" t="n">
        <f aca="false">F29+I29</f>
        <v>34.5650683189187</v>
      </c>
      <c r="K29" s="32" t="n">
        <f aca="false">F29</f>
        <v>0</v>
      </c>
      <c r="L29" s="32" t="n">
        <f aca="false">C29*1000000/dt_s+J29/2</f>
        <v>8022.28253415947</v>
      </c>
      <c r="M29" s="32" t="n">
        <f aca="false">C29*1000000/dt_s+K29/2</f>
        <v>8005.00000000001</v>
      </c>
    </row>
    <row r="30" customFormat="false" ht="15" hidden="false" customHeight="false" outlineLevel="0" collapsed="false">
      <c r="A30" s="24" t="n">
        <f aca="false">ROUND(A29+0.1,2)</f>
        <v>73.5</v>
      </c>
      <c r="B30" s="25" t="n">
        <f aca="false">INDEX(Bang_F,MATCH(A30,Bang_Z,1))+(A30-INDEX(Bang_Z,MATCH(A30,Bang_Z,1)))*(INDEX(Bang_F,MATCH(A30,Bang_Z,1)+1)-INDEX(Bang_F,MATCH(A30,Bang_Z,1)))</f>
        <v>5.5</v>
      </c>
      <c r="C30" s="25" t="n">
        <f aca="false">INDEX(Bang_W,MATCH(A30,Bang_Z,1))+(A30-INDEX(Bang_Z,MATCH(A30,Bang_Z,1)))*(INDEX(Bang_F,MATCH(A30,Bang_Z,1))+B30)/2</f>
        <v>29.365</v>
      </c>
      <c r="D30" s="26" t="n">
        <f aca="false">MAX(A30-TC_Z,0)</f>
        <v>0</v>
      </c>
      <c r="E30" s="27" t="n">
        <f aca="false">1-0.2*(TC_xmb+(TC_n-1)*TC_xmt)*D30/(TC_n*TC_b)</f>
        <v>1</v>
      </c>
      <c r="F30" s="28" t="n">
        <f aca="false">TC_s*E30*TC_m*TC_n*TC_b*SQRT(2*g_)*D30^1.5</f>
        <v>0</v>
      </c>
      <c r="G30" s="29" t="n">
        <f aca="false">MAX(A30-SC_Z,0)</f>
        <v>2.5</v>
      </c>
      <c r="H30" s="30" t="n">
        <f aca="false">1-0.2*(SC_xmb+(SC_n-1)*SC_xmt)*G30/(SC_n*SC_b)</f>
        <v>0.93</v>
      </c>
      <c r="I30" s="31" t="n">
        <f aca="false">SC_s*H30*SC_m*SC_n*SC_b*SQRT(2*g_)*G30^1.5</f>
        <v>36.6374282720639</v>
      </c>
      <c r="J30" s="32" t="n">
        <f aca="false">F30+I30</f>
        <v>36.6374282720639</v>
      </c>
      <c r="K30" s="32" t="n">
        <f aca="false">F30</f>
        <v>0</v>
      </c>
      <c r="L30" s="32" t="n">
        <f aca="false">C30*1000000/dt_s+J30/2</f>
        <v>8175.26315858048</v>
      </c>
      <c r="M30" s="32" t="n">
        <f aca="false">C30*1000000/dt_s+K30/2</f>
        <v>8156.94444444445</v>
      </c>
    </row>
    <row r="31" customFormat="false" ht="15" hidden="false" customHeight="false" outlineLevel="0" collapsed="false">
      <c r="A31" s="24" t="n">
        <f aca="false">ROUND(A30+0.1,2)</f>
        <v>73.6</v>
      </c>
      <c r="B31" s="25" t="n">
        <f aca="false">INDEX(Bang_F,MATCH(A31,Bang_Z,1))+(A31-INDEX(Bang_Z,MATCH(A31,Bang_Z,1)))*(INDEX(Bang_F,MATCH(A31,Bang_Z,1)+1)-INDEX(Bang_F,MATCH(A31,Bang_Z,1)))</f>
        <v>5.56</v>
      </c>
      <c r="C31" s="25" t="n">
        <f aca="false">INDEX(Bang_W,MATCH(A31,Bang_Z,1))+(A31-INDEX(Bang_Z,MATCH(A31,Bang_Z,1)))*(INDEX(Bang_F,MATCH(A31,Bang_Z,1))+B31)/2</f>
        <v>29.918</v>
      </c>
      <c r="D31" s="26" t="n">
        <f aca="false">MAX(A31-TC_Z,0)</f>
        <v>0</v>
      </c>
      <c r="E31" s="27" t="n">
        <f aca="false">1-0.2*(TC_xmb+(TC_n-1)*TC_xmt)*D31/(TC_n*TC_b)</f>
        <v>1</v>
      </c>
      <c r="F31" s="28" t="n">
        <f aca="false">TC_s*E31*TC_m*TC_n*TC_b*SQRT(2*g_)*D31^1.5</f>
        <v>0</v>
      </c>
      <c r="G31" s="29" t="n">
        <f aca="false">MAX(A31-SC_Z,0)</f>
        <v>2.59999999999999</v>
      </c>
      <c r="H31" s="30" t="n">
        <f aca="false">1-0.2*(SC_xmb+(SC_n-1)*SC_xmt)*G31/(SC_n*SC_b)</f>
        <v>0.9272</v>
      </c>
      <c r="I31" s="31" t="n">
        <f aca="false">SC_s*H31*SC_m*SC_n*SC_b*SQRT(2*g_)*G31^1.5</f>
        <v>38.7405216721159</v>
      </c>
      <c r="J31" s="32" t="n">
        <f aca="false">F31+I31</f>
        <v>38.7405216721159</v>
      </c>
      <c r="K31" s="32" t="n">
        <f aca="false">F31</f>
        <v>0</v>
      </c>
      <c r="L31" s="32" t="n">
        <f aca="false">C31*1000000/dt_s+J31/2</f>
        <v>8329.92581639161</v>
      </c>
      <c r="M31" s="32" t="n">
        <f aca="false">C31*1000000/dt_s+K31/2</f>
        <v>8310.55555555555</v>
      </c>
    </row>
    <row r="32" customFormat="false" ht="15" hidden="false" customHeight="false" outlineLevel="0" collapsed="false">
      <c r="A32" s="24" t="n">
        <f aca="false">ROUND(A31+0.1,2)</f>
        <v>73.7</v>
      </c>
      <c r="B32" s="25" t="n">
        <f aca="false">INDEX(Bang_F,MATCH(A32,Bang_Z,1))+(A32-INDEX(Bang_Z,MATCH(A32,Bang_Z,1)))*(INDEX(Bang_F,MATCH(A32,Bang_Z,1)+1)-INDEX(Bang_F,MATCH(A32,Bang_Z,1)))</f>
        <v>5.62</v>
      </c>
      <c r="C32" s="25" t="n">
        <f aca="false">INDEX(Bang_W,MATCH(A32,Bang_Z,1))+(A32-INDEX(Bang_Z,MATCH(A32,Bang_Z,1)))*(INDEX(Bang_F,MATCH(A32,Bang_Z,1))+B32)/2</f>
        <v>30.477</v>
      </c>
      <c r="D32" s="26" t="n">
        <f aca="false">MAX(A32-TC_Z,0)</f>
        <v>0</v>
      </c>
      <c r="E32" s="27" t="n">
        <f aca="false">1-0.2*(TC_xmb+(TC_n-1)*TC_xmt)*D32/(TC_n*TC_b)</f>
        <v>1</v>
      </c>
      <c r="F32" s="28" t="n">
        <f aca="false">TC_s*E32*TC_m*TC_n*TC_b*SQRT(2*g_)*D32^1.5</f>
        <v>0</v>
      </c>
      <c r="G32" s="29" t="n">
        <f aca="false">MAX(A32-SC_Z,0)</f>
        <v>2.7</v>
      </c>
      <c r="H32" s="30" t="n">
        <f aca="false">1-0.2*(SC_xmb+(SC_n-1)*SC_xmt)*G32/(SC_n*SC_b)</f>
        <v>0.9244</v>
      </c>
      <c r="I32" s="31" t="n">
        <f aca="false">SC_s*H32*SC_m*SC_n*SC_b*SQRT(2*g_)*G32^1.5</f>
        <v>40.873102340469</v>
      </c>
      <c r="J32" s="32" t="n">
        <f aca="false">F32+I32</f>
        <v>40.873102340469</v>
      </c>
      <c r="K32" s="32" t="n">
        <f aca="false">F32</f>
        <v>0</v>
      </c>
      <c r="L32" s="32" t="n">
        <f aca="false">C32*1000000/dt_s+J32/2</f>
        <v>8486.26988450357</v>
      </c>
      <c r="M32" s="32" t="n">
        <f aca="false">C32*1000000/dt_s+K32/2</f>
        <v>8465.83333333334</v>
      </c>
    </row>
    <row r="33" customFormat="false" ht="15" hidden="false" customHeight="false" outlineLevel="0" collapsed="false">
      <c r="A33" s="24" t="n">
        <f aca="false">ROUND(A32+0.1,2)</f>
        <v>73.8</v>
      </c>
      <c r="B33" s="25" t="n">
        <f aca="false">INDEX(Bang_F,MATCH(A33,Bang_Z,1))+(A33-INDEX(Bang_Z,MATCH(A33,Bang_Z,1)))*(INDEX(Bang_F,MATCH(A33,Bang_Z,1)+1)-INDEX(Bang_F,MATCH(A33,Bang_Z,1)))</f>
        <v>5.68</v>
      </c>
      <c r="C33" s="25" t="n">
        <f aca="false">INDEX(Bang_W,MATCH(A33,Bang_Z,1))+(A33-INDEX(Bang_Z,MATCH(A33,Bang_Z,1)))*(INDEX(Bang_F,MATCH(A33,Bang_Z,1))+B33)/2</f>
        <v>31.042</v>
      </c>
      <c r="D33" s="26" t="n">
        <f aca="false">MAX(A33-TC_Z,0)</f>
        <v>0</v>
      </c>
      <c r="E33" s="27" t="n">
        <f aca="false">1-0.2*(TC_xmb+(TC_n-1)*TC_xmt)*D33/(TC_n*TC_b)</f>
        <v>1</v>
      </c>
      <c r="F33" s="28" t="n">
        <f aca="false">TC_s*E33*TC_m*TC_n*TC_b*SQRT(2*g_)*D33^1.5</f>
        <v>0</v>
      </c>
      <c r="G33" s="29" t="n">
        <f aca="false">MAX(A33-SC_Z,0)</f>
        <v>2.8</v>
      </c>
      <c r="H33" s="30" t="n">
        <f aca="false">1-0.2*(SC_xmb+(SC_n-1)*SC_xmt)*G33/(SC_n*SC_b)</f>
        <v>0.9216</v>
      </c>
      <c r="I33" s="31" t="n">
        <f aca="false">SC_s*H33*SC_m*SC_n*SC_b*SQRT(2*g_)*G33^1.5</f>
        <v>43.0339818863436</v>
      </c>
      <c r="J33" s="32" t="n">
        <f aca="false">F33+I33</f>
        <v>43.0339818863436</v>
      </c>
      <c r="K33" s="32" t="n">
        <f aca="false">F33</f>
        <v>0</v>
      </c>
      <c r="L33" s="32" t="n">
        <f aca="false">C33*1000000/dt_s+J33/2</f>
        <v>8644.29476872095</v>
      </c>
      <c r="M33" s="32" t="n">
        <f aca="false">C33*1000000/dt_s+K33/2</f>
        <v>8622.77777777778</v>
      </c>
    </row>
    <row r="34" customFormat="false" ht="15" hidden="false" customHeight="false" outlineLevel="0" collapsed="false">
      <c r="A34" s="24" t="n">
        <f aca="false">ROUND(A33+0.1,2)</f>
        <v>73.9</v>
      </c>
      <c r="B34" s="25" t="n">
        <f aca="false">INDEX(Bang_F,MATCH(A34,Bang_Z,1))+(A34-INDEX(Bang_Z,MATCH(A34,Bang_Z,1)))*(INDEX(Bang_F,MATCH(A34,Bang_Z,1)+1)-INDEX(Bang_F,MATCH(A34,Bang_Z,1)))</f>
        <v>5.74</v>
      </c>
      <c r="C34" s="25" t="n">
        <f aca="false">INDEX(Bang_W,MATCH(A34,Bang_Z,1))+(A34-INDEX(Bang_Z,MATCH(A34,Bang_Z,1)))*(INDEX(Bang_F,MATCH(A34,Bang_Z,1))+B34)/2</f>
        <v>31.613</v>
      </c>
      <c r="D34" s="26" t="n">
        <f aca="false">MAX(A34-TC_Z,0)</f>
        <v>0</v>
      </c>
      <c r="E34" s="27" t="n">
        <f aca="false">1-0.2*(TC_xmb+(TC_n-1)*TC_xmt)*D34/(TC_n*TC_b)</f>
        <v>1</v>
      </c>
      <c r="F34" s="28" t="n">
        <f aca="false">TC_s*E34*TC_m*TC_n*TC_b*SQRT(2*g_)*D34^1.5</f>
        <v>0</v>
      </c>
      <c r="G34" s="29" t="n">
        <f aca="false">MAX(A34-SC_Z,0)</f>
        <v>2.90000000000001</v>
      </c>
      <c r="H34" s="30" t="n">
        <f aca="false">1-0.2*(SC_xmb+(SC_n-1)*SC_xmt)*G34/(SC_n*SC_b)</f>
        <v>0.9188</v>
      </c>
      <c r="I34" s="31" t="n">
        <f aca="false">SC_s*H34*SC_m*SC_n*SC_b*SQRT(2*g_)*G34^1.5</f>
        <v>45.2220247145986</v>
      </c>
      <c r="J34" s="32" t="n">
        <f aca="false">F34+I34</f>
        <v>45.2220247145986</v>
      </c>
      <c r="K34" s="32" t="n">
        <f aca="false">F34</f>
        <v>0</v>
      </c>
      <c r="L34" s="32" t="n">
        <f aca="false">C34*1000000/dt_s+J34/2</f>
        <v>8803.9999012462</v>
      </c>
      <c r="M34" s="32" t="n">
        <f aca="false">C34*1000000/dt_s+K34/2</f>
        <v>8781.3888888889</v>
      </c>
    </row>
    <row r="35" customFormat="false" ht="15" hidden="false" customHeight="false" outlineLevel="0" collapsed="false">
      <c r="A35" s="24" t="n">
        <f aca="false">ROUND(A34+0.1,2)</f>
        <v>74</v>
      </c>
      <c r="B35" s="25" t="n">
        <f aca="false">INDEX(Bang_F,MATCH(A35,Bang_Z,1))+(A35-INDEX(Bang_Z,MATCH(A35,Bang_Z,1)))*(INDEX(Bang_F,MATCH(A35,Bang_Z,1)+1)-INDEX(Bang_F,MATCH(A35,Bang_Z,1)))</f>
        <v>5.8</v>
      </c>
      <c r="C35" s="25" t="n">
        <f aca="false">INDEX(Bang_W,MATCH(A35,Bang_Z,1))+(A35-INDEX(Bang_Z,MATCH(A35,Bang_Z,1)))*(INDEX(Bang_F,MATCH(A35,Bang_Z,1))+B35)/2</f>
        <v>32.19</v>
      </c>
      <c r="D35" s="26" t="n">
        <f aca="false">MAX(A35-TC_Z,0)</f>
        <v>0</v>
      </c>
      <c r="E35" s="27" t="n">
        <f aca="false">1-0.2*(TC_xmb+(TC_n-1)*TC_xmt)*D35/(TC_n*TC_b)</f>
        <v>1</v>
      </c>
      <c r="F35" s="28" t="n">
        <f aca="false">TC_s*E35*TC_m*TC_n*TC_b*SQRT(2*g_)*D35^1.5</f>
        <v>0</v>
      </c>
      <c r="G35" s="29" t="n">
        <f aca="false">MAX(A35-SC_Z,0)</f>
        <v>3</v>
      </c>
      <c r="H35" s="30" t="n">
        <f aca="false">1-0.2*(SC_xmb+(SC_n-1)*SC_xmt)*G35/(SC_n*SC_b)</f>
        <v>0.916</v>
      </c>
      <c r="I35" s="31" t="n">
        <f aca="false">SC_s*H35*SC_m*SC_n*SC_b*SQRT(2*g_)*G35^1.5</f>
        <v>47.4361436305693</v>
      </c>
      <c r="J35" s="32" t="n">
        <f aca="false">F35+I35</f>
        <v>47.4361436305693</v>
      </c>
      <c r="K35" s="32" t="n">
        <f aca="false">F35</f>
        <v>0</v>
      </c>
      <c r="L35" s="32" t="n">
        <f aca="false">C35*1000000/dt_s+J35/2</f>
        <v>8965.38473848195</v>
      </c>
      <c r="M35" s="32" t="n">
        <f aca="false">C35*1000000/dt_s+K35/2</f>
        <v>8941.66666666667</v>
      </c>
    </row>
    <row r="36" customFormat="false" ht="15" hidden="false" customHeight="false" outlineLevel="0" collapsed="false">
      <c r="A36" s="24" t="n">
        <f aca="false">ROUND(A35+0.1,2)</f>
        <v>74.1</v>
      </c>
      <c r="B36" s="25" t="n">
        <f aca="false">INDEX(Bang_F,MATCH(A36,Bang_Z,1))+(A36-INDEX(Bang_Z,MATCH(A36,Bang_Z,1)))*(INDEX(Bang_F,MATCH(A36,Bang_Z,1)+1)-INDEX(Bang_F,MATCH(A36,Bang_Z,1)))</f>
        <v>5.866</v>
      </c>
      <c r="C36" s="25" t="n">
        <f aca="false">INDEX(Bang_W,MATCH(A36,Bang_Z,1))+(A36-INDEX(Bang_Z,MATCH(A36,Bang_Z,1)))*(INDEX(Bang_F,MATCH(A36,Bang_Z,1))+B36)/2</f>
        <v>32.7733</v>
      </c>
      <c r="D36" s="26" t="n">
        <f aca="false">MAX(A36-TC_Z,0)</f>
        <v>0</v>
      </c>
      <c r="E36" s="27" t="n">
        <f aca="false">1-0.2*(TC_xmb+(TC_n-1)*TC_xmt)*D36/(TC_n*TC_b)</f>
        <v>1</v>
      </c>
      <c r="F36" s="28" t="n">
        <f aca="false">TC_s*E36*TC_m*TC_n*TC_b*SQRT(2*g_)*D36^1.5</f>
        <v>0</v>
      </c>
      <c r="G36" s="29" t="n">
        <f aca="false">MAX(A36-SC_Z,0)</f>
        <v>3.09999999999999</v>
      </c>
      <c r="H36" s="30" t="n">
        <f aca="false">1-0.2*(SC_xmb+(SC_n-1)*SC_xmt)*G36/(SC_n*SC_b)</f>
        <v>0.9132</v>
      </c>
      <c r="I36" s="31" t="n">
        <f aca="false">SC_s*H36*SC_m*SC_n*SC_b*SQRT(2*g_)*G36^1.5</f>
        <v>49.6752959524709</v>
      </c>
      <c r="J36" s="32" t="n">
        <f aca="false">F36+I36</f>
        <v>49.6752959524709</v>
      </c>
      <c r="K36" s="32" t="n">
        <f aca="false">F36</f>
        <v>0</v>
      </c>
      <c r="L36" s="32" t="n">
        <f aca="false">C36*1000000/dt_s+J36/2</f>
        <v>9128.53209242067</v>
      </c>
      <c r="M36" s="32" t="n">
        <f aca="false">C36*1000000/dt_s+K36/2</f>
        <v>9103.69444444443</v>
      </c>
    </row>
    <row r="37" customFormat="false" ht="15" hidden="false" customHeight="false" outlineLevel="0" collapsed="false">
      <c r="A37" s="24" t="n">
        <f aca="false">ROUND(A36+0.1,2)</f>
        <v>74.2</v>
      </c>
      <c r="B37" s="25" t="n">
        <f aca="false">INDEX(Bang_F,MATCH(A37,Bang_Z,1))+(A37-INDEX(Bang_Z,MATCH(A37,Bang_Z,1)))*(INDEX(Bang_F,MATCH(A37,Bang_Z,1)+1)-INDEX(Bang_F,MATCH(A37,Bang_Z,1)))</f>
        <v>5.932</v>
      </c>
      <c r="C37" s="25" t="n">
        <f aca="false">INDEX(Bang_W,MATCH(A37,Bang_Z,1))+(A37-INDEX(Bang_Z,MATCH(A37,Bang_Z,1)))*(INDEX(Bang_F,MATCH(A37,Bang_Z,1))+B37)/2</f>
        <v>33.3632</v>
      </c>
      <c r="D37" s="26" t="n">
        <f aca="false">MAX(A37-TC_Z,0)</f>
        <v>0</v>
      </c>
      <c r="E37" s="27" t="n">
        <f aca="false">1-0.2*(TC_xmb+(TC_n-1)*TC_xmt)*D37/(TC_n*TC_b)</f>
        <v>1</v>
      </c>
      <c r="F37" s="28" t="n">
        <f aca="false">TC_s*E37*TC_m*TC_n*TC_b*SQRT(2*g_)*D37^1.5</f>
        <v>0</v>
      </c>
      <c r="G37" s="29" t="n">
        <f aca="false">MAX(A37-SC_Z,0)</f>
        <v>3.2</v>
      </c>
      <c r="H37" s="30" t="n">
        <f aca="false">1-0.2*(SC_xmb+(SC_n-1)*SC_xmt)*G37/(SC_n*SC_b)</f>
        <v>0.9104</v>
      </c>
      <c r="I37" s="31" t="n">
        <f aca="false">SC_s*H37*SC_m*SC_n*SC_b*SQRT(2*g_)*G37^1.5</f>
        <v>51.9384800578078</v>
      </c>
      <c r="J37" s="32" t="n">
        <f aca="false">F37+I37</f>
        <v>51.9384800578078</v>
      </c>
      <c r="K37" s="32" t="n">
        <f aca="false">F37</f>
        <v>0</v>
      </c>
      <c r="L37" s="32" t="n">
        <f aca="false">C37*1000000/dt_s+J37/2</f>
        <v>9293.52479558446</v>
      </c>
      <c r="M37" s="32" t="n">
        <f aca="false">C37*1000000/dt_s+K37/2</f>
        <v>9267.55555555556</v>
      </c>
    </row>
    <row r="38" customFormat="false" ht="15" hidden="false" customHeight="false" outlineLevel="0" collapsed="false">
      <c r="A38" s="24" t="n">
        <f aca="false">ROUND(A37+0.1,2)</f>
        <v>74.3</v>
      </c>
      <c r="B38" s="25" t="n">
        <f aca="false">INDEX(Bang_F,MATCH(A38,Bang_Z,1))+(A38-INDEX(Bang_Z,MATCH(A38,Bang_Z,1)))*(INDEX(Bang_F,MATCH(A38,Bang_Z,1)+1)-INDEX(Bang_F,MATCH(A38,Bang_Z,1)))</f>
        <v>5.998</v>
      </c>
      <c r="C38" s="25" t="n">
        <f aca="false">INDEX(Bang_W,MATCH(A38,Bang_Z,1))+(A38-INDEX(Bang_Z,MATCH(A38,Bang_Z,1)))*(INDEX(Bang_F,MATCH(A38,Bang_Z,1))+B38)/2</f>
        <v>33.9597</v>
      </c>
      <c r="D38" s="26" t="n">
        <f aca="false">MAX(A38-TC_Z,0)</f>
        <v>0</v>
      </c>
      <c r="E38" s="27" t="n">
        <f aca="false">1-0.2*(TC_xmb+(TC_n-1)*TC_xmt)*D38/(TC_n*TC_b)</f>
        <v>1</v>
      </c>
      <c r="F38" s="28" t="n">
        <f aca="false">TC_s*E38*TC_m*TC_n*TC_b*SQRT(2*g_)*D38^1.5</f>
        <v>0</v>
      </c>
      <c r="G38" s="29" t="n">
        <f aca="false">MAX(A38-SC_Z,0)</f>
        <v>3.3</v>
      </c>
      <c r="H38" s="30" t="n">
        <f aca="false">1-0.2*(SC_xmb+(SC_n-1)*SC_xmt)*G38/(SC_n*SC_b)</f>
        <v>0.9076</v>
      </c>
      <c r="I38" s="31" t="n">
        <f aca="false">SC_s*H38*SC_m*SC_n*SC_b*SQRT(2*g_)*G38^1.5</f>
        <v>54.2247323029085</v>
      </c>
      <c r="J38" s="32" t="n">
        <f aca="false">F38+I38</f>
        <v>54.2247323029085</v>
      </c>
      <c r="K38" s="32" t="n">
        <f aca="false">F38</f>
        <v>0</v>
      </c>
      <c r="L38" s="32" t="n">
        <f aca="false">C38*1000000/dt_s+J38/2</f>
        <v>9460.36236615145</v>
      </c>
      <c r="M38" s="32" t="n">
        <f aca="false">C38*1000000/dt_s+K38/2</f>
        <v>9433.25</v>
      </c>
    </row>
    <row r="39" customFormat="false" ht="15" hidden="false" customHeight="false" outlineLevel="0" collapsed="false">
      <c r="A39" s="24" t="n">
        <f aca="false">ROUND(A38+0.1,2)</f>
        <v>74.4</v>
      </c>
      <c r="B39" s="25" t="n">
        <f aca="false">INDEX(Bang_F,MATCH(A39,Bang_Z,1))+(A39-INDEX(Bang_Z,MATCH(A39,Bang_Z,1)))*(INDEX(Bang_F,MATCH(A39,Bang_Z,1)+1)-INDEX(Bang_F,MATCH(A39,Bang_Z,1)))</f>
        <v>6.064</v>
      </c>
      <c r="C39" s="25" t="n">
        <f aca="false">INDEX(Bang_W,MATCH(A39,Bang_Z,1))+(A39-INDEX(Bang_Z,MATCH(A39,Bang_Z,1)))*(INDEX(Bang_F,MATCH(A39,Bang_Z,1))+B39)/2</f>
        <v>34.5628</v>
      </c>
      <c r="D39" s="26" t="n">
        <f aca="false">MAX(A39-TC_Z,0)</f>
        <v>0</v>
      </c>
      <c r="E39" s="27" t="n">
        <f aca="false">1-0.2*(TC_xmb+(TC_n-1)*TC_xmt)*D39/(TC_n*TC_b)</f>
        <v>1</v>
      </c>
      <c r="F39" s="28" t="n">
        <f aca="false">TC_s*E39*TC_m*TC_n*TC_b*SQRT(2*g_)*D39^1.5</f>
        <v>0</v>
      </c>
      <c r="G39" s="29" t="n">
        <f aca="false">MAX(A39-SC_Z,0)</f>
        <v>3.40000000000001</v>
      </c>
      <c r="H39" s="30" t="n">
        <f aca="false">1-0.2*(SC_xmb+(SC_n-1)*SC_xmt)*G39/(SC_n*SC_b)</f>
        <v>0.9048</v>
      </c>
      <c r="I39" s="31" t="n">
        <f aca="false">SC_s*H39*SC_m*SC_n*SC_b*SQRT(2*g_)*G39^1.5</f>
        <v>56.5331242648711</v>
      </c>
      <c r="J39" s="32" t="n">
        <f aca="false">F39+I39</f>
        <v>56.5331242648711</v>
      </c>
      <c r="K39" s="32" t="n">
        <f aca="false">F39</f>
        <v>0</v>
      </c>
      <c r="L39" s="32" t="n">
        <f aca="false">C39*1000000/dt_s+J39/2</f>
        <v>9629.04433991022</v>
      </c>
      <c r="M39" s="32" t="n">
        <f aca="false">C39*1000000/dt_s+K39/2</f>
        <v>9600.77777777779</v>
      </c>
    </row>
    <row r="40" customFormat="false" ht="15" hidden="false" customHeight="false" outlineLevel="0" collapsed="false">
      <c r="A40" s="24" t="n">
        <f aca="false">ROUND(A39+0.1,2)</f>
        <v>74.5</v>
      </c>
      <c r="B40" s="25" t="n">
        <f aca="false">INDEX(Bang_F,MATCH(A40,Bang_Z,1))+(A40-INDEX(Bang_Z,MATCH(A40,Bang_Z,1)))*(INDEX(Bang_F,MATCH(A40,Bang_Z,1)+1)-INDEX(Bang_F,MATCH(A40,Bang_Z,1)))</f>
        <v>6.13</v>
      </c>
      <c r="C40" s="25" t="n">
        <f aca="false">INDEX(Bang_W,MATCH(A40,Bang_Z,1))+(A40-INDEX(Bang_Z,MATCH(A40,Bang_Z,1)))*(INDEX(Bang_F,MATCH(A40,Bang_Z,1))+B40)/2</f>
        <v>35.1725</v>
      </c>
      <c r="D40" s="26" t="n">
        <f aca="false">MAX(A40-TC_Z,0)</f>
        <v>0</v>
      </c>
      <c r="E40" s="27" t="n">
        <f aca="false">1-0.2*(TC_xmb+(TC_n-1)*TC_xmt)*D40/(TC_n*TC_b)</f>
        <v>1</v>
      </c>
      <c r="F40" s="28" t="n">
        <f aca="false">TC_s*E40*TC_m*TC_n*TC_b*SQRT(2*g_)*D40^1.5</f>
        <v>0</v>
      </c>
      <c r="G40" s="29" t="n">
        <f aca="false">MAX(A40-SC_Z,0)</f>
        <v>3.5</v>
      </c>
      <c r="H40" s="30" t="n">
        <f aca="false">1-0.2*(SC_xmb+(SC_n-1)*SC_xmt)*G40/(SC_n*SC_b)</f>
        <v>0.902</v>
      </c>
      <c r="I40" s="31" t="n">
        <f aca="false">SC_s*H40*SC_m*SC_n*SC_b*SQRT(2*g_)*G40^1.5</f>
        <v>58.8627602634032</v>
      </c>
      <c r="J40" s="32" t="n">
        <f aca="false">F40+I40</f>
        <v>58.8627602634032</v>
      </c>
      <c r="K40" s="32" t="n">
        <f aca="false">F40</f>
        <v>0</v>
      </c>
      <c r="L40" s="32" t="n">
        <f aca="false">C40*1000000/dt_s+J40/2</f>
        <v>9799.57026902059</v>
      </c>
      <c r="M40" s="32" t="n">
        <f aca="false">C40*1000000/dt_s+K40/2</f>
        <v>9770.13888888889</v>
      </c>
    </row>
    <row r="41" customFormat="false" ht="15" hidden="false" customHeight="false" outlineLevel="0" collapsed="false">
      <c r="A41" s="24" t="n">
        <f aca="false">ROUND(A40+0.1,2)</f>
        <v>74.6</v>
      </c>
      <c r="B41" s="25" t="n">
        <f aca="false">INDEX(Bang_F,MATCH(A41,Bang_Z,1))+(A41-INDEX(Bang_Z,MATCH(A41,Bang_Z,1)))*(INDEX(Bang_F,MATCH(A41,Bang_Z,1)+1)-INDEX(Bang_F,MATCH(A41,Bang_Z,1)))</f>
        <v>6.196</v>
      </c>
      <c r="C41" s="25" t="n">
        <f aca="false">INDEX(Bang_W,MATCH(A41,Bang_Z,1))+(A41-INDEX(Bang_Z,MATCH(A41,Bang_Z,1)))*(INDEX(Bang_F,MATCH(A41,Bang_Z,1))+B41)/2</f>
        <v>35.7888</v>
      </c>
      <c r="D41" s="26" t="n">
        <f aca="false">MAX(A41-TC_Z,0)</f>
        <v>0</v>
      </c>
      <c r="E41" s="27" t="n">
        <f aca="false">1-0.2*(TC_xmb+(TC_n-1)*TC_xmt)*D41/(TC_n*TC_b)</f>
        <v>1</v>
      </c>
      <c r="F41" s="28" t="n">
        <f aca="false">TC_s*E41*TC_m*TC_n*TC_b*SQRT(2*g_)*D41^1.5</f>
        <v>0</v>
      </c>
      <c r="G41" s="29" t="n">
        <f aca="false">MAX(A41-SC_Z,0)</f>
        <v>3.59999999999999</v>
      </c>
      <c r="H41" s="30" t="n">
        <f aca="false">1-0.2*(SC_xmb+(SC_n-1)*SC_xmt)*G41/(SC_n*SC_b)</f>
        <v>0.8992</v>
      </c>
      <c r="I41" s="31" t="n">
        <f aca="false">SC_s*H41*SC_m*SC_n*SC_b*SQRT(2*g_)*G41^1.5</f>
        <v>61.2127751267423</v>
      </c>
      <c r="J41" s="32" t="n">
        <f aca="false">F41+I41</f>
        <v>61.2127751267423</v>
      </c>
      <c r="K41" s="32" t="n">
        <f aca="false">F41</f>
        <v>0</v>
      </c>
      <c r="L41" s="32" t="n">
        <f aca="false">C41*1000000/dt_s+J41/2</f>
        <v>9971.9397208967</v>
      </c>
      <c r="M41" s="32" t="n">
        <f aca="false">C41*1000000/dt_s+K41/2</f>
        <v>9941.33333333332</v>
      </c>
    </row>
    <row r="42" customFormat="false" ht="15" hidden="false" customHeight="false" outlineLevel="0" collapsed="false">
      <c r="A42" s="24" t="n">
        <f aca="false">ROUND(A41+0.1,2)</f>
        <v>74.7</v>
      </c>
      <c r="B42" s="25" t="n">
        <f aca="false">INDEX(Bang_F,MATCH(A42,Bang_Z,1))+(A42-INDEX(Bang_Z,MATCH(A42,Bang_Z,1)))*(INDEX(Bang_F,MATCH(A42,Bang_Z,1)+1)-INDEX(Bang_F,MATCH(A42,Bang_Z,1)))</f>
        <v>6.262</v>
      </c>
      <c r="C42" s="25" t="n">
        <f aca="false">INDEX(Bang_W,MATCH(A42,Bang_Z,1))+(A42-INDEX(Bang_Z,MATCH(A42,Bang_Z,1)))*(INDEX(Bang_F,MATCH(A42,Bang_Z,1))+B42)/2</f>
        <v>36.4117</v>
      </c>
      <c r="D42" s="26" t="n">
        <f aca="false">MAX(A42-TC_Z,0)</f>
        <v>0</v>
      </c>
      <c r="E42" s="27" t="n">
        <f aca="false">1-0.2*(TC_xmb+(TC_n-1)*TC_xmt)*D42/(TC_n*TC_b)</f>
        <v>1</v>
      </c>
      <c r="F42" s="28" t="n">
        <f aca="false">TC_s*E42*TC_m*TC_n*TC_b*SQRT(2*g_)*D42^1.5</f>
        <v>0</v>
      </c>
      <c r="G42" s="29" t="n">
        <f aca="false">MAX(A42-SC_Z,0)</f>
        <v>3.7</v>
      </c>
      <c r="H42" s="30" t="n">
        <f aca="false">1-0.2*(SC_xmb+(SC_n-1)*SC_xmt)*G42/(SC_n*SC_b)</f>
        <v>0.8964</v>
      </c>
      <c r="I42" s="31" t="n">
        <f aca="false">SC_s*H42*SC_m*SC_n*SC_b*SQRT(2*g_)*G42^1.5</f>
        <v>63.5823321712985</v>
      </c>
      <c r="J42" s="32" t="n">
        <f aca="false">F42+I42</f>
        <v>63.5823321712985</v>
      </c>
      <c r="K42" s="32" t="n">
        <f aca="false">F42</f>
        <v>0</v>
      </c>
      <c r="L42" s="32" t="n">
        <f aca="false">C42*1000000/dt_s+J42/2</f>
        <v>10146.1522771968</v>
      </c>
      <c r="M42" s="32" t="n">
        <f aca="false">C42*1000000/dt_s+K42/2</f>
        <v>10114.3611111111</v>
      </c>
    </row>
    <row r="43" customFormat="false" ht="15" hidden="false" customHeight="false" outlineLevel="0" collapsed="false">
      <c r="A43" s="24" t="n">
        <f aca="false">ROUND(A42+0.1,2)</f>
        <v>74.8</v>
      </c>
      <c r="B43" s="25" t="n">
        <f aca="false">INDEX(Bang_F,MATCH(A43,Bang_Z,1))+(A43-INDEX(Bang_Z,MATCH(A43,Bang_Z,1)))*(INDEX(Bang_F,MATCH(A43,Bang_Z,1)+1)-INDEX(Bang_F,MATCH(A43,Bang_Z,1)))</f>
        <v>6.328</v>
      </c>
      <c r="C43" s="25" t="n">
        <f aca="false">INDEX(Bang_W,MATCH(A43,Bang_Z,1))+(A43-INDEX(Bang_Z,MATCH(A43,Bang_Z,1)))*(INDEX(Bang_F,MATCH(A43,Bang_Z,1))+B43)/2</f>
        <v>37.0412</v>
      </c>
      <c r="D43" s="26" t="n">
        <f aca="false">MAX(A43-TC_Z,0)</f>
        <v>0.0999999999999943</v>
      </c>
      <c r="E43" s="27" t="n">
        <f aca="false">1-0.2*(TC_xmb+(TC_n-1)*TC_xmt)*D43/(TC_n*TC_b)</f>
        <v>0.996018518518519</v>
      </c>
      <c r="F43" s="28" t="n">
        <f aca="false">TC_s*E43*TC_m*TC_n*TC_b*SQRT(2*g_)*D43^1.5</f>
        <v>1.35607334510988</v>
      </c>
      <c r="G43" s="29" t="n">
        <f aca="false">MAX(A43-SC_Z,0)</f>
        <v>3.8</v>
      </c>
      <c r="H43" s="30" t="n">
        <f aca="false">1-0.2*(SC_xmb+(SC_n-1)*SC_xmt)*G43/(SC_n*SC_b)</f>
        <v>0.8936</v>
      </c>
      <c r="I43" s="31" t="n">
        <f aca="false">SC_s*H43*SC_m*SC_n*SC_b*SQRT(2*g_)*G43^1.5</f>
        <v>65.970621369179</v>
      </c>
      <c r="J43" s="32" t="n">
        <f aca="false">F43+I43</f>
        <v>67.3266947142889</v>
      </c>
      <c r="K43" s="32" t="n">
        <f aca="false">F43</f>
        <v>1.35607334510988</v>
      </c>
      <c r="L43" s="32" t="n">
        <f aca="false">C43*1000000/dt_s+J43/2</f>
        <v>10322.8855695794</v>
      </c>
      <c r="M43" s="32" t="n">
        <f aca="false">C43*1000000/dt_s+K43/2</f>
        <v>10289.9002588948</v>
      </c>
    </row>
    <row r="44" customFormat="false" ht="15" hidden="false" customHeight="false" outlineLevel="0" collapsed="false">
      <c r="A44" s="24" t="n">
        <f aca="false">ROUND(A43+0.1,2)</f>
        <v>74.9</v>
      </c>
      <c r="B44" s="25" t="n">
        <f aca="false">INDEX(Bang_F,MATCH(A44,Bang_Z,1))+(A44-INDEX(Bang_Z,MATCH(A44,Bang_Z,1)))*(INDEX(Bang_F,MATCH(A44,Bang_Z,1)+1)-INDEX(Bang_F,MATCH(A44,Bang_Z,1)))</f>
        <v>6.394</v>
      </c>
      <c r="C44" s="25" t="n">
        <f aca="false">INDEX(Bang_W,MATCH(A44,Bang_Z,1))+(A44-INDEX(Bang_Z,MATCH(A44,Bang_Z,1)))*(INDEX(Bang_F,MATCH(A44,Bang_Z,1))+B44)/2</f>
        <v>37.6773</v>
      </c>
      <c r="D44" s="26" t="n">
        <f aca="false">MAX(A44-TC_Z,0)</f>
        <v>0.200000000000003</v>
      </c>
      <c r="E44" s="27" t="n">
        <f aca="false">1-0.2*(TC_xmb+(TC_n-1)*TC_xmt)*D44/(TC_n*TC_b)</f>
        <v>0.992037037037037</v>
      </c>
      <c r="F44" s="28" t="n">
        <f aca="false">TC_s*E44*TC_m*TC_n*TC_b*SQRT(2*g_)*D44^1.5</f>
        <v>3.82022239770543</v>
      </c>
      <c r="G44" s="29" t="n">
        <f aca="false">MAX(A44-SC_Z,0)</f>
        <v>3.90000000000001</v>
      </c>
      <c r="H44" s="30" t="n">
        <f aca="false">1-0.2*(SC_xmb+(SC_n-1)*SC_xmt)*G44/(SC_n*SC_b)</f>
        <v>0.8908</v>
      </c>
      <c r="I44" s="31" t="n">
        <f aca="false">SC_s*H44*SC_m*SC_n*SC_b*SQRT(2*g_)*G44^1.5</f>
        <v>68.3768576814924</v>
      </c>
      <c r="J44" s="32" t="n">
        <f aca="false">F44+I44</f>
        <v>72.1970800791978</v>
      </c>
      <c r="K44" s="32" t="n">
        <f aca="false">F44</f>
        <v>3.82022239770543</v>
      </c>
      <c r="L44" s="32" t="n">
        <f aca="false">C44*1000000/dt_s+J44/2</f>
        <v>10502.0152067063</v>
      </c>
      <c r="M44" s="32" t="n">
        <f aca="false">C44*1000000/dt_s+K44/2</f>
        <v>10467.8267778655</v>
      </c>
    </row>
    <row r="45" customFormat="false" ht="15" hidden="false" customHeight="false" outlineLevel="0" collapsed="false">
      <c r="A45" s="24" t="n">
        <f aca="false">ROUND(A44+0.1,2)</f>
        <v>75</v>
      </c>
      <c r="B45" s="25" t="n">
        <f aca="false">INDEX(Bang_F,MATCH(A45,Bang_Z,1))+(A45-INDEX(Bang_Z,MATCH(A45,Bang_Z,1)))*(INDEX(Bang_F,MATCH(A45,Bang_Z,1)+1)-INDEX(Bang_F,MATCH(A45,Bang_Z,1)))</f>
        <v>6.46</v>
      </c>
      <c r="C45" s="25" t="n">
        <f aca="false">INDEX(Bang_W,MATCH(A45,Bang_Z,1))+(A45-INDEX(Bang_Z,MATCH(A45,Bang_Z,1)))*(INDEX(Bang_F,MATCH(A45,Bang_Z,1))+B45)/2</f>
        <v>38.32</v>
      </c>
      <c r="D45" s="26" t="n">
        <f aca="false">MAX(A45-TC_Z,0)</f>
        <v>0.299999999999997</v>
      </c>
      <c r="E45" s="27" t="n">
        <f aca="false">1-0.2*(TC_xmb+(TC_n-1)*TC_xmt)*D45/(TC_n*TC_b)</f>
        <v>0.988055555555556</v>
      </c>
      <c r="F45" s="28" t="n">
        <f aca="false">TC_s*E45*TC_m*TC_n*TC_b*SQRT(2*g_)*D45^1.5</f>
        <v>6.99002956993345</v>
      </c>
      <c r="G45" s="29" t="n">
        <f aca="false">MAX(A45-SC_Z,0)</f>
        <v>4</v>
      </c>
      <c r="H45" s="30" t="n">
        <f aca="false">1-0.2*(SC_xmb+(SC_n-1)*SC_xmt)*G45/(SC_n*SC_b)</f>
        <v>0.888</v>
      </c>
      <c r="I45" s="31" t="n">
        <f aca="false">SC_s*H45*SC_m*SC_n*SC_b*SQRT(2*g_)*G45^1.5</f>
        <v>70.8002795384312</v>
      </c>
      <c r="J45" s="32" t="n">
        <f aca="false">F45+I45</f>
        <v>77.7903091083647</v>
      </c>
      <c r="K45" s="32" t="n">
        <f aca="false">F45</f>
        <v>6.99002956993345</v>
      </c>
      <c r="L45" s="32" t="n">
        <f aca="false">C45*1000000/dt_s+J45/2</f>
        <v>10683.3395989986</v>
      </c>
      <c r="M45" s="32" t="n">
        <f aca="false">C45*1000000/dt_s+K45/2</f>
        <v>10647.9394592294</v>
      </c>
    </row>
    <row r="46" customFormat="false" ht="15" hidden="false" customHeight="false" outlineLevel="0" collapsed="false">
      <c r="A46" s="24" t="n">
        <f aca="false">ROUND(A45+0.1,2)</f>
        <v>75.1</v>
      </c>
      <c r="B46" s="25" t="n">
        <f aca="false">INDEX(Bang_F,MATCH(A46,Bang_Z,1))+(A46-INDEX(Bang_Z,MATCH(A46,Bang_Z,1)))*(INDEX(Bang_F,MATCH(A46,Bang_Z,1)+1)-INDEX(Bang_F,MATCH(A46,Bang_Z,1)))</f>
        <v>6.504</v>
      </c>
      <c r="C46" s="25" t="n">
        <f aca="false">INDEX(Bang_W,MATCH(A46,Bang_Z,1))+(A46-INDEX(Bang_Z,MATCH(A46,Bang_Z,1)))*(INDEX(Bang_F,MATCH(A46,Bang_Z,1))+B46)/2</f>
        <v>38.9682</v>
      </c>
      <c r="D46" s="26" t="n">
        <f aca="false">MAX(A46-TC_Z,0)</f>
        <v>0.399999999999992</v>
      </c>
      <c r="E46" s="27" t="n">
        <f aca="false">1-0.2*(TC_xmb+(TC_n-1)*TC_xmt)*D46/(TC_n*TC_b)</f>
        <v>0.984074074074074</v>
      </c>
      <c r="F46" s="28" t="n">
        <f aca="false">TC_s*E46*TC_m*TC_n*TC_b*SQRT(2*g_)*D46^1.5</f>
        <v>10.718488434938</v>
      </c>
      <c r="G46" s="29" t="n">
        <f aca="false">MAX(A46-SC_Z,0)</f>
        <v>4.09999999999999</v>
      </c>
      <c r="H46" s="30" t="n">
        <f aca="false">1-0.2*(SC_xmb+(SC_n-1)*SC_xmt)*G46/(SC_n*SC_b)</f>
        <v>0.8852</v>
      </c>
      <c r="I46" s="31" t="n">
        <f aca="false">SC_s*H46*SC_m*SC_n*SC_b*SQRT(2*g_)*G46^1.5</f>
        <v>73.2401474497564</v>
      </c>
      <c r="J46" s="32" t="n">
        <f aca="false">F46+I46</f>
        <v>83.9586358846944</v>
      </c>
      <c r="K46" s="32" t="n">
        <f aca="false">F46</f>
        <v>10.718488434938</v>
      </c>
      <c r="L46" s="32" t="n">
        <f aca="false">C46*1000000/dt_s+J46/2</f>
        <v>10866.4793179423</v>
      </c>
      <c r="M46" s="32" t="n">
        <f aca="false">C46*1000000/dt_s+K46/2</f>
        <v>10829.8592442175</v>
      </c>
    </row>
    <row r="47" customFormat="false" ht="15" hidden="false" customHeight="false" outlineLevel="0" collapsed="false">
      <c r="A47" s="24" t="n">
        <f aca="false">ROUND(A46+0.1,2)</f>
        <v>75.2</v>
      </c>
      <c r="B47" s="25" t="n">
        <f aca="false">INDEX(Bang_F,MATCH(A47,Bang_Z,1))+(A47-INDEX(Bang_Z,MATCH(A47,Bang_Z,1)))*(INDEX(Bang_F,MATCH(A47,Bang_Z,1)+1)-INDEX(Bang_F,MATCH(A47,Bang_Z,1)))</f>
        <v>6.548</v>
      </c>
      <c r="C47" s="25" t="n">
        <f aca="false">INDEX(Bang_W,MATCH(A47,Bang_Z,1))+(A47-INDEX(Bang_Z,MATCH(A47,Bang_Z,1)))*(INDEX(Bang_F,MATCH(A47,Bang_Z,1))+B47)/2</f>
        <v>39.6208</v>
      </c>
      <c r="D47" s="26" t="n">
        <f aca="false">MAX(A47-TC_Z,0)</f>
        <v>0.5</v>
      </c>
      <c r="E47" s="27" t="n">
        <f aca="false">1-0.2*(TC_xmb+(TC_n-1)*TC_xmt)*D47/(TC_n*TC_b)</f>
        <v>0.980092592592593</v>
      </c>
      <c r="F47" s="28" t="n">
        <f aca="false">TC_s*E47*TC_m*TC_n*TC_b*SQRT(2*g_)*D47^1.5</f>
        <v>14.9189369935705</v>
      </c>
      <c r="G47" s="29" t="n">
        <f aca="false">MAX(A47-SC_Z,0)</f>
        <v>4.2</v>
      </c>
      <c r="H47" s="30" t="n">
        <f aca="false">1-0.2*(SC_xmb+(SC_n-1)*SC_xmt)*G47/(SC_n*SC_b)</f>
        <v>0.8824</v>
      </c>
      <c r="I47" s="31" t="n">
        <f aca="false">SC_s*H47*SC_m*SC_n*SC_b*SQRT(2*g_)*G47^1.5</f>
        <v>75.6957427314796</v>
      </c>
      <c r="J47" s="32" t="n">
        <f aca="false">F47+I47</f>
        <v>90.61467972505</v>
      </c>
      <c r="K47" s="32" t="n">
        <f aca="false">F47</f>
        <v>14.9189369935705</v>
      </c>
      <c r="L47" s="32" t="n">
        <f aca="false">C47*1000000/dt_s+J47/2</f>
        <v>11051.0851176403</v>
      </c>
      <c r="M47" s="32" t="n">
        <f aca="false">C47*1000000/dt_s+K47/2</f>
        <v>11013.2372462746</v>
      </c>
    </row>
    <row r="48" customFormat="false" ht="15" hidden="false" customHeight="false" outlineLevel="0" collapsed="false">
      <c r="A48" s="24" t="n">
        <f aca="false">ROUND(A47+0.1,2)</f>
        <v>75.3</v>
      </c>
      <c r="B48" s="25" t="n">
        <f aca="false">INDEX(Bang_F,MATCH(A48,Bang_Z,1))+(A48-INDEX(Bang_Z,MATCH(A48,Bang_Z,1)))*(INDEX(Bang_F,MATCH(A48,Bang_Z,1)+1)-INDEX(Bang_F,MATCH(A48,Bang_Z,1)))</f>
        <v>6.592</v>
      </c>
      <c r="C48" s="25" t="n">
        <f aca="false">INDEX(Bang_W,MATCH(A48,Bang_Z,1))+(A48-INDEX(Bang_Z,MATCH(A48,Bang_Z,1)))*(INDEX(Bang_F,MATCH(A48,Bang_Z,1))+B48)/2</f>
        <v>40.2778</v>
      </c>
      <c r="D48" s="26" t="n">
        <f aca="false">MAX(A48-TC_Z,0)</f>
        <v>0.599999999999994</v>
      </c>
      <c r="E48" s="27" t="n">
        <f aca="false">1-0.2*(TC_xmb+(TC_n-1)*TC_xmt)*D48/(TC_n*TC_b)</f>
        <v>0.976111111111111</v>
      </c>
      <c r="F48" s="28" t="n">
        <f aca="false">TC_s*E48*TC_m*TC_n*TC_b*SQRT(2*g_)*D48^1.5</f>
        <v>19.5317833521674</v>
      </c>
      <c r="G48" s="29" t="n">
        <f aca="false">MAX(A48-SC_Z,0)</f>
        <v>4.3</v>
      </c>
      <c r="H48" s="30" t="n">
        <f aca="false">1-0.2*(SC_xmb+(SC_n-1)*SC_xmt)*G48/(SC_n*SC_b)</f>
        <v>0.8796</v>
      </c>
      <c r="I48" s="31" t="n">
        <f aca="false">SC_s*H48*SC_m*SC_n*SC_b*SQRT(2*g_)*G48^1.5</f>
        <v>78.166366336407</v>
      </c>
      <c r="J48" s="32" t="n">
        <f aca="false">F48+I48</f>
        <v>97.6981496885743</v>
      </c>
      <c r="K48" s="32" t="n">
        <f aca="false">F48</f>
        <v>19.5317833521674</v>
      </c>
      <c r="L48" s="32" t="n">
        <f aca="false">C48*1000000/dt_s+J48/2</f>
        <v>11237.1268526221</v>
      </c>
      <c r="M48" s="32" t="n">
        <f aca="false">C48*1000000/dt_s+K48/2</f>
        <v>11198.0436694539</v>
      </c>
    </row>
    <row r="49" customFormat="false" ht="15" hidden="false" customHeight="false" outlineLevel="0" collapsed="false">
      <c r="A49" s="24" t="n">
        <f aca="false">ROUND(A48+0.1,2)</f>
        <v>75.4</v>
      </c>
      <c r="B49" s="25" t="n">
        <f aca="false">INDEX(Bang_F,MATCH(A49,Bang_Z,1))+(A49-INDEX(Bang_Z,MATCH(A49,Bang_Z,1)))*(INDEX(Bang_F,MATCH(A49,Bang_Z,1)+1)-INDEX(Bang_F,MATCH(A49,Bang_Z,1)))</f>
        <v>6.636</v>
      </c>
      <c r="C49" s="25" t="n">
        <f aca="false">INDEX(Bang_W,MATCH(A49,Bang_Z,1))+(A49-INDEX(Bang_Z,MATCH(A49,Bang_Z,1)))*(INDEX(Bang_F,MATCH(A49,Bang_Z,1))+B49)/2</f>
        <v>40.9392</v>
      </c>
      <c r="D49" s="26" t="n">
        <f aca="false">MAX(A49-TC_Z,0)</f>
        <v>0.700000000000003</v>
      </c>
      <c r="E49" s="27" t="n">
        <f aca="false">1-0.2*(TC_xmb+(TC_n-1)*TC_xmt)*D49/(TC_n*TC_b)</f>
        <v>0.97212962962963</v>
      </c>
      <c r="F49" s="28" t="n">
        <f aca="false">TC_s*E49*TC_m*TC_n*TC_b*SQRT(2*g_)*D49^1.5</f>
        <v>24.512466136324</v>
      </c>
      <c r="G49" s="29" t="n">
        <f aca="false">MAX(A49-SC_Z,0)</f>
        <v>4.40000000000001</v>
      </c>
      <c r="H49" s="30" t="n">
        <f aca="false">1-0.2*(SC_xmb+(SC_n-1)*SC_xmt)*G49/(SC_n*SC_b)</f>
        <v>0.8768</v>
      </c>
      <c r="I49" s="31" t="n">
        <f aca="false">SC_s*H49*SC_m*SC_n*SC_b*SQRT(2*g_)*G49^1.5</f>
        <v>80.6513377777803</v>
      </c>
      <c r="J49" s="32" t="n">
        <f aca="false">F49+I49</f>
        <v>105.163803914104</v>
      </c>
      <c r="K49" s="32" t="n">
        <f aca="false">F49</f>
        <v>24.512466136324</v>
      </c>
      <c r="L49" s="32" t="n">
        <f aca="false">C49*1000000/dt_s+J49/2</f>
        <v>11424.5819019571</v>
      </c>
      <c r="M49" s="32" t="n">
        <f aca="false">C49*1000000/dt_s+K49/2</f>
        <v>11384.2562330682</v>
      </c>
    </row>
    <row r="50" customFormat="false" ht="15" hidden="false" customHeight="false" outlineLevel="0" collapsed="false">
      <c r="A50" s="24" t="n">
        <f aca="false">ROUND(A49+0.1,2)</f>
        <v>75.5</v>
      </c>
      <c r="B50" s="25" t="n">
        <f aca="false">INDEX(Bang_F,MATCH(A50,Bang_Z,1))+(A50-INDEX(Bang_Z,MATCH(A50,Bang_Z,1)))*(INDEX(Bang_F,MATCH(A50,Bang_Z,1)+1)-INDEX(Bang_F,MATCH(A50,Bang_Z,1)))</f>
        <v>6.68</v>
      </c>
      <c r="C50" s="25" t="n">
        <f aca="false">INDEX(Bang_W,MATCH(A50,Bang_Z,1))+(A50-INDEX(Bang_Z,MATCH(A50,Bang_Z,1)))*(INDEX(Bang_F,MATCH(A50,Bang_Z,1))+B50)/2</f>
        <v>41.605</v>
      </c>
      <c r="D50" s="26" t="n">
        <f aca="false">MAX(A50-TC_Z,0)</f>
        <v>0.799999999999997</v>
      </c>
      <c r="E50" s="27" t="n">
        <f aca="false">1-0.2*(TC_xmb+(TC_n-1)*TC_xmt)*D50/(TC_n*TC_b)</f>
        <v>0.968148148148148</v>
      </c>
      <c r="F50" s="28" t="n">
        <f aca="false">TC_s*E50*TC_m*TC_n*TC_b*SQRT(2*g_)*D50^1.5</f>
        <v>29.8258319136882</v>
      </c>
      <c r="G50" s="29" t="n">
        <f aca="false">MAX(A50-SC_Z,0)</f>
        <v>4.5</v>
      </c>
      <c r="H50" s="30" t="n">
        <f aca="false">1-0.2*(SC_xmb+(SC_n-1)*SC_xmt)*G50/(SC_n*SC_b)</f>
        <v>0.874</v>
      </c>
      <c r="I50" s="31" t="n">
        <f aca="false">SC_s*H50*SC_m*SC_n*SC_b*SQRT(2*g_)*G50^1.5</f>
        <v>83.149994136579</v>
      </c>
      <c r="J50" s="32" t="n">
        <f aca="false">F50+I50</f>
        <v>112.975826050267</v>
      </c>
      <c r="K50" s="32" t="n">
        <f aca="false">F50</f>
        <v>29.8258319136882</v>
      </c>
      <c r="L50" s="32" t="n">
        <f aca="false">C50*1000000/dt_s+J50/2</f>
        <v>11613.4323574696</v>
      </c>
      <c r="M50" s="32" t="n">
        <f aca="false">C50*1000000/dt_s+K50/2</f>
        <v>11571.8573604013</v>
      </c>
    </row>
    <row r="51" customFormat="false" ht="15" hidden="false" customHeight="false" outlineLevel="0" collapsed="false">
      <c r="A51" s="24" t="n">
        <f aca="false">ROUND(A50+0.1,2)</f>
        <v>75.6</v>
      </c>
      <c r="B51" s="25" t="n">
        <f aca="false">INDEX(Bang_F,MATCH(A51,Bang_Z,1))+(A51-INDEX(Bang_Z,MATCH(A51,Bang_Z,1)))*(INDEX(Bang_F,MATCH(A51,Bang_Z,1)+1)-INDEX(Bang_F,MATCH(A51,Bang_Z,1)))</f>
        <v>6.724</v>
      </c>
      <c r="C51" s="25" t="n">
        <f aca="false">INDEX(Bang_W,MATCH(A51,Bang_Z,1))+(A51-INDEX(Bang_Z,MATCH(A51,Bang_Z,1)))*(INDEX(Bang_F,MATCH(A51,Bang_Z,1))+B51)/2</f>
        <v>42.2752</v>
      </c>
      <c r="D51" s="26" t="n">
        <f aca="false">MAX(A51-TC_Z,0)</f>
        <v>0.899999999999992</v>
      </c>
      <c r="E51" s="27" t="n">
        <f aca="false">1-0.2*(TC_xmb+(TC_n-1)*TC_xmt)*D51/(TC_n*TC_b)</f>
        <v>0.964166666666667</v>
      </c>
      <c r="F51" s="28" t="n">
        <f aca="false">TC_s*E51*TC_m*TC_n*TC_b*SQRT(2*g_)*D51^1.5</f>
        <v>35.4430953844951</v>
      </c>
      <c r="G51" s="29" t="n">
        <f aca="false">MAX(A51-SC_Z,0)</f>
        <v>4.59999999999999</v>
      </c>
      <c r="H51" s="30" t="n">
        <f aca="false">1-0.2*(SC_xmb+(SC_n-1)*SC_xmt)*G51/(SC_n*SC_b)</f>
        <v>0.8712</v>
      </c>
      <c r="I51" s="31" t="n">
        <f aca="false">SC_s*H51*SC_m*SC_n*SC_b*SQRT(2*g_)*G51^1.5</f>
        <v>85.6616891442152</v>
      </c>
      <c r="J51" s="32" t="n">
        <f aca="false">F51+I51</f>
        <v>121.10478452871</v>
      </c>
      <c r="K51" s="32" t="n">
        <f aca="false">F51</f>
        <v>35.4430953844951</v>
      </c>
      <c r="L51" s="32" t="n">
        <f aca="false">C51*1000000/dt_s+J51/2</f>
        <v>11803.6635033755</v>
      </c>
      <c r="M51" s="32" t="n">
        <f aca="false">C51*1000000/dt_s+K51/2</f>
        <v>11760.8326588033</v>
      </c>
    </row>
    <row r="52" customFormat="false" ht="15" hidden="false" customHeight="false" outlineLevel="0" collapsed="false">
      <c r="A52" s="24" t="n">
        <f aca="false">ROUND(A51+0.1,2)</f>
        <v>75.7</v>
      </c>
      <c r="B52" s="25" t="n">
        <f aca="false">INDEX(Bang_F,MATCH(A52,Bang_Z,1))+(A52-INDEX(Bang_Z,MATCH(A52,Bang_Z,1)))*(INDEX(Bang_F,MATCH(A52,Bang_Z,1)+1)-INDEX(Bang_F,MATCH(A52,Bang_Z,1)))</f>
        <v>6.768</v>
      </c>
      <c r="C52" s="25" t="n">
        <f aca="false">INDEX(Bang_W,MATCH(A52,Bang_Z,1))+(A52-INDEX(Bang_Z,MATCH(A52,Bang_Z,1)))*(INDEX(Bang_F,MATCH(A52,Bang_Z,1))+B52)/2</f>
        <v>42.9498</v>
      </c>
      <c r="D52" s="26" t="n">
        <f aca="false">MAX(A52-TC_Z,0)</f>
        <v>1</v>
      </c>
      <c r="E52" s="27" t="n">
        <f aca="false">1-0.2*(TC_xmb+(TC_n-1)*TC_xmt)*D52/(TC_n*TC_b)</f>
        <v>0.960185185185185</v>
      </c>
      <c r="F52" s="28" t="n">
        <f aca="false">TC_s*E52*TC_m*TC_n*TC_b*SQRT(2*g_)*D52^1.5</f>
        <v>41.3400280863475</v>
      </c>
      <c r="G52" s="29" t="n">
        <f aca="false">MAX(A52-SC_Z,0)</f>
        <v>4.7</v>
      </c>
      <c r="H52" s="30" t="n">
        <f aca="false">1-0.2*(SC_xmb+(SC_n-1)*SC_xmt)*G52/(SC_n*SC_b)</f>
        <v>0.8684</v>
      </c>
      <c r="I52" s="31" t="n">
        <f aca="false">SC_s*H52*SC_m*SC_n*SC_b*SQRT(2*g_)*G52^1.5</f>
        <v>88.1857923333177</v>
      </c>
      <c r="J52" s="32" t="n">
        <f aca="false">F52+I52</f>
        <v>129.525820419665</v>
      </c>
      <c r="K52" s="32" t="n">
        <f aca="false">F52</f>
        <v>41.3400280863475</v>
      </c>
      <c r="L52" s="32" t="n">
        <f aca="false">C52*1000000/dt_s+J52/2</f>
        <v>11995.2629102098</v>
      </c>
      <c r="M52" s="32" t="n">
        <f aca="false">C52*1000000/dt_s+K52/2</f>
        <v>11951.1700140432</v>
      </c>
    </row>
    <row r="53" customFormat="false" ht="15" hidden="false" customHeight="false" outlineLevel="0" collapsed="false">
      <c r="A53" s="24" t="n">
        <f aca="false">ROUND(A52+0.1,2)</f>
        <v>75.8</v>
      </c>
      <c r="B53" s="25" t="n">
        <f aca="false">INDEX(Bang_F,MATCH(A53,Bang_Z,1))+(A53-INDEX(Bang_Z,MATCH(A53,Bang_Z,1)))*(INDEX(Bang_F,MATCH(A53,Bang_Z,1)+1)-INDEX(Bang_F,MATCH(A53,Bang_Z,1)))</f>
        <v>6.812</v>
      </c>
      <c r="C53" s="25" t="n">
        <f aca="false">INDEX(Bang_W,MATCH(A53,Bang_Z,1))+(A53-INDEX(Bang_Z,MATCH(A53,Bang_Z,1)))*(INDEX(Bang_F,MATCH(A53,Bang_Z,1))+B53)/2</f>
        <v>43.6288</v>
      </c>
      <c r="D53" s="26" t="n">
        <f aca="false">MAX(A53-TC_Z,0)</f>
        <v>1.09999999999999</v>
      </c>
      <c r="E53" s="27" t="n">
        <f aca="false">1-0.2*(TC_xmb+(TC_n-1)*TC_xmt)*D53/(TC_n*TC_b)</f>
        <v>0.956203703703704</v>
      </c>
      <c r="F53" s="28" t="n">
        <f aca="false">TC_s*E53*TC_m*TC_n*TC_b*SQRT(2*g_)*D53^1.5</f>
        <v>47.4958009369941</v>
      </c>
      <c r="G53" s="29" t="n">
        <f aca="false">MAX(A53-SC_Z,0)</f>
        <v>4.8</v>
      </c>
      <c r="H53" s="30" t="n">
        <f aca="false">1-0.2*(SC_xmb+(SC_n-1)*SC_xmt)*G53/(SC_n*SC_b)</f>
        <v>0.8656</v>
      </c>
      <c r="I53" s="31" t="n">
        <f aca="false">SC_s*H53*SC_m*SC_n*SC_b*SQRT(2*g_)*G53^1.5</f>
        <v>90.7216882501655</v>
      </c>
      <c r="J53" s="32" t="n">
        <f aca="false">F53+I53</f>
        <v>138.21748918716</v>
      </c>
      <c r="K53" s="32" t="n">
        <f aca="false">F53</f>
        <v>47.4958009369941</v>
      </c>
      <c r="L53" s="32" t="n">
        <f aca="false">C53*1000000/dt_s+J53/2</f>
        <v>12188.2198557047</v>
      </c>
      <c r="M53" s="32" t="n">
        <f aca="false">C53*1000000/dt_s+K53/2</f>
        <v>12142.8590115796</v>
      </c>
    </row>
    <row r="54" customFormat="false" ht="15" hidden="false" customHeight="false" outlineLevel="0" collapsed="false">
      <c r="A54" s="24" t="n">
        <f aca="false">ROUND(A53+0.1,2)</f>
        <v>75.9</v>
      </c>
      <c r="B54" s="25" t="n">
        <f aca="false">INDEX(Bang_F,MATCH(A54,Bang_Z,1))+(A54-INDEX(Bang_Z,MATCH(A54,Bang_Z,1)))*(INDEX(Bang_F,MATCH(A54,Bang_Z,1)+1)-INDEX(Bang_F,MATCH(A54,Bang_Z,1)))</f>
        <v>6.856</v>
      </c>
      <c r="C54" s="25" t="n">
        <f aca="false">INDEX(Bang_W,MATCH(A54,Bang_Z,1))+(A54-INDEX(Bang_Z,MATCH(A54,Bang_Z,1)))*(INDEX(Bang_F,MATCH(A54,Bang_Z,1))+B54)/2</f>
        <v>44.3122</v>
      </c>
      <c r="D54" s="26" t="n">
        <f aca="false">MAX(A54-TC_Z,0)</f>
        <v>1.2</v>
      </c>
      <c r="E54" s="27" t="n">
        <f aca="false">1-0.2*(TC_xmb+(TC_n-1)*TC_xmt)*D54/(TC_n*TC_b)</f>
        <v>0.952222222222222</v>
      </c>
      <c r="F54" s="28" t="n">
        <f aca="false">TC_s*E54*TC_m*TC_n*TC_b*SQRT(2*g_)*D54^1.5</f>
        <v>53.8922043648744</v>
      </c>
      <c r="G54" s="29" t="n">
        <f aca="false">MAX(A54-SC_Z,0)</f>
        <v>4.90000000000001</v>
      </c>
      <c r="H54" s="30" t="n">
        <f aca="false">1-0.2*(SC_xmb+(SC_n-1)*SC_xmt)*G54/(SC_n*SC_b)</f>
        <v>0.8628</v>
      </c>
      <c r="I54" s="31" t="n">
        <f aca="false">SC_s*H54*SC_m*SC_n*SC_b*SQRT(2*g_)*G54^1.5</f>
        <v>93.2687757230616</v>
      </c>
      <c r="J54" s="32" t="n">
        <f aca="false">F54+I54</f>
        <v>147.160980087936</v>
      </c>
      <c r="K54" s="32" t="n">
        <f aca="false">F54</f>
        <v>53.8922043648744</v>
      </c>
      <c r="L54" s="32" t="n">
        <f aca="false">C54*1000000/dt_s+J54/2</f>
        <v>12382.5249344884</v>
      </c>
      <c r="M54" s="32" t="n">
        <f aca="false">C54*1000000/dt_s+K54/2</f>
        <v>12335.8905466269</v>
      </c>
    </row>
    <row r="55" customFormat="false" ht="15" hidden="false" customHeight="false" outlineLevel="0" collapsed="false">
      <c r="A55" s="24" t="n">
        <f aca="false">ROUND(A54+0.1,2)</f>
        <v>76</v>
      </c>
      <c r="B55" s="25" t="n">
        <f aca="false">INDEX(Bang_F,MATCH(A55,Bang_Z,1))+(A55-INDEX(Bang_Z,MATCH(A55,Bang_Z,1)))*(INDEX(Bang_F,MATCH(A55,Bang_Z,1)+1)-INDEX(Bang_F,MATCH(A55,Bang_Z,1)))</f>
        <v>6.9</v>
      </c>
      <c r="C55" s="25" t="n">
        <f aca="false">INDEX(Bang_W,MATCH(A55,Bang_Z,1))+(A55-INDEX(Bang_Z,MATCH(A55,Bang_Z,1)))*(INDEX(Bang_F,MATCH(A55,Bang_Z,1))+B55)/2</f>
        <v>45</v>
      </c>
      <c r="D55" s="26" t="n">
        <f aca="false">MAX(A55-TC_Z,0)</f>
        <v>1.3</v>
      </c>
      <c r="E55" s="27" t="n">
        <f aca="false">1-0.2*(TC_xmb+(TC_n-1)*TC_xmt)*D55/(TC_n*TC_b)</f>
        <v>0.948240740740741</v>
      </c>
      <c r="F55" s="28" t="n">
        <f aca="false">TC_s*E55*TC_m*TC_n*TC_b*SQRT(2*g_)*D55^1.5</f>
        <v>60.513100525369</v>
      </c>
      <c r="G55" s="29" t="n">
        <f aca="false">MAX(A55-SC_Z,0)</f>
        <v>5</v>
      </c>
      <c r="H55" s="30" t="n">
        <f aca="false">1-0.2*(SC_xmb+(SC_n-1)*SC_xmt)*G55/(SC_n*SC_b)</f>
        <v>0.86</v>
      </c>
      <c r="I55" s="31" t="n">
        <f aca="false">SC_s*H55*SC_m*SC_n*SC_b*SQRT(2*g_)*G55^1.5</f>
        <v>95.8264671815673</v>
      </c>
      <c r="J55" s="32" t="n">
        <f aca="false">F55+I55</f>
        <v>156.339567706936</v>
      </c>
      <c r="K55" s="32" t="n">
        <f aca="false">F55</f>
        <v>60.513100525369</v>
      </c>
      <c r="L55" s="32" t="n">
        <f aca="false">C55*1000000/dt_s+J55/2</f>
        <v>12578.1697838535</v>
      </c>
      <c r="M55" s="32" t="n">
        <f aca="false">C55*1000000/dt_s+K55/2</f>
        <v>12530.2565502627</v>
      </c>
    </row>
    <row r="56" customFormat="false" ht="15" hidden="false" customHeight="false" outlineLevel="0" collapsed="false">
      <c r="A56" s="24" t="n">
        <f aca="false">ROUND(A55+0.1,2)</f>
        <v>76.1</v>
      </c>
      <c r="B56" s="25" t="n">
        <f aca="false">INDEX(Bang_F,MATCH(A56,Bang_Z,1))+(A56-INDEX(Bang_Z,MATCH(A56,Bang_Z,1)))*(INDEX(Bang_F,MATCH(A56,Bang_Z,1)+1)-INDEX(Bang_F,MATCH(A56,Bang_Z,1)))</f>
        <v>6.95</v>
      </c>
      <c r="C56" s="25" t="n">
        <f aca="false">INDEX(Bang_W,MATCH(A56,Bang_Z,1))+(A56-INDEX(Bang_Z,MATCH(A56,Bang_Z,1)))*(INDEX(Bang_F,MATCH(A56,Bang_Z,1))+B56)/2</f>
        <v>45.6925</v>
      </c>
      <c r="D56" s="26" t="n">
        <f aca="false">MAX(A56-TC_Z,0)</f>
        <v>1.39999999999999</v>
      </c>
      <c r="E56" s="27" t="n">
        <f aca="false">1-0.2*(TC_xmb+(TC_n-1)*TC_xmt)*D56/(TC_n*TC_b)</f>
        <v>0.94425925925926</v>
      </c>
      <c r="F56" s="28" t="n">
        <f aca="false">TC_s*E56*TC_m*TC_n*TC_b*SQRT(2*g_)*D56^1.5</f>
        <v>67.3440253851466</v>
      </c>
      <c r="G56" s="29" t="n">
        <f aca="false">MAX(A56-SC_Z,0)</f>
        <v>5.09999999999999</v>
      </c>
      <c r="H56" s="30" t="n">
        <f aca="false">1-0.2*(SC_xmb+(SC_n-1)*SC_xmt)*G56/(SC_n*SC_b)</f>
        <v>0.8572</v>
      </c>
      <c r="I56" s="31" t="n">
        <f aca="false">SC_s*H56*SC_m*SC_n*SC_b*SQRT(2*g_)*G56^1.5</f>
        <v>98.3941880220887</v>
      </c>
      <c r="J56" s="32" t="n">
        <f aca="false">F56+I56</f>
        <v>165.738213407235</v>
      </c>
      <c r="K56" s="32" t="n">
        <f aca="false">F56</f>
        <v>67.3440253851466</v>
      </c>
      <c r="L56" s="32" t="n">
        <f aca="false">C56*1000000/dt_s+J56/2</f>
        <v>12775.2302178147</v>
      </c>
      <c r="M56" s="32" t="n">
        <f aca="false">C56*1000000/dt_s+K56/2</f>
        <v>12726.0331238037</v>
      </c>
    </row>
    <row r="57" customFormat="false" ht="15" hidden="false" customHeight="false" outlineLevel="0" collapsed="false">
      <c r="A57" s="24" t="n">
        <f aca="false">ROUND(A56+0.1,2)</f>
        <v>76.2</v>
      </c>
      <c r="B57" s="25" t="n">
        <f aca="false">INDEX(Bang_F,MATCH(A57,Bang_Z,1))+(A57-INDEX(Bang_Z,MATCH(A57,Bang_Z,1)))*(INDEX(Bang_F,MATCH(A57,Bang_Z,1)+1)-INDEX(Bang_F,MATCH(A57,Bang_Z,1)))</f>
        <v>7</v>
      </c>
      <c r="C57" s="25" t="n">
        <f aca="false">INDEX(Bang_W,MATCH(A57,Bang_Z,1))+(A57-INDEX(Bang_Z,MATCH(A57,Bang_Z,1)))*(INDEX(Bang_F,MATCH(A57,Bang_Z,1))+B57)/2</f>
        <v>46.39</v>
      </c>
      <c r="D57" s="26" t="n">
        <f aca="false">MAX(A57-TC_Z,0)</f>
        <v>1.5</v>
      </c>
      <c r="E57" s="27" t="n">
        <f aca="false">1-0.2*(TC_xmb+(TC_n-1)*TC_xmt)*D57/(TC_n*TC_b)</f>
        <v>0.940277777777778</v>
      </c>
      <c r="F57" s="28" t="n">
        <f aca="false">TC_s*E57*TC_m*TC_n*TC_b*SQRT(2*g_)*D57^1.5</f>
        <v>74.3718915424663</v>
      </c>
      <c r="G57" s="29" t="n">
        <f aca="false">MAX(A57-SC_Z,0)</f>
        <v>5.2</v>
      </c>
      <c r="H57" s="30" t="n">
        <f aca="false">1-0.2*(SC_xmb+(SC_n-1)*SC_xmt)*G57/(SC_n*SC_b)</f>
        <v>0.8544</v>
      </c>
      <c r="I57" s="31" t="n">
        <f aca="false">SC_s*H57*SC_m*SC_n*SC_b*SQRT(2*g_)*G57^1.5</f>
        <v>100.971376015771</v>
      </c>
      <c r="J57" s="32" t="n">
        <f aca="false">F57+I57</f>
        <v>175.343267558237</v>
      </c>
      <c r="K57" s="32" t="n">
        <f aca="false">F57</f>
        <v>74.3718915424663</v>
      </c>
      <c r="L57" s="32" t="n">
        <f aca="false">C57*1000000/dt_s+J57/2</f>
        <v>12973.7827448902</v>
      </c>
      <c r="M57" s="32" t="n">
        <f aca="false">C57*1000000/dt_s+K57/2</f>
        <v>12923.2970568824</v>
      </c>
    </row>
    <row r="58" customFormat="false" ht="15" hidden="false" customHeight="false" outlineLevel="0" collapsed="false">
      <c r="A58" s="24" t="n">
        <f aca="false">ROUND(A57+0.1,2)</f>
        <v>76.3</v>
      </c>
      <c r="B58" s="25" t="n">
        <f aca="false">INDEX(Bang_F,MATCH(A58,Bang_Z,1))+(A58-INDEX(Bang_Z,MATCH(A58,Bang_Z,1)))*(INDEX(Bang_F,MATCH(A58,Bang_Z,1)+1)-INDEX(Bang_F,MATCH(A58,Bang_Z,1)))</f>
        <v>7.05</v>
      </c>
      <c r="C58" s="25" t="n">
        <f aca="false">INDEX(Bang_W,MATCH(A58,Bang_Z,1))+(A58-INDEX(Bang_Z,MATCH(A58,Bang_Z,1)))*(INDEX(Bang_F,MATCH(A58,Bang_Z,1))+B58)/2</f>
        <v>47.0925</v>
      </c>
      <c r="D58" s="26" t="n">
        <f aca="false">MAX(A58-TC_Z,0)</f>
        <v>1.59999999999999</v>
      </c>
      <c r="E58" s="27" t="n">
        <f aca="false">1-0.2*(TC_xmb+(TC_n-1)*TC_xmt)*D58/(TC_n*TC_b)</f>
        <v>0.936296296296297</v>
      </c>
      <c r="F58" s="28" t="n">
        <f aca="false">TC_s*E58*TC_m*TC_n*TC_b*SQRT(2*g_)*D58^1.5</f>
        <v>81.584761049376</v>
      </c>
      <c r="G58" s="29" t="n">
        <f aca="false">MAX(A58-SC_Z,0)</f>
        <v>5.3</v>
      </c>
      <c r="H58" s="30" t="n">
        <f aca="false">1-0.2*(SC_xmb+(SC_n-1)*SC_xmt)*G58/(SC_n*SC_b)</f>
        <v>0.8516</v>
      </c>
      <c r="I58" s="31" t="n">
        <f aca="false">SC_s*H58*SC_m*SC_n*SC_b*SQRT(2*g_)*G58^1.5</f>
        <v>103.557480755095</v>
      </c>
      <c r="J58" s="32" t="n">
        <f aca="false">F58+I58</f>
        <v>185.142241804471</v>
      </c>
      <c r="K58" s="32" t="n">
        <f aca="false">F58</f>
        <v>81.584761049376</v>
      </c>
      <c r="L58" s="32" t="n">
        <f aca="false">C58*1000000/dt_s+J58/2</f>
        <v>13173.8211209022</v>
      </c>
      <c r="M58" s="32" t="n">
        <f aca="false">C58*1000000/dt_s+K58/2</f>
        <v>13122.0423805247</v>
      </c>
    </row>
    <row r="59" customFormat="false" ht="15" hidden="false" customHeight="false" outlineLevel="0" collapsed="false">
      <c r="A59" s="24" t="n">
        <f aca="false">ROUND(A58+0.1,2)</f>
        <v>76.4</v>
      </c>
      <c r="B59" s="25" t="n">
        <f aca="false">INDEX(Bang_F,MATCH(A59,Bang_Z,1))+(A59-INDEX(Bang_Z,MATCH(A59,Bang_Z,1)))*(INDEX(Bang_F,MATCH(A59,Bang_Z,1)+1)-INDEX(Bang_F,MATCH(A59,Bang_Z,1)))</f>
        <v>7.1</v>
      </c>
      <c r="C59" s="25" t="n">
        <f aca="false">INDEX(Bang_W,MATCH(A59,Bang_Z,1))+(A59-INDEX(Bang_Z,MATCH(A59,Bang_Z,1)))*(INDEX(Bang_F,MATCH(A59,Bang_Z,1))+B59)/2</f>
        <v>47.8</v>
      </c>
      <c r="D59" s="26" t="n">
        <f aca="false">MAX(A59-TC_Z,0)</f>
        <v>1.7</v>
      </c>
      <c r="E59" s="27" t="n">
        <f aca="false">1-0.2*(TC_xmb+(TC_n-1)*TC_xmt)*D59/(TC_n*TC_b)</f>
        <v>0.932314814814815</v>
      </c>
      <c r="F59" s="28" t="n">
        <f aca="false">TC_s*E59*TC_m*TC_n*TC_b*SQRT(2*g_)*D59^1.5</f>
        <v>88.971668263715</v>
      </c>
      <c r="G59" s="29" t="n">
        <f aca="false">MAX(A59-SC_Z,0)</f>
        <v>5.40000000000001</v>
      </c>
      <c r="H59" s="30" t="n">
        <f aca="false">1-0.2*(SC_xmb+(SC_n-1)*SC_xmt)*G59/(SC_n*SC_b)</f>
        <v>0.8488</v>
      </c>
      <c r="I59" s="31" t="n">
        <f aca="false">SC_s*H59*SC_m*SC_n*SC_b*SQRT(2*g_)*G59^1.5</f>
        <v>106.151963135941</v>
      </c>
      <c r="J59" s="32" t="n">
        <f aca="false">F59+I59</f>
        <v>195.123631399656</v>
      </c>
      <c r="K59" s="32" t="n">
        <f aca="false">F59</f>
        <v>88.971668263715</v>
      </c>
      <c r="L59" s="32" t="n">
        <f aca="false">C59*1000000/dt_s+J59/2</f>
        <v>13375.3395934776</v>
      </c>
      <c r="M59" s="32" t="n">
        <f aca="false">C59*1000000/dt_s+K59/2</f>
        <v>13322.2636119096</v>
      </c>
    </row>
    <row r="60" customFormat="false" ht="15" hidden="false" customHeight="false" outlineLevel="0" collapsed="false">
      <c r="A60" s="24" t="n">
        <f aca="false">ROUND(A59+0.1,2)</f>
        <v>76.5</v>
      </c>
      <c r="B60" s="25" t="n">
        <f aca="false">INDEX(Bang_F,MATCH(A60,Bang_Z,1))+(A60-INDEX(Bang_Z,MATCH(A60,Bang_Z,1)))*(INDEX(Bang_F,MATCH(A60,Bang_Z,1)+1)-INDEX(Bang_F,MATCH(A60,Bang_Z,1)))</f>
        <v>7.15</v>
      </c>
      <c r="C60" s="25" t="n">
        <f aca="false">INDEX(Bang_W,MATCH(A60,Bang_Z,1))+(A60-INDEX(Bang_Z,MATCH(A60,Bang_Z,1)))*(INDEX(Bang_F,MATCH(A60,Bang_Z,1))+B60)/2</f>
        <v>48.5125</v>
      </c>
      <c r="D60" s="26" t="n">
        <f aca="false">MAX(A60-TC_Z,0)</f>
        <v>1.8</v>
      </c>
      <c r="E60" s="27" t="n">
        <f aca="false">1-0.2*(TC_xmb+(TC_n-1)*TC_xmt)*D60/(TC_n*TC_b)</f>
        <v>0.928333333333334</v>
      </c>
      <c r="F60" s="28" t="n">
        <f aca="false">TC_s*E60*TC_m*TC_n*TC_b*SQRT(2*g_)*D60^1.5</f>
        <v>96.5224793264543</v>
      </c>
      <c r="G60" s="29" t="n">
        <f aca="false">MAX(A60-SC_Z,0)</f>
        <v>5.5</v>
      </c>
      <c r="H60" s="30" t="n">
        <f aca="false">1-0.2*(SC_xmb+(SC_n-1)*SC_xmt)*G60/(SC_n*SC_b)</f>
        <v>0.846</v>
      </c>
      <c r="I60" s="31" t="n">
        <f aca="false">SC_s*H60*SC_m*SC_n*SC_b*SQRT(2*g_)*G60^1.5</f>
        <v>108.7542948722</v>
      </c>
      <c r="J60" s="32" t="n">
        <f aca="false">F60+I60</f>
        <v>205.276774198654</v>
      </c>
      <c r="K60" s="32" t="n">
        <f aca="false">F60</f>
        <v>96.5224793264543</v>
      </c>
      <c r="L60" s="32" t="n">
        <f aca="false">C60*1000000/dt_s+J60/2</f>
        <v>13578.3328315438</v>
      </c>
      <c r="M60" s="32" t="n">
        <f aca="false">C60*1000000/dt_s+K60/2</f>
        <v>13523.9556841077</v>
      </c>
    </row>
    <row r="61" customFormat="false" ht="15" hidden="false" customHeight="false" outlineLevel="0" collapsed="false">
      <c r="A61" s="24" t="n">
        <f aca="false">ROUND(A60+0.1,2)</f>
        <v>76.6</v>
      </c>
      <c r="B61" s="25" t="n">
        <f aca="false">INDEX(Bang_F,MATCH(A61,Bang_Z,1))+(A61-INDEX(Bang_Z,MATCH(A61,Bang_Z,1)))*(INDEX(Bang_F,MATCH(A61,Bang_Z,1)+1)-INDEX(Bang_F,MATCH(A61,Bang_Z,1)))</f>
        <v>7.2</v>
      </c>
      <c r="C61" s="25" t="n">
        <f aca="false">INDEX(Bang_W,MATCH(A61,Bang_Z,1))+(A61-INDEX(Bang_Z,MATCH(A61,Bang_Z,1)))*(INDEX(Bang_F,MATCH(A61,Bang_Z,1))+B61)/2</f>
        <v>49.23</v>
      </c>
      <c r="D61" s="26" t="n">
        <f aca="false">MAX(A61-TC_Z,0)</f>
        <v>1.89999999999999</v>
      </c>
      <c r="E61" s="27" t="n">
        <f aca="false">1-0.2*(TC_xmb+(TC_n-1)*TC_xmt)*D61/(TC_n*TC_b)</f>
        <v>0.924351851851852</v>
      </c>
      <c r="F61" s="28" t="n">
        <f aca="false">TC_s*E61*TC_m*TC_n*TC_b*SQRT(2*g_)*D61^1.5</f>
        <v>104.227779014988</v>
      </c>
      <c r="G61" s="29" t="n">
        <f aca="false">MAX(A61-SC_Z,0)</f>
        <v>5.59999999999999</v>
      </c>
      <c r="H61" s="30" t="n">
        <f aca="false">1-0.2*(SC_xmb+(SC_n-1)*SC_xmt)*G61/(SC_n*SC_b)</f>
        <v>0.8432</v>
      </c>
      <c r="I61" s="31" t="n">
        <f aca="false">SC_s*H61*SC_m*SC_n*SC_b*SQRT(2*g_)*G61^1.5</f>
        <v>111.363958040314</v>
      </c>
      <c r="J61" s="32" t="n">
        <f aca="false">F61+I61</f>
        <v>215.591737055302</v>
      </c>
      <c r="K61" s="32" t="n">
        <f aca="false">F61</f>
        <v>104.227779014988</v>
      </c>
      <c r="L61" s="32" t="n">
        <f aca="false">C61*1000000/dt_s+J61/2</f>
        <v>13782.7958685276</v>
      </c>
      <c r="M61" s="32" t="n">
        <f aca="false">C61*1000000/dt_s+K61/2</f>
        <v>13727.1138895075</v>
      </c>
    </row>
    <row r="62" customFormat="false" ht="15" hidden="false" customHeight="false" outlineLevel="0" collapsed="false">
      <c r="A62" s="24" t="n">
        <f aca="false">ROUND(A61+0.1,2)</f>
        <v>76.7</v>
      </c>
      <c r="B62" s="25" t="n">
        <f aca="false">INDEX(Bang_F,MATCH(A62,Bang_Z,1))+(A62-INDEX(Bang_Z,MATCH(A62,Bang_Z,1)))*(INDEX(Bang_F,MATCH(A62,Bang_Z,1)+1)-INDEX(Bang_F,MATCH(A62,Bang_Z,1)))</f>
        <v>7.25</v>
      </c>
      <c r="C62" s="25" t="n">
        <f aca="false">INDEX(Bang_W,MATCH(A62,Bang_Z,1))+(A62-INDEX(Bang_Z,MATCH(A62,Bang_Z,1)))*(INDEX(Bang_F,MATCH(A62,Bang_Z,1))+B62)/2</f>
        <v>49.9525</v>
      </c>
      <c r="D62" s="26" t="n">
        <f aca="false">MAX(A62-TC_Z,0)</f>
        <v>2</v>
      </c>
      <c r="E62" s="27" t="n">
        <f aca="false">1-0.2*(TC_xmb+(TC_n-1)*TC_xmt)*D62/(TC_n*TC_b)</f>
        <v>0.92037037037037</v>
      </c>
      <c r="F62" s="28" t="n">
        <f aca="false">TC_s*E62*TC_m*TC_n*TC_b*SQRT(2*g_)*D62^1.5</f>
        <v>112.078778434457</v>
      </c>
      <c r="G62" s="29" t="n">
        <f aca="false">MAX(A62-SC_Z,0)</f>
        <v>5.7</v>
      </c>
      <c r="H62" s="30" t="n">
        <f aca="false">1-0.2*(SC_xmb+(SC_n-1)*SC_xmt)*G62/(SC_n*SC_b)</f>
        <v>0.8404</v>
      </c>
      <c r="I62" s="31" t="n">
        <f aca="false">SC_s*H62*SC_m*SC_n*SC_b*SQRT(2*g_)*G62^1.5</f>
        <v>113.980444651385</v>
      </c>
      <c r="J62" s="32" t="n">
        <f aca="false">F62+I62</f>
        <v>226.059223085842</v>
      </c>
      <c r="K62" s="32" t="n">
        <f aca="false">F62</f>
        <v>112.078778434457</v>
      </c>
      <c r="L62" s="32" t="n">
        <f aca="false">C62*1000000/dt_s+J62/2</f>
        <v>13988.7240559874</v>
      </c>
      <c r="M62" s="32" t="n">
        <f aca="false">C62*1000000/dt_s+K62/2</f>
        <v>13931.7338336617</v>
      </c>
    </row>
    <row r="63" customFormat="false" ht="15" hidden="false" customHeight="false" outlineLevel="0" collapsed="false">
      <c r="A63" s="24" t="n">
        <f aca="false">ROUND(A62+0.1,2)</f>
        <v>76.8</v>
      </c>
      <c r="B63" s="25" t="n">
        <f aca="false">INDEX(Bang_F,MATCH(A63,Bang_Z,1))+(A63-INDEX(Bang_Z,MATCH(A63,Bang_Z,1)))*(INDEX(Bang_F,MATCH(A63,Bang_Z,1)+1)-INDEX(Bang_F,MATCH(A63,Bang_Z,1)))</f>
        <v>7.3</v>
      </c>
      <c r="C63" s="25" t="n">
        <f aca="false">INDEX(Bang_W,MATCH(A63,Bang_Z,1))+(A63-INDEX(Bang_Z,MATCH(A63,Bang_Z,1)))*(INDEX(Bang_F,MATCH(A63,Bang_Z,1))+B63)/2</f>
        <v>50.68</v>
      </c>
      <c r="D63" s="26" t="n">
        <f aca="false">MAX(A63-TC_Z,0)</f>
        <v>2.09999999999999</v>
      </c>
      <c r="E63" s="27" t="n">
        <f aca="false">1-0.2*(TC_xmb+(TC_n-1)*TC_xmt)*D63/(TC_n*TC_b)</f>
        <v>0.916388888888889</v>
      </c>
      <c r="F63" s="28" t="n">
        <f aca="false">TC_s*E63*TC_m*TC_n*TC_b*SQRT(2*g_)*D63^1.5</f>
        <v>120.067238827198</v>
      </c>
      <c r="G63" s="29" t="n">
        <f aca="false">MAX(A63-SC_Z,0)</f>
        <v>5.8</v>
      </c>
      <c r="H63" s="30" t="n">
        <f aca="false">1-0.2*(SC_xmb+(SC_n-1)*SC_xmt)*G63/(SC_n*SC_b)</f>
        <v>0.8376</v>
      </c>
      <c r="I63" s="31" t="n">
        <f aca="false">SC_s*H63*SC_m*SC_n*SC_b*SQRT(2*g_)*G63^1.5</f>
        <v>116.6032562487</v>
      </c>
      <c r="J63" s="32" t="n">
        <f aca="false">F63+I63</f>
        <v>236.670495075898</v>
      </c>
      <c r="K63" s="32" t="n">
        <f aca="false">F63</f>
        <v>120.067238827198</v>
      </c>
      <c r="L63" s="32" t="n">
        <f aca="false">C63*1000000/dt_s+J63/2</f>
        <v>14196.1130253157</v>
      </c>
      <c r="M63" s="32" t="n">
        <f aca="false">C63*1000000/dt_s+K63/2</f>
        <v>14137.8113971914</v>
      </c>
    </row>
    <row r="64" customFormat="false" ht="15" hidden="false" customHeight="false" outlineLevel="0" collapsed="false">
      <c r="A64" s="24" t="n">
        <f aca="false">ROUND(A63+0.1,2)</f>
        <v>76.9</v>
      </c>
      <c r="B64" s="25" t="n">
        <f aca="false">INDEX(Bang_F,MATCH(A64,Bang_Z,1))+(A64-INDEX(Bang_Z,MATCH(A64,Bang_Z,1)))*(INDEX(Bang_F,MATCH(A64,Bang_Z,1)+1)-INDEX(Bang_F,MATCH(A64,Bang_Z,1)))</f>
        <v>7.35</v>
      </c>
      <c r="C64" s="25" t="n">
        <f aca="false">INDEX(Bang_W,MATCH(A64,Bang_Z,1))+(A64-INDEX(Bang_Z,MATCH(A64,Bang_Z,1)))*(INDEX(Bang_F,MATCH(A64,Bang_Z,1))+B64)/2</f>
        <v>51.4125</v>
      </c>
      <c r="D64" s="26" t="n">
        <f aca="false">MAX(A64-TC_Z,0)</f>
        <v>2.2</v>
      </c>
      <c r="E64" s="27" t="n">
        <f aca="false">1-0.2*(TC_xmb+(TC_n-1)*TC_xmt)*D64/(TC_n*TC_b)</f>
        <v>0.912407407407407</v>
      </c>
      <c r="F64" s="28" t="n">
        <f aca="false">TC_s*E64*TC_m*TC_n*TC_b*SQRT(2*g_)*D64^1.5</f>
        <v>128.185408028651</v>
      </c>
      <c r="G64" s="29" t="n">
        <f aca="false">MAX(A64-SC_Z,0)</f>
        <v>5.90000000000001</v>
      </c>
      <c r="H64" s="30" t="n">
        <f aca="false">1-0.2*(SC_xmb+(SC_n-1)*SC_xmt)*G64/(SC_n*SC_b)</f>
        <v>0.8348</v>
      </c>
      <c r="I64" s="31" t="n">
        <f aca="false">SC_s*H64*SC_m*SC_n*SC_b*SQRT(2*g_)*G64^1.5</f>
        <v>119.23190352874</v>
      </c>
      <c r="J64" s="32" t="n">
        <f aca="false">F64+I64</f>
        <v>247.417311557391</v>
      </c>
      <c r="K64" s="32" t="n">
        <f aca="false">F64</f>
        <v>128.185408028651</v>
      </c>
      <c r="L64" s="32" t="n">
        <f aca="false">C64*1000000/dt_s+J64/2</f>
        <v>14404.9586557787</v>
      </c>
      <c r="M64" s="32" t="n">
        <f aca="false">C64*1000000/dt_s+K64/2</f>
        <v>14345.3427040143</v>
      </c>
    </row>
    <row r="65" customFormat="false" ht="15" hidden="false" customHeight="false" outlineLevel="0" collapsed="false">
      <c r="A65" s="24" t="n">
        <f aca="false">ROUND(A64+0.1,2)</f>
        <v>77</v>
      </c>
      <c r="B65" s="25" t="n">
        <f aca="false">INDEX(Bang_F,MATCH(A65,Bang_Z,1))+(A65-INDEX(Bang_Z,MATCH(A65,Bang_Z,1)))*(INDEX(Bang_F,MATCH(A65,Bang_Z,1)+1)-INDEX(Bang_F,MATCH(A65,Bang_Z,1)))</f>
        <v>7.4</v>
      </c>
      <c r="C65" s="25" t="n">
        <f aca="false">INDEX(Bang_W,MATCH(A65,Bang_Z,1))+(A65-INDEX(Bang_Z,MATCH(A65,Bang_Z,1)))*(INDEX(Bang_F,MATCH(A65,Bang_Z,1))+B65)/2</f>
        <v>52.15</v>
      </c>
      <c r="D65" s="26" t="n">
        <f aca="false">MAX(A65-TC_Z,0)</f>
        <v>2.3</v>
      </c>
      <c r="E65" s="27" t="n">
        <f aca="false">1-0.2*(TC_xmb+(TC_n-1)*TC_xmt)*D65/(TC_n*TC_b)</f>
        <v>0.908425925925926</v>
      </c>
      <c r="F65" s="28" t="n">
        <f aca="false">TC_s*E65*TC_m*TC_n*TC_b*SQRT(2*g_)*D65^1.5</f>
        <v>136.42596697324</v>
      </c>
      <c r="G65" s="29" t="n">
        <f aca="false">MAX(A65-SC_Z,0)</f>
        <v>6</v>
      </c>
      <c r="H65" s="30" t="n">
        <f aca="false">1-0.2*(SC_xmb+(SC_n-1)*SC_xmt)*G65/(SC_n*SC_b)</f>
        <v>0.832</v>
      </c>
      <c r="I65" s="31" t="n">
        <f aca="false">SC_s*H65*SC_m*SC_n*SC_b*SQRT(2*g_)*G65^1.5</f>
        <v>121.865905983913</v>
      </c>
      <c r="J65" s="32" t="n">
        <f aca="false">F65+I65</f>
        <v>258.291872957153</v>
      </c>
      <c r="K65" s="32" t="n">
        <f aca="false">F65</f>
        <v>136.42596697324</v>
      </c>
      <c r="L65" s="32" t="n">
        <f aca="false">C65*1000000/dt_s+J65/2</f>
        <v>14615.2570475897</v>
      </c>
      <c r="M65" s="32" t="n">
        <f aca="false">C65*1000000/dt_s+K65/2</f>
        <v>14554.3240945977</v>
      </c>
    </row>
    <row r="66" customFormat="false" ht="15" hidden="false" customHeight="false" outlineLevel="0" collapsed="false">
      <c r="A66" s="24" t="n">
        <f aca="false">ROUND(A65+0.1,2)</f>
        <v>77.1</v>
      </c>
      <c r="B66" s="25" t="n">
        <f aca="false">INDEX(Bang_F,MATCH(A66,Bang_Z,1))+(A66-INDEX(Bang_Z,MATCH(A66,Bang_Z,1)))*(INDEX(Bang_F,MATCH(A66,Bang_Z,1)+1)-INDEX(Bang_F,MATCH(A66,Bang_Z,1)))</f>
        <v>7.451</v>
      </c>
      <c r="C66" s="25" t="n">
        <f aca="false">INDEX(Bang_W,MATCH(A66,Bang_Z,1))+(A66-INDEX(Bang_Z,MATCH(A66,Bang_Z,1)))*(INDEX(Bang_F,MATCH(A66,Bang_Z,1))+B66)/2</f>
        <v>52.89255</v>
      </c>
      <c r="D66" s="26" t="n">
        <f aca="false">MAX(A66-TC_Z,0)</f>
        <v>2.39999999999999</v>
      </c>
      <c r="E66" s="27" t="n">
        <f aca="false">1-0.2*(TC_xmb+(TC_n-1)*TC_xmt)*D66/(TC_n*TC_b)</f>
        <v>0.904444444444445</v>
      </c>
      <c r="F66" s="28" t="n">
        <f aca="false">TC_s*E66*TC_m*TC_n*TC_b*SQRT(2*g_)*D66^1.5</f>
        <v>144.781984279243</v>
      </c>
      <c r="G66" s="29" t="n">
        <f aca="false">MAX(A66-SC_Z,0)</f>
        <v>6.09999999999999</v>
      </c>
      <c r="H66" s="30" t="n">
        <f aca="false">1-0.2*(SC_xmb+(SC_n-1)*SC_xmt)*G66/(SC_n*SC_b)</f>
        <v>0.8292</v>
      </c>
      <c r="I66" s="31" t="n">
        <f aca="false">SC_s*H66*SC_m*SC_n*SC_b*SQRT(2*g_)*G66^1.5</f>
        <v>124.504791565409</v>
      </c>
      <c r="J66" s="32" t="n">
        <f aca="false">F66+I66</f>
        <v>269.286775844652</v>
      </c>
      <c r="K66" s="32" t="n">
        <f aca="false">F66</f>
        <v>144.781984279243</v>
      </c>
      <c r="L66" s="32" t="n">
        <f aca="false">C66*1000000/dt_s+J66/2</f>
        <v>14827.0183879223</v>
      </c>
      <c r="M66" s="32" t="n">
        <f aca="false">C66*1000000/dt_s+K66/2</f>
        <v>14764.7659921396</v>
      </c>
    </row>
    <row r="67" customFormat="false" ht="15" hidden="false" customHeight="false" outlineLevel="0" collapsed="false">
      <c r="A67" s="24" t="n">
        <f aca="false">ROUND(A66+0.1,2)</f>
        <v>77.2</v>
      </c>
      <c r="B67" s="25" t="n">
        <f aca="false">INDEX(Bang_F,MATCH(A67,Bang_Z,1))+(A67-INDEX(Bang_Z,MATCH(A67,Bang_Z,1)))*(INDEX(Bang_F,MATCH(A67,Bang_Z,1)+1)-INDEX(Bang_F,MATCH(A67,Bang_Z,1)))</f>
        <v>7.502</v>
      </c>
      <c r="C67" s="25" t="n">
        <f aca="false">INDEX(Bang_W,MATCH(A67,Bang_Z,1))+(A67-INDEX(Bang_Z,MATCH(A67,Bang_Z,1)))*(INDEX(Bang_F,MATCH(A67,Bang_Z,1))+B67)/2</f>
        <v>53.6402</v>
      </c>
      <c r="D67" s="26" t="n">
        <f aca="false">MAX(A67-TC_Z,0)</f>
        <v>2.5</v>
      </c>
      <c r="E67" s="27" t="n">
        <f aca="false">1-0.2*(TC_xmb+(TC_n-1)*TC_xmt)*D67/(TC_n*TC_b)</f>
        <v>0.900462962962963</v>
      </c>
      <c r="F67" s="28" t="n">
        <f aca="false">TC_s*E67*TC_m*TC_n*TC_b*SQRT(2*g_)*D67^1.5</f>
        <v>153.246877396052</v>
      </c>
      <c r="G67" s="29" t="n">
        <f aca="false">MAX(A67-SC_Z,0)</f>
        <v>6.2</v>
      </c>
      <c r="H67" s="30" t="n">
        <f aca="false">1-0.2*(SC_xmb+(SC_n-1)*SC_xmt)*G67/(SC_n*SC_b)</f>
        <v>0.8264</v>
      </c>
      <c r="I67" s="31" t="n">
        <f aca="false">SC_s*H67*SC_m*SC_n*SC_b*SQRT(2*g_)*G67^1.5</f>
        <v>127.148096364715</v>
      </c>
      <c r="J67" s="32" t="n">
        <f aca="false">F67+I67</f>
        <v>280.394973760767</v>
      </c>
      <c r="K67" s="32" t="n">
        <f aca="false">F67</f>
        <v>153.246877396052</v>
      </c>
      <c r="L67" s="32" t="n">
        <f aca="false">C67*1000000/dt_s+J67/2</f>
        <v>15040.2530424359</v>
      </c>
      <c r="M67" s="32" t="n">
        <f aca="false">C67*1000000/dt_s+K67/2</f>
        <v>14976.6789942536</v>
      </c>
    </row>
    <row r="68" customFormat="false" ht="15" hidden="false" customHeight="false" outlineLevel="0" collapsed="false">
      <c r="A68" s="24" t="n">
        <f aca="false">ROUND(A67+0.1,2)</f>
        <v>77.3</v>
      </c>
      <c r="B68" s="25" t="n">
        <f aca="false">INDEX(Bang_F,MATCH(A68,Bang_Z,1))+(A68-INDEX(Bang_Z,MATCH(A68,Bang_Z,1)))*(INDEX(Bang_F,MATCH(A68,Bang_Z,1)+1)-INDEX(Bang_F,MATCH(A68,Bang_Z,1)))</f>
        <v>7.553</v>
      </c>
      <c r="C68" s="25" t="n">
        <f aca="false">INDEX(Bang_W,MATCH(A68,Bang_Z,1))+(A68-INDEX(Bang_Z,MATCH(A68,Bang_Z,1)))*(INDEX(Bang_F,MATCH(A68,Bang_Z,1))+B68)/2</f>
        <v>54.39295</v>
      </c>
      <c r="D68" s="26" t="n">
        <f aca="false">MAX(A68-TC_Z,0)</f>
        <v>2.59999999999999</v>
      </c>
      <c r="E68" s="27" t="n">
        <f aca="false">1-0.2*(TC_xmb+(TC_n-1)*TC_xmt)*D68/(TC_n*TC_b)</f>
        <v>0.896481481481482</v>
      </c>
      <c r="F68" s="28" t="n">
        <f aca="false">TC_s*E68*TC_m*TC_n*TC_b*SQRT(2*g_)*D68^1.5</f>
        <v>161.814379132626</v>
      </c>
      <c r="G68" s="29" t="n">
        <f aca="false">MAX(A68-SC_Z,0)</f>
        <v>6.3</v>
      </c>
      <c r="H68" s="30" t="n">
        <f aca="false">1-0.2*(SC_xmb+(SC_n-1)*SC_xmt)*G68/(SC_n*SC_b)</f>
        <v>0.8236</v>
      </c>
      <c r="I68" s="31" t="n">
        <f aca="false">SC_s*H68*SC_m*SC_n*SC_b*SQRT(2*g_)*G68^1.5</f>
        <v>129.795364312473</v>
      </c>
      <c r="J68" s="32" t="n">
        <f aca="false">F68+I68</f>
        <v>291.609743445099</v>
      </c>
      <c r="K68" s="32" t="n">
        <f aca="false">F68</f>
        <v>161.814379132626</v>
      </c>
      <c r="L68" s="32" t="n">
        <f aca="false">C68*1000000/dt_s+J68/2</f>
        <v>15254.9576495003</v>
      </c>
      <c r="M68" s="32" t="n">
        <f aca="false">C68*1000000/dt_s+K68/2</f>
        <v>15190.0599673441</v>
      </c>
    </row>
    <row r="69" customFormat="false" ht="15" hidden="false" customHeight="false" outlineLevel="0" collapsed="false">
      <c r="A69" s="24" t="n">
        <f aca="false">ROUND(A68+0.1,2)</f>
        <v>77.4</v>
      </c>
      <c r="B69" s="25" t="n">
        <f aca="false">INDEX(Bang_F,MATCH(A69,Bang_Z,1))+(A69-INDEX(Bang_Z,MATCH(A69,Bang_Z,1)))*(INDEX(Bang_F,MATCH(A69,Bang_Z,1)+1)-INDEX(Bang_F,MATCH(A69,Bang_Z,1)))</f>
        <v>7.604</v>
      </c>
      <c r="C69" s="25" t="n">
        <f aca="false">INDEX(Bang_W,MATCH(A69,Bang_Z,1))+(A69-INDEX(Bang_Z,MATCH(A69,Bang_Z,1)))*(INDEX(Bang_F,MATCH(A69,Bang_Z,1))+B69)/2</f>
        <v>55.1508</v>
      </c>
      <c r="D69" s="26" t="n">
        <f aca="false">MAX(A69-TC_Z,0)</f>
        <v>2.7</v>
      </c>
      <c r="E69" s="27" t="n">
        <f aca="false">1-0.2*(TC_xmb+(TC_n-1)*TC_xmt)*D69/(TC_n*TC_b)</f>
        <v>0.8925</v>
      </c>
      <c r="F69" s="28" t="n">
        <f aca="false">TC_s*E69*TC_m*TC_n*TC_b*SQRT(2*g_)*D69^1.5</f>
        <v>170.478508636859</v>
      </c>
      <c r="G69" s="29" t="n">
        <f aca="false">MAX(A69-SC_Z,0)</f>
        <v>6.40000000000001</v>
      </c>
      <c r="H69" s="30" t="n">
        <f aca="false">1-0.2*(SC_xmb+(SC_n-1)*SC_xmt)*G69/(SC_n*SC_b)</f>
        <v>0.8208</v>
      </c>
      <c r="I69" s="31" t="n">
        <f aca="false">SC_s*H69*SC_m*SC_n*SC_b*SQRT(2*g_)*G69^1.5</f>
        <v>132.44614689345</v>
      </c>
      <c r="J69" s="32" t="n">
        <f aca="false">F69+I69</f>
        <v>302.924655530309</v>
      </c>
      <c r="K69" s="32" t="n">
        <f aca="false">F69</f>
        <v>170.478508636859</v>
      </c>
      <c r="L69" s="32" t="n">
        <f aca="false">C69*1000000/dt_s+J69/2</f>
        <v>15471.1289944318</v>
      </c>
      <c r="M69" s="32" t="n">
        <f aca="false">C69*1000000/dt_s+K69/2</f>
        <v>15404.9059209851</v>
      </c>
    </row>
    <row r="70" customFormat="false" ht="15" hidden="false" customHeight="false" outlineLevel="0" collapsed="false">
      <c r="A70" s="24" t="n">
        <f aca="false">ROUND(A69+0.1,2)</f>
        <v>77.5</v>
      </c>
      <c r="B70" s="25" t="n">
        <f aca="false">INDEX(Bang_F,MATCH(A70,Bang_Z,1))+(A70-INDEX(Bang_Z,MATCH(A70,Bang_Z,1)))*(INDEX(Bang_F,MATCH(A70,Bang_Z,1)+1)-INDEX(Bang_F,MATCH(A70,Bang_Z,1)))</f>
        <v>7.655</v>
      </c>
      <c r="C70" s="25" t="n">
        <f aca="false">INDEX(Bang_W,MATCH(A70,Bang_Z,1))+(A70-INDEX(Bang_Z,MATCH(A70,Bang_Z,1)))*(INDEX(Bang_F,MATCH(A70,Bang_Z,1))+B70)/2</f>
        <v>55.91375</v>
      </c>
      <c r="D70" s="26" t="n">
        <f aca="false">MAX(A70-TC_Z,0)</f>
        <v>2.8</v>
      </c>
      <c r="E70" s="27" t="n">
        <f aca="false">1-0.2*(TC_xmb+(TC_n-1)*TC_xmt)*D70/(TC_n*TC_b)</f>
        <v>0.888518518518519</v>
      </c>
      <c r="F70" s="28" t="n">
        <f aca="false">TC_s*E70*TC_m*TC_n*TC_b*SQRT(2*g_)*D70^1.5</f>
        <v>179.233546085657</v>
      </c>
      <c r="G70" s="29" t="n">
        <f aca="false">MAX(A70-SC_Z,0)</f>
        <v>6.5</v>
      </c>
      <c r="H70" s="30" t="n">
        <f aca="false">1-0.2*(SC_xmb+(SC_n-1)*SC_xmt)*G70/(SC_n*SC_b)</f>
        <v>0.818</v>
      </c>
      <c r="I70" s="31" t="n">
        <f aca="false">SC_s*H70*SC_m*SC_n*SC_b*SQRT(2*g_)*G70^1.5</f>
        <v>135.10000287652</v>
      </c>
      <c r="J70" s="32" t="n">
        <f aca="false">F70+I70</f>
        <v>314.333548962176</v>
      </c>
      <c r="K70" s="32" t="n">
        <f aca="false">F70</f>
        <v>179.233546085657</v>
      </c>
      <c r="L70" s="32" t="n">
        <f aca="false">C70*1000000/dt_s+J70/2</f>
        <v>15688.7639967033</v>
      </c>
      <c r="M70" s="32" t="n">
        <f aca="false">C70*1000000/dt_s+K70/2</f>
        <v>15621.2139952651</v>
      </c>
    </row>
    <row r="71" customFormat="false" ht="15" hidden="false" customHeight="false" outlineLevel="0" collapsed="false">
      <c r="A71" s="24" t="n">
        <f aca="false">ROUND(A70+0.1,2)</f>
        <v>77.6</v>
      </c>
      <c r="B71" s="25" t="n">
        <f aca="false">INDEX(Bang_F,MATCH(A71,Bang_Z,1))+(A71-INDEX(Bang_Z,MATCH(A71,Bang_Z,1)))*(INDEX(Bang_F,MATCH(A71,Bang_Z,1)+1)-INDEX(Bang_F,MATCH(A71,Bang_Z,1)))</f>
        <v>7.706</v>
      </c>
      <c r="C71" s="25" t="n">
        <f aca="false">INDEX(Bang_W,MATCH(A71,Bang_Z,1))+(A71-INDEX(Bang_Z,MATCH(A71,Bang_Z,1)))*(INDEX(Bang_F,MATCH(A71,Bang_Z,1))+B71)/2</f>
        <v>56.6818</v>
      </c>
      <c r="D71" s="26" t="n">
        <f aca="false">MAX(A71-TC_Z,0)</f>
        <v>2.89999999999999</v>
      </c>
      <c r="E71" s="27" t="n">
        <f aca="false">1-0.2*(TC_xmb+(TC_n-1)*TC_xmt)*D71/(TC_n*TC_b)</f>
        <v>0.884537037037037</v>
      </c>
      <c r="F71" s="28" t="n">
        <f aca="false">TC_s*E71*TC_m*TC_n*TC_b*SQRT(2*g_)*D71^1.5</f>
        <v>188.074010491318</v>
      </c>
      <c r="G71" s="29" t="n">
        <f aca="false">MAX(A71-SC_Z,0)</f>
        <v>6.59999999999999</v>
      </c>
      <c r="H71" s="30" t="n">
        <f aca="false">1-0.2*(SC_xmb+(SC_n-1)*SC_xmt)*G71/(SC_n*SC_b)</f>
        <v>0.8152</v>
      </c>
      <c r="I71" s="31" t="n">
        <f aca="false">SC_s*H71*SC_m*SC_n*SC_b*SQRT(2*g_)*G71^1.5</f>
        <v>137.756498058636</v>
      </c>
      <c r="J71" s="32" t="n">
        <f aca="false">F71+I71</f>
        <v>325.830508549954</v>
      </c>
      <c r="K71" s="32" t="n">
        <f aca="false">F71</f>
        <v>188.074010491318</v>
      </c>
      <c r="L71" s="32" t="n">
        <f aca="false">C71*1000000/dt_s+J71/2</f>
        <v>15907.8596987194</v>
      </c>
      <c r="M71" s="32" t="n">
        <f aca="false">C71*1000000/dt_s+K71/2</f>
        <v>15838.9814496901</v>
      </c>
    </row>
    <row r="72" customFormat="false" ht="15" hidden="false" customHeight="false" outlineLevel="0" collapsed="false">
      <c r="A72" s="24" t="n">
        <f aca="false">ROUND(A71+0.1,2)</f>
        <v>77.7</v>
      </c>
      <c r="B72" s="25" t="n">
        <f aca="false">INDEX(Bang_F,MATCH(A72,Bang_Z,1))+(A72-INDEX(Bang_Z,MATCH(A72,Bang_Z,1)))*(INDEX(Bang_F,MATCH(A72,Bang_Z,1)+1)-INDEX(Bang_F,MATCH(A72,Bang_Z,1)))</f>
        <v>7.757</v>
      </c>
      <c r="C72" s="25" t="n">
        <f aca="false">INDEX(Bang_W,MATCH(A72,Bang_Z,1))+(A72-INDEX(Bang_Z,MATCH(A72,Bang_Z,1)))*(INDEX(Bang_F,MATCH(A72,Bang_Z,1))+B72)/2</f>
        <v>57.45495</v>
      </c>
      <c r="D72" s="26" t="n">
        <f aca="false">MAX(A72-TC_Z,0)</f>
        <v>3</v>
      </c>
      <c r="E72" s="27" t="n">
        <f aca="false">1-0.2*(TC_xmb+(TC_n-1)*TC_xmt)*D72/(TC_n*TC_b)</f>
        <v>0.880555555555556</v>
      </c>
      <c r="F72" s="28" t="n">
        <f aca="false">TC_s*E72*TC_m*TC_n*TC_b*SQRT(2*g_)*D72^1.5</f>
        <v>196.99464014267</v>
      </c>
      <c r="G72" s="29" t="n">
        <f aca="false">MAX(A72-SC_Z,0)</f>
        <v>6.7</v>
      </c>
      <c r="H72" s="30" t="n">
        <f aca="false">1-0.2*(SC_xmb+(SC_n-1)*SC_xmt)*G72/(SC_n*SC_b)</f>
        <v>0.8124</v>
      </c>
      <c r="I72" s="31" t="n">
        <f aca="false">SC_s*H72*SC_m*SC_n*SC_b*SQRT(2*g_)*G72^1.5</f>
        <v>140.415205021859</v>
      </c>
      <c r="J72" s="32" t="n">
        <f aca="false">F72+I72</f>
        <v>337.409845164529</v>
      </c>
      <c r="K72" s="32" t="n">
        <f aca="false">F72</f>
        <v>196.99464014267</v>
      </c>
      <c r="L72" s="32" t="n">
        <f aca="false">C72*1000000/dt_s+J72/2</f>
        <v>16128.4132559156</v>
      </c>
      <c r="M72" s="32" t="n">
        <f aca="false">C72*1000000/dt_s+K72/2</f>
        <v>16058.2056534047</v>
      </c>
    </row>
    <row r="73" customFormat="false" ht="15" hidden="false" customHeight="false" outlineLevel="0" collapsed="false">
      <c r="A73" s="24" t="n">
        <f aca="false">ROUND(A72+0.1,2)</f>
        <v>77.8</v>
      </c>
      <c r="B73" s="25" t="n">
        <f aca="false">INDEX(Bang_F,MATCH(A73,Bang_Z,1))+(A73-INDEX(Bang_Z,MATCH(A73,Bang_Z,1)))*(INDEX(Bang_F,MATCH(A73,Bang_Z,1)+1)-INDEX(Bang_F,MATCH(A73,Bang_Z,1)))</f>
        <v>7.808</v>
      </c>
      <c r="C73" s="25" t="n">
        <f aca="false">INDEX(Bang_W,MATCH(A73,Bang_Z,1))+(A73-INDEX(Bang_Z,MATCH(A73,Bang_Z,1)))*(INDEX(Bang_F,MATCH(A73,Bang_Z,1))+B73)/2</f>
        <v>58.2332</v>
      </c>
      <c r="D73" s="26" t="n">
        <f aca="false">MAX(A73-TC_Z,0)</f>
        <v>3.09999999999999</v>
      </c>
      <c r="E73" s="27" t="n">
        <f aca="false">1-0.2*(TC_xmb+(TC_n-1)*TC_xmt)*D73/(TC_n*TC_b)</f>
        <v>0.876574074074074</v>
      </c>
      <c r="F73" s="28" t="n">
        <f aca="false">TC_s*E73*TC_m*TC_n*TC_b*SQRT(2*g_)*D73^1.5</f>
        <v>205.990375287798</v>
      </c>
      <c r="G73" s="29" t="n">
        <f aca="false">MAX(A73-SC_Z,0)</f>
        <v>6.8</v>
      </c>
      <c r="H73" s="30" t="n">
        <f aca="false">1-0.2*(SC_xmb+(SC_n-1)*SC_xmt)*G73/(SC_n*SC_b)</f>
        <v>0.8096</v>
      </c>
      <c r="I73" s="31" t="n">
        <f aca="false">SC_s*H73*SC_m*SC_n*SC_b*SQRT(2*g_)*G73^1.5</f>
        <v>143.075702902579</v>
      </c>
      <c r="J73" s="32" t="n">
        <f aca="false">F73+I73</f>
        <v>349.066078190377</v>
      </c>
      <c r="K73" s="32" t="n">
        <f aca="false">F73</f>
        <v>205.990375287798</v>
      </c>
      <c r="L73" s="32" t="n">
        <f aca="false">C73*1000000/dt_s+J73/2</f>
        <v>16350.4219279841</v>
      </c>
      <c r="M73" s="32" t="n">
        <f aca="false">C73*1000000/dt_s+K73/2</f>
        <v>16278.8840765328</v>
      </c>
    </row>
    <row r="74" customFormat="false" ht="15" hidden="false" customHeight="false" outlineLevel="0" collapsed="false">
      <c r="A74" s="24" t="n">
        <f aca="false">ROUND(A73+0.1,2)</f>
        <v>77.9</v>
      </c>
      <c r="B74" s="25" t="n">
        <f aca="false">INDEX(Bang_F,MATCH(A74,Bang_Z,1))+(A74-INDEX(Bang_Z,MATCH(A74,Bang_Z,1)))*(INDEX(Bang_F,MATCH(A74,Bang_Z,1)+1)-INDEX(Bang_F,MATCH(A74,Bang_Z,1)))</f>
        <v>7.859</v>
      </c>
      <c r="C74" s="25" t="n">
        <f aca="false">INDEX(Bang_W,MATCH(A74,Bang_Z,1))+(A74-INDEX(Bang_Z,MATCH(A74,Bang_Z,1)))*(INDEX(Bang_F,MATCH(A74,Bang_Z,1))+B74)/2</f>
        <v>59.01655</v>
      </c>
      <c r="D74" s="26" t="n">
        <f aca="false">MAX(A74-TC_Z,0)</f>
        <v>3.2</v>
      </c>
      <c r="E74" s="27" t="n">
        <f aca="false">1-0.2*(TC_xmb+(TC_n-1)*TC_xmt)*D74/(TC_n*TC_b)</f>
        <v>0.872592592592593</v>
      </c>
      <c r="F74" s="28" t="n">
        <f aca="false">TC_s*E74*TC_m*TC_n*TC_b*SQRT(2*g_)*D74^1.5</f>
        <v>215.056342734965</v>
      </c>
      <c r="G74" s="29" t="n">
        <f aca="false">MAX(A74-SC_Z,0)</f>
        <v>6.90000000000001</v>
      </c>
      <c r="H74" s="30" t="n">
        <f aca="false">1-0.2*(SC_xmb+(SC_n-1)*SC_xmt)*G74/(SC_n*SC_b)</f>
        <v>0.8068</v>
      </c>
      <c r="I74" s="31" t="n">
        <f aca="false">SC_s*H74*SC_m*SC_n*SC_b*SQRT(2*g_)*G74^1.5</f>
        <v>145.737577172147</v>
      </c>
      <c r="J74" s="32" t="n">
        <f aca="false">F74+I74</f>
        <v>360.793919907112</v>
      </c>
      <c r="K74" s="32" t="n">
        <f aca="false">F74</f>
        <v>215.056342734965</v>
      </c>
      <c r="L74" s="32" t="n">
        <f aca="false">C74*1000000/dt_s+J74/2</f>
        <v>16573.8830710647</v>
      </c>
      <c r="M74" s="32" t="n">
        <f aca="false">C74*1000000/dt_s+K74/2</f>
        <v>16501.0142824786</v>
      </c>
    </row>
    <row r="75" customFormat="false" ht="15" hidden="false" customHeight="false" outlineLevel="0" collapsed="false">
      <c r="A75" s="24" t="n">
        <f aca="false">ROUND(A74+0.1,2)</f>
        <v>78</v>
      </c>
      <c r="B75" s="25" t="n">
        <f aca="false">INDEX(Bang_F,MATCH(A75,Bang_Z,1))+(A75-INDEX(Bang_Z,MATCH(A75,Bang_Z,1)))*(INDEX(Bang_F,MATCH(A75,Bang_Z,1)+1)-INDEX(Bang_F,MATCH(A75,Bang_Z,1)))</f>
        <v>7.91</v>
      </c>
      <c r="C75" s="25" t="n">
        <f aca="false">INDEX(Bang_W,MATCH(A75,Bang_Z,1))+(A75-INDEX(Bang_Z,MATCH(A75,Bang_Z,1)))*(INDEX(Bang_F,MATCH(A75,Bang_Z,1))+B75)/2</f>
        <v>59.805</v>
      </c>
      <c r="D75" s="26" t="n">
        <f aca="false">MAX(A75-TC_Z,0)</f>
        <v>3.3</v>
      </c>
      <c r="E75" s="27" t="n">
        <f aca="false">1-0.2*(TC_xmb+(TC_n-1)*TC_xmt)*D75/(TC_n*TC_b)</f>
        <v>0.868611111111111</v>
      </c>
      <c r="F75" s="28" t="n">
        <f aca="false">TC_s*E75*TC_m*TC_n*TC_b*SQRT(2*g_)*D75^1.5</f>
        <v>224.187842103828</v>
      </c>
      <c r="G75" s="29" t="n">
        <f aca="false">MAX(A75-SC_Z,0)</f>
        <v>7</v>
      </c>
      <c r="H75" s="30" t="n">
        <f aca="false">1-0.2*(SC_xmb+(SC_n-1)*SC_xmt)*G75/(SC_n*SC_b)</f>
        <v>0.804</v>
      </c>
      <c r="I75" s="31" t="n">
        <f aca="false">SC_s*H75*SC_m*SC_n*SC_b*SQRT(2*g_)*G75^1.5</f>
        <v>148.400419428181</v>
      </c>
      <c r="J75" s="32" t="n">
        <f aca="false">F75+I75</f>
        <v>372.588261532008</v>
      </c>
      <c r="K75" s="32" t="n">
        <f aca="false">F75</f>
        <v>224.187842103828</v>
      </c>
      <c r="L75" s="32" t="n">
        <f aca="false">C75*1000000/dt_s+J75/2</f>
        <v>16798.794130766</v>
      </c>
      <c r="M75" s="32" t="n">
        <f aca="false">C75*1000000/dt_s+K75/2</f>
        <v>16724.5939210519</v>
      </c>
    </row>
    <row r="76" customFormat="false" ht="15" hidden="false" customHeight="false" outlineLevel="0" collapsed="false">
      <c r="A76" s="24" t="n">
        <f aca="false">ROUND(A75+0.1,2)</f>
        <v>78.1</v>
      </c>
      <c r="B76" s="25" t="n">
        <f aca="false">INDEX(Bang_F,MATCH(A76,Bang_Z,1))+(A76-INDEX(Bang_Z,MATCH(A76,Bang_Z,1)))*(INDEX(Bang_F,MATCH(A76,Bang_Z,1)+1)-INDEX(Bang_F,MATCH(A76,Bang_Z,1)))</f>
        <v>7.962</v>
      </c>
      <c r="C76" s="25" t="n">
        <f aca="false">INDEX(Bang_W,MATCH(A76,Bang_Z,1))+(A76-INDEX(Bang_Z,MATCH(A76,Bang_Z,1)))*(INDEX(Bang_F,MATCH(A76,Bang_Z,1))+B76)/2</f>
        <v>60.5986</v>
      </c>
      <c r="D76" s="26" t="n">
        <f aca="false">MAX(A76-TC_Z,0)</f>
        <v>3.39999999999999</v>
      </c>
      <c r="E76" s="27" t="n">
        <f aca="false">1-0.2*(TC_xmb+(TC_n-1)*TC_xmt)*D76/(TC_n*TC_b)</f>
        <v>0.86462962962963</v>
      </c>
      <c r="F76" s="28" t="n">
        <f aca="false">TC_s*E76*TC_m*TC_n*TC_b*SQRT(2*g_)*D76^1.5</f>
        <v>233.380333503697</v>
      </c>
      <c r="G76" s="29" t="n">
        <f aca="false">MAX(A76-SC_Z,0)</f>
        <v>7.09999999999999</v>
      </c>
      <c r="H76" s="30" t="n">
        <f aca="false">1-0.2*(SC_xmb+(SC_n-1)*SC_xmt)*G76/(SC_n*SC_b)</f>
        <v>0.8012</v>
      </c>
      <c r="I76" s="31" t="n">
        <f aca="false">SC_s*H76*SC_m*SC_n*SC_b*SQRT(2*g_)*G76^1.5</f>
        <v>151.063827195888</v>
      </c>
      <c r="J76" s="32" t="n">
        <f aca="false">F76+I76</f>
        <v>384.444160699586</v>
      </c>
      <c r="K76" s="32" t="n">
        <f aca="false">F76</f>
        <v>233.380333503697</v>
      </c>
      <c r="L76" s="32" t="n">
        <f aca="false">C76*1000000/dt_s+J76/2</f>
        <v>17025.1665247942</v>
      </c>
      <c r="M76" s="32" t="n">
        <f aca="false">C76*1000000/dt_s+K76/2</f>
        <v>16949.6346111963</v>
      </c>
    </row>
    <row r="77" customFormat="false" ht="15" hidden="false" customHeight="false" outlineLevel="0" collapsed="false">
      <c r="A77" s="24" t="n">
        <f aca="false">ROUND(A76+0.1,2)</f>
        <v>78.2</v>
      </c>
      <c r="B77" s="25" t="n">
        <f aca="false">INDEX(Bang_F,MATCH(A77,Bang_Z,1))+(A77-INDEX(Bang_Z,MATCH(A77,Bang_Z,1)))*(INDEX(Bang_F,MATCH(A77,Bang_Z,1)+1)-INDEX(Bang_F,MATCH(A77,Bang_Z,1)))</f>
        <v>8.014</v>
      </c>
      <c r="C77" s="25" t="n">
        <f aca="false">INDEX(Bang_W,MATCH(A77,Bang_Z,1))+(A77-INDEX(Bang_Z,MATCH(A77,Bang_Z,1)))*(INDEX(Bang_F,MATCH(A77,Bang_Z,1))+B77)/2</f>
        <v>61.3974</v>
      </c>
      <c r="D77" s="26" t="n">
        <f aca="false">MAX(A77-TC_Z,0)</f>
        <v>3.5</v>
      </c>
      <c r="E77" s="27" t="n">
        <f aca="false">1-0.2*(TC_xmb+(TC_n-1)*TC_xmt)*D77/(TC_n*TC_b)</f>
        <v>0.860648148148148</v>
      </c>
      <c r="F77" s="28" t="n">
        <f aca="false">TC_s*E77*TC_m*TC_n*TC_b*SQRT(2*g_)*D77^1.5</f>
        <v>242.629426451589</v>
      </c>
      <c r="G77" s="29" t="n">
        <f aca="false">MAX(A77-SC_Z,0)</f>
        <v>7.2</v>
      </c>
      <c r="H77" s="30" t="n">
        <f aca="false">1-0.2*(SC_xmb+(SC_n-1)*SC_xmt)*G77/(SC_n*SC_b)</f>
        <v>0.7984</v>
      </c>
      <c r="I77" s="31" t="n">
        <f aca="false">SC_s*H77*SC_m*SC_n*SC_b*SQRT(2*g_)*G77^1.5</f>
        <v>153.727403738762</v>
      </c>
      <c r="J77" s="32" t="n">
        <f aca="false">F77+I77</f>
        <v>396.356830190351</v>
      </c>
      <c r="K77" s="32" t="n">
        <f aca="false">F77</f>
        <v>242.629426451589</v>
      </c>
      <c r="L77" s="32" t="n">
        <f aca="false">C77*1000000/dt_s+J77/2</f>
        <v>17253.0117484285</v>
      </c>
      <c r="M77" s="32" t="n">
        <f aca="false">C77*1000000/dt_s+K77/2</f>
        <v>17176.1480465591</v>
      </c>
    </row>
    <row r="78" customFormat="false" ht="15" hidden="false" customHeight="false" outlineLevel="0" collapsed="false">
      <c r="A78" s="24" t="n">
        <f aca="false">ROUND(A77+0.1,2)</f>
        <v>78.3</v>
      </c>
      <c r="B78" s="25" t="n">
        <f aca="false">INDEX(Bang_F,MATCH(A78,Bang_Z,1))+(A78-INDEX(Bang_Z,MATCH(A78,Bang_Z,1)))*(INDEX(Bang_F,MATCH(A78,Bang_Z,1)+1)-INDEX(Bang_F,MATCH(A78,Bang_Z,1)))</f>
        <v>8.066</v>
      </c>
      <c r="C78" s="25" t="n">
        <f aca="false">INDEX(Bang_W,MATCH(A78,Bang_Z,1))+(A78-INDEX(Bang_Z,MATCH(A78,Bang_Z,1)))*(INDEX(Bang_F,MATCH(A78,Bang_Z,1))+B78)/2</f>
        <v>62.2014</v>
      </c>
      <c r="D78" s="26" t="n">
        <f aca="false">MAX(A78-TC_Z,0)</f>
        <v>3.59999999999999</v>
      </c>
      <c r="E78" s="27" t="n">
        <f aca="false">1-0.2*(TC_xmb+(TC_n-1)*TC_xmt)*D78/(TC_n*TC_b)</f>
        <v>0.856666666666667</v>
      </c>
      <c r="F78" s="28" t="n">
        <f aca="false">TC_s*E78*TC_m*TC_n*TC_b*SQRT(2*g_)*D78^1.5</f>
        <v>251.930869872162</v>
      </c>
      <c r="G78" s="29" t="n">
        <f aca="false">MAX(A78-SC_Z,0)</f>
        <v>7.3</v>
      </c>
      <c r="H78" s="30" t="n">
        <f aca="false">1-0.2*(SC_xmb+(SC_n-1)*SC_xmt)*G78/(SC_n*SC_b)</f>
        <v>0.7956</v>
      </c>
      <c r="I78" s="31" t="n">
        <f aca="false">SC_s*H78*SC_m*SC_n*SC_b*SQRT(2*g_)*G78^1.5</f>
        <v>156.3907578781</v>
      </c>
      <c r="J78" s="32" t="n">
        <f aca="false">F78+I78</f>
        <v>408.321627750262</v>
      </c>
      <c r="K78" s="32" t="n">
        <f aca="false">F78</f>
        <v>251.930869872162</v>
      </c>
      <c r="L78" s="32" t="n">
        <f aca="false">C78*1000000/dt_s+J78/2</f>
        <v>17482.3274805418</v>
      </c>
      <c r="M78" s="32" t="n">
        <f aca="false">C78*1000000/dt_s+K78/2</f>
        <v>17404.1321016027</v>
      </c>
    </row>
    <row r="79" customFormat="false" ht="15" hidden="false" customHeight="false" outlineLevel="0" collapsed="false">
      <c r="A79" s="24" t="n">
        <f aca="false">ROUND(A78+0.1,2)</f>
        <v>78.4</v>
      </c>
      <c r="B79" s="25" t="n">
        <f aca="false">INDEX(Bang_F,MATCH(A79,Bang_Z,1))+(A79-INDEX(Bang_Z,MATCH(A79,Bang_Z,1)))*(INDEX(Bang_F,MATCH(A79,Bang_Z,1)+1)-INDEX(Bang_F,MATCH(A79,Bang_Z,1)))</f>
        <v>8.118</v>
      </c>
      <c r="C79" s="25" t="n">
        <f aca="false">INDEX(Bang_W,MATCH(A79,Bang_Z,1))+(A79-INDEX(Bang_Z,MATCH(A79,Bang_Z,1)))*(INDEX(Bang_F,MATCH(A79,Bang_Z,1))+B79)/2</f>
        <v>63.0106</v>
      </c>
      <c r="D79" s="26" t="n">
        <f aca="false">MAX(A79-TC_Z,0)</f>
        <v>3.7</v>
      </c>
      <c r="E79" s="27" t="n">
        <f aca="false">1-0.2*(TC_xmb+(TC_n-1)*TC_xmt)*D79/(TC_n*TC_b)</f>
        <v>0.852685185185185</v>
      </c>
      <c r="F79" s="28" t="n">
        <f aca="false">TC_s*E79*TC_m*TC_n*TC_b*SQRT(2*g_)*D79^1.5</f>
        <v>261.280543045733</v>
      </c>
      <c r="G79" s="29" t="n">
        <f aca="false">MAX(A79-SC_Z,0)</f>
        <v>7.40000000000001</v>
      </c>
      <c r="H79" s="30" t="n">
        <f aca="false">1-0.2*(SC_xmb+(SC_n-1)*SC_xmt)*G79/(SC_n*SC_b)</f>
        <v>0.7928</v>
      </c>
      <c r="I79" s="31" t="n">
        <f aca="false">SC_s*H79*SC_m*SC_n*SC_b*SQRT(2*g_)*G79^1.5</f>
        <v>159.053503820805</v>
      </c>
      <c r="J79" s="32" t="n">
        <f aca="false">F79+I79</f>
        <v>420.334046866538</v>
      </c>
      <c r="K79" s="32" t="n">
        <f aca="false">F79</f>
        <v>261.280543045733</v>
      </c>
      <c r="L79" s="32" t="n">
        <f aca="false">C79*1000000/dt_s+J79/2</f>
        <v>17713.1114678777</v>
      </c>
      <c r="M79" s="32" t="n">
        <f aca="false">C79*1000000/dt_s+K79/2</f>
        <v>17633.5847159673</v>
      </c>
    </row>
    <row r="80" customFormat="false" ht="15" hidden="false" customHeight="false" outlineLevel="0" collapsed="false">
      <c r="A80" s="24" t="n">
        <f aca="false">ROUND(A79+0.1,2)</f>
        <v>78.5</v>
      </c>
      <c r="B80" s="25" t="n">
        <f aca="false">INDEX(Bang_F,MATCH(A80,Bang_Z,1))+(A80-INDEX(Bang_Z,MATCH(A80,Bang_Z,1)))*(INDEX(Bang_F,MATCH(A80,Bang_Z,1)+1)-INDEX(Bang_F,MATCH(A80,Bang_Z,1)))</f>
        <v>8.17</v>
      </c>
      <c r="C80" s="25" t="n">
        <f aca="false">INDEX(Bang_W,MATCH(A80,Bang_Z,1))+(A80-INDEX(Bang_Z,MATCH(A80,Bang_Z,1)))*(INDEX(Bang_F,MATCH(A80,Bang_Z,1))+B80)/2</f>
        <v>63.825</v>
      </c>
      <c r="D80" s="26" t="n">
        <f aca="false">MAX(A80-TC_Z,0)</f>
        <v>3.8</v>
      </c>
      <c r="E80" s="27" t="n">
        <f aca="false">1-0.2*(TC_xmb+(TC_n-1)*TC_xmt)*D80/(TC_n*TC_b)</f>
        <v>0.848703703703704</v>
      </c>
      <c r="F80" s="28" t="n">
        <f aca="false">TC_s*E80*TC_m*TC_n*TC_b*SQRT(2*g_)*D80^1.5</f>
        <v>270.674447390284</v>
      </c>
      <c r="G80" s="29" t="n">
        <f aca="false">MAX(A80-SC_Z,0)</f>
        <v>7.5</v>
      </c>
      <c r="H80" s="30" t="n">
        <f aca="false">1-0.2*(SC_xmb+(SC_n-1)*SC_xmt)*G80/(SC_n*SC_b)</f>
        <v>0.79</v>
      </c>
      <c r="I80" s="31" t="n">
        <f aca="false">SC_s*H80*SC_m*SC_n*SC_b*SQRT(2*g_)*G80^1.5</f>
        <v>161.715260994972</v>
      </c>
      <c r="J80" s="32" t="n">
        <f aca="false">F80+I80</f>
        <v>432.389708385256</v>
      </c>
      <c r="K80" s="32" t="n">
        <f aca="false">F80</f>
        <v>270.674447390284</v>
      </c>
      <c r="L80" s="32" t="n">
        <f aca="false">C80*1000000/dt_s+J80/2</f>
        <v>17945.3615208593</v>
      </c>
      <c r="M80" s="32" t="n">
        <f aca="false">C80*1000000/dt_s+K80/2</f>
        <v>17864.5038903618</v>
      </c>
    </row>
    <row r="81" customFormat="false" ht="15" hidden="false" customHeight="false" outlineLevel="0" collapsed="false">
      <c r="A81" s="24" t="n">
        <f aca="false">ROUND(A80+0.1,2)</f>
        <v>78.6</v>
      </c>
      <c r="B81" s="25" t="n">
        <f aca="false">INDEX(Bang_F,MATCH(A81,Bang_Z,1))+(A81-INDEX(Bang_Z,MATCH(A81,Bang_Z,1)))*(INDEX(Bang_F,MATCH(A81,Bang_Z,1)+1)-INDEX(Bang_F,MATCH(A81,Bang_Z,1)))</f>
        <v>8.222</v>
      </c>
      <c r="C81" s="25" t="n">
        <f aca="false">INDEX(Bang_W,MATCH(A81,Bang_Z,1))+(A81-INDEX(Bang_Z,MATCH(A81,Bang_Z,1)))*(INDEX(Bang_F,MATCH(A81,Bang_Z,1))+B81)/2</f>
        <v>64.6446</v>
      </c>
      <c r="D81" s="26" t="n">
        <f aca="false">MAX(A81-TC_Z,0)</f>
        <v>3.89999999999999</v>
      </c>
      <c r="E81" s="27" t="n">
        <f aca="false">1-0.2*(TC_xmb+(TC_n-1)*TC_xmt)*D81/(TC_n*TC_b)</f>
        <v>0.844722222222223</v>
      </c>
      <c r="F81" s="28" t="n">
        <f aca="false">TC_s*E81*TC_m*TC_n*TC_b*SQRT(2*g_)*D81^1.5</f>
        <v>280.108698979907</v>
      </c>
      <c r="G81" s="29" t="n">
        <f aca="false">MAX(A81-SC_Z,0)</f>
        <v>7.59999999999999</v>
      </c>
      <c r="H81" s="30" t="n">
        <f aca="false">1-0.2*(SC_xmb+(SC_n-1)*SC_xmt)*G81/(SC_n*SC_b)</f>
        <v>0.7872</v>
      </c>
      <c r="I81" s="31" t="n">
        <f aca="false">SC_s*H81*SC_m*SC_n*SC_b*SQRT(2*g_)*G81^1.5</f>
        <v>164.375653892816</v>
      </c>
      <c r="J81" s="32" t="n">
        <f aca="false">F81+I81</f>
        <v>444.484352872723</v>
      </c>
      <c r="K81" s="32" t="n">
        <f aca="false">F81</f>
        <v>280.108698979907</v>
      </c>
      <c r="L81" s="32" t="n">
        <f aca="false">C81*1000000/dt_s+J81/2</f>
        <v>18179.0755097697</v>
      </c>
      <c r="M81" s="32" t="n">
        <f aca="false">C81*1000000/dt_s+K81/2</f>
        <v>18096.8876828233</v>
      </c>
    </row>
    <row r="82" customFormat="false" ht="15" hidden="false" customHeight="false" outlineLevel="0" collapsed="false">
      <c r="A82" s="24" t="n">
        <f aca="false">ROUND(A81+0.1,2)</f>
        <v>78.7</v>
      </c>
      <c r="B82" s="25" t="n">
        <f aca="false">INDEX(Bang_F,MATCH(A82,Bang_Z,1))+(A82-INDEX(Bang_Z,MATCH(A82,Bang_Z,1)))*(INDEX(Bang_F,MATCH(A82,Bang_Z,1)+1)-INDEX(Bang_F,MATCH(A82,Bang_Z,1)))</f>
        <v>8.274</v>
      </c>
      <c r="C82" s="25" t="n">
        <f aca="false">INDEX(Bang_W,MATCH(A82,Bang_Z,1))+(A82-INDEX(Bang_Z,MATCH(A82,Bang_Z,1)))*(INDEX(Bang_F,MATCH(A82,Bang_Z,1))+B82)/2</f>
        <v>65.4694</v>
      </c>
      <c r="D82" s="26" t="n">
        <f aca="false">MAX(A82-TC_Z,0)</f>
        <v>4</v>
      </c>
      <c r="E82" s="27" t="n">
        <f aca="false">1-0.2*(TC_xmb+(TC_n-1)*TC_xmt)*D82/(TC_n*TC_b)</f>
        <v>0.840740740740741</v>
      </c>
      <c r="F82" s="28" t="n">
        <f aca="false">TC_s*E82*TC_m*TC_n*TC_b*SQRT(2*g_)*D82^1.5</f>
        <v>289.579521715746</v>
      </c>
      <c r="G82" s="29" t="n">
        <f aca="false">MAX(A82-SC_Z,0)</f>
        <v>7.7</v>
      </c>
      <c r="H82" s="30" t="n">
        <f aca="false">1-0.2*(SC_xmb+(SC_n-1)*SC_xmt)*G82/(SC_n*SC_b)</f>
        <v>0.7844</v>
      </c>
      <c r="I82" s="31" t="n">
        <f aca="false">SC_s*H82*SC_m*SC_n*SC_b*SQRT(2*g_)*G82^1.5</f>
        <v>167.034311920506</v>
      </c>
      <c r="J82" s="32" t="n">
        <f aca="false">F82+I82</f>
        <v>456.613833636252</v>
      </c>
      <c r="K82" s="32" t="n">
        <f aca="false">F82</f>
        <v>289.579521715746</v>
      </c>
      <c r="L82" s="32" t="n">
        <f aca="false">C82*1000000/dt_s+J82/2</f>
        <v>18414.2513612626</v>
      </c>
      <c r="M82" s="32" t="n">
        <f aca="false">C82*1000000/dt_s+K82/2</f>
        <v>18330.7342053023</v>
      </c>
    </row>
    <row r="83" customFormat="false" ht="15" hidden="false" customHeight="false" outlineLevel="0" collapsed="false">
      <c r="A83" s="24" t="n">
        <f aca="false">ROUND(A82+0.1,2)</f>
        <v>78.8</v>
      </c>
      <c r="B83" s="25" t="n">
        <f aca="false">INDEX(Bang_F,MATCH(A83,Bang_Z,1))+(A83-INDEX(Bang_Z,MATCH(A83,Bang_Z,1)))*(INDEX(Bang_F,MATCH(A83,Bang_Z,1)+1)-INDEX(Bang_F,MATCH(A83,Bang_Z,1)))</f>
        <v>8.326</v>
      </c>
      <c r="C83" s="25" t="n">
        <f aca="false">INDEX(Bang_W,MATCH(A83,Bang_Z,1))+(A83-INDEX(Bang_Z,MATCH(A83,Bang_Z,1)))*(INDEX(Bang_F,MATCH(A83,Bang_Z,1))+B83)/2</f>
        <v>66.2994</v>
      </c>
      <c r="D83" s="26" t="n">
        <f aca="false">MAX(A83-TC_Z,0)</f>
        <v>4.09999999999999</v>
      </c>
      <c r="E83" s="27" t="n">
        <f aca="false">1-0.2*(TC_xmb+(TC_n-1)*TC_xmt)*D83/(TC_n*TC_b)</f>
        <v>0.836759259259259</v>
      </c>
      <c r="F83" s="28" t="n">
        <f aca="false">TC_s*E83*TC_m*TC_n*TC_b*SQRT(2*g_)*D83^1.5</f>
        <v>299.083241077021</v>
      </c>
      <c r="G83" s="29" t="n">
        <f aca="false">MAX(A83-SC_Z,0)</f>
        <v>7.8</v>
      </c>
      <c r="H83" s="30" t="n">
        <f aca="false">1-0.2*(SC_xmb+(SC_n-1)*SC_xmt)*G83/(SC_n*SC_b)</f>
        <v>0.7816</v>
      </c>
      <c r="I83" s="31" t="n">
        <f aca="false">SC_s*H83*SC_m*SC_n*SC_b*SQRT(2*g_)*G83^1.5</f>
        <v>169.690869254516</v>
      </c>
      <c r="J83" s="32" t="n">
        <f aca="false">F83+I83</f>
        <v>468.774110331538</v>
      </c>
      <c r="K83" s="32" t="n">
        <f aca="false">F83</f>
        <v>299.083241077021</v>
      </c>
      <c r="L83" s="32" t="n">
        <f aca="false">C83*1000000/dt_s+J83/2</f>
        <v>18650.8870551658</v>
      </c>
      <c r="M83" s="32" t="n">
        <f aca="false">C83*1000000/dt_s+K83/2</f>
        <v>18566.0416205385</v>
      </c>
    </row>
    <row r="84" customFormat="false" ht="15" hidden="false" customHeight="false" outlineLevel="0" collapsed="false">
      <c r="A84" s="24" t="n">
        <f aca="false">ROUND(A83+0.1,2)</f>
        <v>78.9</v>
      </c>
      <c r="B84" s="25" t="n">
        <f aca="false">INDEX(Bang_F,MATCH(A84,Bang_Z,1))+(A84-INDEX(Bang_Z,MATCH(A84,Bang_Z,1)))*(INDEX(Bang_F,MATCH(A84,Bang_Z,1)+1)-INDEX(Bang_F,MATCH(A84,Bang_Z,1)))</f>
        <v>8.378</v>
      </c>
      <c r="C84" s="25" t="n">
        <f aca="false">INDEX(Bang_W,MATCH(A84,Bang_Z,1))+(A84-INDEX(Bang_Z,MATCH(A84,Bang_Z,1)))*(INDEX(Bang_F,MATCH(A84,Bang_Z,1))+B84)/2</f>
        <v>67.1346000000001</v>
      </c>
      <c r="D84" s="26" t="n">
        <f aca="false">MAX(A84-TC_Z,0)</f>
        <v>4.2</v>
      </c>
      <c r="E84" s="27" t="n">
        <f aca="false">1-0.2*(TC_xmb+(TC_n-1)*TC_xmt)*D84/(TC_n*TC_b)</f>
        <v>0.832777777777778</v>
      </c>
      <c r="F84" s="28" t="n">
        <f aca="false">TC_s*E84*TC_m*TC_n*TC_b*SQRT(2*g_)*D84^1.5</f>
        <v>308.61627838936</v>
      </c>
      <c r="G84" s="29" t="n">
        <f aca="false">MAX(A84-SC_Z,0)</f>
        <v>7.90000000000001</v>
      </c>
      <c r="H84" s="30" t="n">
        <f aca="false">1-0.2*(SC_xmb+(SC_n-1)*SC_xmt)*G84/(SC_n*SC_b)</f>
        <v>0.7788</v>
      </c>
      <c r="I84" s="31" t="n">
        <f aca="false">SC_s*H84*SC_m*SC_n*SC_b*SQRT(2*g_)*G84^1.5</f>
        <v>172.344964704131</v>
      </c>
      <c r="J84" s="32" t="n">
        <f aca="false">F84+I84</f>
        <v>480.961243093491</v>
      </c>
      <c r="K84" s="32" t="n">
        <f aca="false">F84</f>
        <v>308.61627838936</v>
      </c>
      <c r="L84" s="32" t="n">
        <f aca="false">C84*1000000/dt_s+J84/2</f>
        <v>18888.9806215468</v>
      </c>
      <c r="M84" s="32" t="n">
        <f aca="false">C84*1000000/dt_s+K84/2</f>
        <v>18802.8081391947</v>
      </c>
    </row>
    <row r="85" customFormat="false" ht="15" hidden="false" customHeight="false" outlineLevel="0" collapsed="false">
      <c r="A85" s="24" t="n">
        <f aca="false">ROUND(A84+0.1,2)</f>
        <v>79</v>
      </c>
      <c r="B85" s="25" t="n">
        <f aca="false">INDEX(Bang_F,MATCH(A85,Bang_Z,1))+(A85-INDEX(Bang_Z,MATCH(A85,Bang_Z,1)))*(INDEX(Bang_F,MATCH(A85,Bang_Z,1)+1)-INDEX(Bang_F,MATCH(A85,Bang_Z,1)))</f>
        <v>8.43</v>
      </c>
      <c r="C85" s="25" t="n">
        <f aca="false">INDEX(Bang_W,MATCH(A85,Bang_Z,1))+(A85-INDEX(Bang_Z,MATCH(A85,Bang_Z,1)))*(INDEX(Bang_F,MATCH(A85,Bang_Z,1))+B85)/2</f>
        <v>67.975</v>
      </c>
      <c r="D85" s="26" t="n">
        <f aca="false">MAX(A85-TC_Z,0)</f>
        <v>4.3</v>
      </c>
      <c r="E85" s="27" t="n">
        <f aca="false">1-0.2*(TC_xmb+(TC_n-1)*TC_xmt)*D85/(TC_n*TC_b)</f>
        <v>0.828796296296296</v>
      </c>
      <c r="F85" s="28" t="n">
        <f aca="false">TC_s*E85*TC_m*TC_n*TC_b*SQRT(2*g_)*D85^1.5</f>
        <v>318.175145555788</v>
      </c>
      <c r="G85" s="29" t="n">
        <f aca="false">MAX(A85-SC_Z,0)</f>
        <v>8</v>
      </c>
      <c r="H85" s="30" t="n">
        <f aca="false">1-0.2*(SC_xmb+(SC_n-1)*SC_xmt)*G85/(SC_n*SC_b)</f>
        <v>0.776</v>
      </c>
      <c r="I85" s="31" t="n">
        <f aca="false">SC_s*H85*SC_m*SC_n*SC_b*SQRT(2*g_)*G85^1.5</f>
        <v>174.996241579755</v>
      </c>
      <c r="J85" s="32" t="n">
        <f aca="false">F85+I85</f>
        <v>493.171387135544</v>
      </c>
      <c r="K85" s="32" t="n">
        <f aca="false">F85</f>
        <v>318.175145555788</v>
      </c>
      <c r="L85" s="32" t="n">
        <f aca="false">C85*1000000/dt_s+J85/2</f>
        <v>19128.5301380122</v>
      </c>
      <c r="M85" s="32" t="n">
        <f aca="false">C85*1000000/dt_s+K85/2</f>
        <v>19041.0320172223</v>
      </c>
    </row>
    <row r="86" customFormat="false" ht="15" hidden="false" customHeight="false" outlineLevel="0" collapsed="false">
      <c r="A86" s="24" t="n">
        <f aca="false">ROUND(A85+0.1,2)</f>
        <v>79.1</v>
      </c>
      <c r="B86" s="25" t="n">
        <f aca="false">INDEX(Bang_F,MATCH(A86,Bang_Z,1))+(A86-INDEX(Bang_Z,MATCH(A86,Bang_Z,1)))*(INDEX(Bang_F,MATCH(A86,Bang_Z,1)+1)-INDEX(Bang_F,MATCH(A86,Bang_Z,1)))</f>
        <v>8.5</v>
      </c>
      <c r="C86" s="25" t="n">
        <f aca="false">INDEX(Bang_W,MATCH(A86,Bang_Z,1))+(A86-INDEX(Bang_Z,MATCH(A86,Bang_Z,1)))*(INDEX(Bang_F,MATCH(A86,Bang_Z,1))+B86)/2</f>
        <v>68.8214999999999</v>
      </c>
      <c r="D86" s="26" t="n">
        <f aca="false">MAX(A86-TC_Z,0)</f>
        <v>4.39999999999999</v>
      </c>
      <c r="E86" s="27" t="n">
        <f aca="false">1-0.2*(TC_xmb+(TC_n-1)*TC_xmt)*D86/(TC_n*TC_b)</f>
        <v>0.824814814814815</v>
      </c>
      <c r="F86" s="28" t="n">
        <f aca="false">TC_s*E86*TC_m*TC_n*TC_b*SQRT(2*g_)*D86^1.5</f>
        <v>327.756440202766</v>
      </c>
      <c r="G86" s="29" t="n">
        <f aca="false">MAX(A86-SC_Z,0)</f>
        <v>8.09999999999999</v>
      </c>
      <c r="H86" s="30" t="n">
        <f aca="false">1-0.2*(SC_xmb+(SC_n-1)*SC_xmt)*G86/(SC_n*SC_b)</f>
        <v>0.7732</v>
      </c>
      <c r="I86" s="31" t="n">
        <f aca="false">SC_s*H86*SC_m*SC_n*SC_b*SQRT(2*g_)*G86^1.5</f>
        <v>177.644347566715</v>
      </c>
      <c r="J86" s="32" t="n">
        <f aca="false">F86+I86</f>
        <v>505.400787769482</v>
      </c>
      <c r="K86" s="32" t="n">
        <f aca="false">F86</f>
        <v>327.756440202766</v>
      </c>
      <c r="L86" s="32" t="n">
        <f aca="false">C86*1000000/dt_s+J86/2</f>
        <v>19369.7837272181</v>
      </c>
      <c r="M86" s="32" t="n">
        <f aca="false">C86*1000000/dt_s+K86/2</f>
        <v>19280.9615534347</v>
      </c>
    </row>
    <row r="87" customFormat="false" ht="15" hidden="false" customHeight="false" outlineLevel="0" collapsed="false">
      <c r="A87" s="24" t="n">
        <f aca="false">ROUND(A86+0.1,2)</f>
        <v>79.2</v>
      </c>
      <c r="B87" s="25" t="n">
        <f aca="false">INDEX(Bang_F,MATCH(A87,Bang_Z,1))+(A87-INDEX(Bang_Z,MATCH(A87,Bang_Z,1)))*(INDEX(Bang_F,MATCH(A87,Bang_Z,1)+1)-INDEX(Bang_F,MATCH(A87,Bang_Z,1)))</f>
        <v>8.57</v>
      </c>
      <c r="C87" s="25" t="n">
        <f aca="false">INDEX(Bang_W,MATCH(A87,Bang_Z,1))+(A87-INDEX(Bang_Z,MATCH(A87,Bang_Z,1)))*(INDEX(Bang_F,MATCH(A87,Bang_Z,1))+B87)/2</f>
        <v>69.675</v>
      </c>
      <c r="D87" s="26" t="n">
        <f aca="false">MAX(A87-TC_Z,0)</f>
        <v>4.5</v>
      </c>
      <c r="E87" s="27" t="n">
        <f aca="false">1-0.2*(TC_xmb+(TC_n-1)*TC_xmt)*D87/(TC_n*TC_b)</f>
        <v>0.820833333333333</v>
      </c>
      <c r="F87" s="28" t="n">
        <f aca="false">TC_s*E87*TC_m*TC_n*TC_b*SQRT(2*g_)*D87^1.5</f>
        <v>337.356841199439</v>
      </c>
      <c r="G87" s="29" t="n">
        <f aca="false">MAX(A87-SC_Z,0)</f>
        <v>8.2</v>
      </c>
      <c r="H87" s="30" t="n">
        <f aca="false">1-0.2*(SC_xmb+(SC_n-1)*SC_xmt)*G87/(SC_n*SC_b)</f>
        <v>0.7704</v>
      </c>
      <c r="I87" s="31" t="n">
        <f aca="false">SC_s*H87*SC_m*SC_n*SC_b*SQRT(2*g_)*G87^1.5</f>
        <v>180.288934604258</v>
      </c>
      <c r="J87" s="32" t="n">
        <f aca="false">F87+I87</f>
        <v>517.645775803697</v>
      </c>
      <c r="K87" s="32" t="n">
        <f aca="false">F87</f>
        <v>337.356841199439</v>
      </c>
      <c r="L87" s="32" t="n">
        <f aca="false">C87*1000000/dt_s+J87/2</f>
        <v>19612.9895545685</v>
      </c>
      <c r="M87" s="32" t="n">
        <f aca="false">C87*1000000/dt_s+K87/2</f>
        <v>19522.8450872664</v>
      </c>
    </row>
    <row r="88" customFormat="false" ht="15" hidden="false" customHeight="false" outlineLevel="0" collapsed="false">
      <c r="A88" s="24" t="n">
        <f aca="false">ROUND(A87+0.1,2)</f>
        <v>79.3</v>
      </c>
      <c r="B88" s="25" t="n">
        <f aca="false">INDEX(Bang_F,MATCH(A88,Bang_Z,1))+(A88-INDEX(Bang_Z,MATCH(A88,Bang_Z,1)))*(INDEX(Bang_F,MATCH(A88,Bang_Z,1)+1)-INDEX(Bang_F,MATCH(A88,Bang_Z,1)))</f>
        <v>8.64</v>
      </c>
      <c r="C88" s="25" t="n">
        <f aca="false">INDEX(Bang_W,MATCH(A88,Bang_Z,1))+(A88-INDEX(Bang_Z,MATCH(A88,Bang_Z,1)))*(INDEX(Bang_F,MATCH(A88,Bang_Z,1))+B88)/2</f>
        <v>70.5355</v>
      </c>
      <c r="D88" s="26" t="n">
        <f aca="false">MAX(A88-TC_Z,0)</f>
        <v>4.59999999999999</v>
      </c>
      <c r="E88" s="27" t="n">
        <f aca="false">1-0.2*(TC_xmb+(TC_n-1)*TC_xmt)*D88/(TC_n*TC_b)</f>
        <v>0.816851851851852</v>
      </c>
      <c r="F88" s="28" t="n">
        <f aca="false">TC_s*E88*TC_m*TC_n*TC_b*SQRT(2*g_)*D88^1.5</f>
        <v>346.973104513437</v>
      </c>
      <c r="G88" s="29" t="n">
        <f aca="false">MAX(A88-SC_Z,0)</f>
        <v>8.3</v>
      </c>
      <c r="H88" s="30" t="n">
        <f aca="false">1-0.2*(SC_xmb+(SC_n-1)*SC_xmt)*G88/(SC_n*SC_b)</f>
        <v>0.7676</v>
      </c>
      <c r="I88" s="31" t="n">
        <f aca="false">SC_s*H88*SC_m*SC_n*SC_b*SQRT(2*g_)*G88^1.5</f>
        <v>182.929658769459</v>
      </c>
      <c r="J88" s="32" t="n">
        <f aca="false">F88+I88</f>
        <v>529.902763282896</v>
      </c>
      <c r="K88" s="32" t="n">
        <f aca="false">F88</f>
        <v>346.973104513437</v>
      </c>
      <c r="L88" s="32" t="n">
        <f aca="false">C88*1000000/dt_s+J88/2</f>
        <v>19858.1458260859</v>
      </c>
      <c r="M88" s="32" t="n">
        <f aca="false">C88*1000000/dt_s+K88/2</f>
        <v>19766.6809967012</v>
      </c>
    </row>
    <row r="89" customFormat="false" ht="15" hidden="false" customHeight="false" outlineLevel="0" collapsed="false">
      <c r="A89" s="24" t="n">
        <f aca="false">ROUND(A88+0.1,2)</f>
        <v>79.4</v>
      </c>
      <c r="B89" s="25" t="n">
        <f aca="false">INDEX(Bang_F,MATCH(A89,Bang_Z,1))+(A89-INDEX(Bang_Z,MATCH(A89,Bang_Z,1)))*(INDEX(Bang_F,MATCH(A89,Bang_Z,1)+1)-INDEX(Bang_F,MATCH(A89,Bang_Z,1)))</f>
        <v>8.71</v>
      </c>
      <c r="C89" s="25" t="n">
        <f aca="false">INDEX(Bang_W,MATCH(A89,Bang_Z,1))+(A89-INDEX(Bang_Z,MATCH(A89,Bang_Z,1)))*(INDEX(Bang_F,MATCH(A89,Bang_Z,1))+B89)/2</f>
        <v>71.4030000000001</v>
      </c>
      <c r="D89" s="26" t="n">
        <f aca="false">MAX(A89-TC_Z,0)</f>
        <v>4.7</v>
      </c>
      <c r="E89" s="27" t="n">
        <f aca="false">1-0.2*(TC_xmb+(TC_n-1)*TC_xmt)*D89/(TC_n*TC_b)</f>
        <v>0.81287037037037</v>
      </c>
      <c r="F89" s="28" t="n">
        <f aca="false">TC_s*E89*TC_m*TC_n*TC_b*SQRT(2*g_)*D89^1.5</f>
        <v>356.602059370887</v>
      </c>
      <c r="G89" s="29" t="n">
        <f aca="false">MAX(A89-SC_Z,0)</f>
        <v>8.40000000000001</v>
      </c>
      <c r="H89" s="30" t="n">
        <f aca="false">1-0.2*(SC_xmb+(SC_n-1)*SC_xmt)*G89/(SC_n*SC_b)</f>
        <v>0.7648</v>
      </c>
      <c r="I89" s="31" t="n">
        <f aca="false">SC_s*H89*SC_m*SC_n*SC_b*SQRT(2*g_)*G89^1.5</f>
        <v>185.56618016579</v>
      </c>
      <c r="J89" s="32" t="n">
        <f aca="false">F89+I89</f>
        <v>542.168239536678</v>
      </c>
      <c r="K89" s="32" t="n">
        <f aca="false">F89</f>
        <v>356.602059370887</v>
      </c>
      <c r="L89" s="32" t="n">
        <f aca="false">C89*1000000/dt_s+J89/2</f>
        <v>20105.250786435</v>
      </c>
      <c r="M89" s="32" t="n">
        <f aca="false">C89*1000000/dt_s+K89/2</f>
        <v>20012.4676963521</v>
      </c>
    </row>
    <row r="90" customFormat="false" ht="15" hidden="false" customHeight="false" outlineLevel="0" collapsed="false">
      <c r="A90" s="24" t="n">
        <f aca="false">ROUND(A89+0.1,2)</f>
        <v>79.5</v>
      </c>
      <c r="B90" s="25" t="n">
        <f aca="false">INDEX(Bang_F,MATCH(A90,Bang_Z,1))+(A90-INDEX(Bang_Z,MATCH(A90,Bang_Z,1)))*(INDEX(Bang_F,MATCH(A90,Bang_Z,1)+1)-INDEX(Bang_F,MATCH(A90,Bang_Z,1)))</f>
        <v>8.78</v>
      </c>
      <c r="C90" s="25" t="n">
        <f aca="false">INDEX(Bang_W,MATCH(A90,Bang_Z,1))+(A90-INDEX(Bang_Z,MATCH(A90,Bang_Z,1)))*(INDEX(Bang_F,MATCH(A90,Bang_Z,1))+B90)/2</f>
        <v>72.2775</v>
      </c>
      <c r="D90" s="26" t="n">
        <f aca="false">MAX(A90-TC_Z,0)</f>
        <v>4.8</v>
      </c>
      <c r="E90" s="27" t="n">
        <f aca="false">1-0.2*(TC_xmb+(TC_n-1)*TC_xmt)*D90/(TC_n*TC_b)</f>
        <v>0.808888888888889</v>
      </c>
      <c r="F90" s="28" t="n">
        <f aca="false">TC_s*E90*TC_m*TC_n*TC_b*SQRT(2*g_)*D90^1.5</f>
        <v>366.240604691981</v>
      </c>
      <c r="G90" s="29" t="n">
        <f aca="false">MAX(A90-SC_Z,0)</f>
        <v>8.5</v>
      </c>
      <c r="H90" s="30" t="n">
        <f aca="false">1-0.2*(SC_xmb+(SC_n-1)*SC_xmt)*G90/(SC_n*SC_b)</f>
        <v>0.762</v>
      </c>
      <c r="I90" s="31" t="n">
        <f aca="false">SC_s*H90*SC_m*SC_n*SC_b*SQRT(2*g_)*G90^1.5</f>
        <v>188.198162816108</v>
      </c>
      <c r="J90" s="32" t="n">
        <f aca="false">F90+I90</f>
        <v>554.438767508088</v>
      </c>
      <c r="K90" s="32" t="n">
        <f aca="false">F90</f>
        <v>366.240604691981</v>
      </c>
      <c r="L90" s="32" t="n">
        <f aca="false">C90*1000000/dt_s+J90/2</f>
        <v>20354.3027170874</v>
      </c>
      <c r="M90" s="32" t="n">
        <f aca="false">C90*1000000/dt_s+K90/2</f>
        <v>20260.2036356793</v>
      </c>
    </row>
    <row r="91" customFormat="false" ht="15" hidden="false" customHeight="false" outlineLevel="0" collapsed="false">
      <c r="A91" s="24" t="n">
        <f aca="false">ROUND(A90+0.1,2)</f>
        <v>79.6</v>
      </c>
      <c r="B91" s="25" t="n">
        <f aca="false">INDEX(Bang_F,MATCH(A91,Bang_Z,1))+(A91-INDEX(Bang_Z,MATCH(A91,Bang_Z,1)))*(INDEX(Bang_F,MATCH(A91,Bang_Z,1)+1)-INDEX(Bang_F,MATCH(A91,Bang_Z,1)))</f>
        <v>8.85</v>
      </c>
      <c r="C91" s="25" t="n">
        <f aca="false">INDEX(Bang_W,MATCH(A91,Bang_Z,1))+(A91-INDEX(Bang_Z,MATCH(A91,Bang_Z,1)))*(INDEX(Bang_F,MATCH(A91,Bang_Z,1))+B91)/2</f>
        <v>73.159</v>
      </c>
      <c r="D91" s="26" t="n">
        <f aca="false">MAX(A91-TC_Z,0)</f>
        <v>4.89999999999999</v>
      </c>
      <c r="E91" s="27" t="n">
        <f aca="false">1-0.2*(TC_xmb+(TC_n-1)*TC_xmt)*D91/(TC_n*TC_b)</f>
        <v>0.804907407407408</v>
      </c>
      <c r="F91" s="28" t="n">
        <f aca="false">TC_s*E91*TC_m*TC_n*TC_b*SQRT(2*g_)*D91^1.5</f>
        <v>375.885705776806</v>
      </c>
      <c r="G91" s="29" t="n">
        <f aca="false">MAX(A91-SC_Z,0)</f>
        <v>8.59999999999999</v>
      </c>
      <c r="H91" s="30" t="n">
        <f aca="false">1-0.2*(SC_xmb+(SC_n-1)*SC_xmt)*G91/(SC_n*SC_b)</f>
        <v>0.7592</v>
      </c>
      <c r="I91" s="31" t="n">
        <f aca="false">SC_s*H91*SC_m*SC_n*SC_b*SQRT(2*g_)*G91^1.5</f>
        <v>190.825274559814</v>
      </c>
      <c r="J91" s="32" t="n">
        <f aca="false">F91+I91</f>
        <v>566.71098033662</v>
      </c>
      <c r="K91" s="32" t="n">
        <f aca="false">F91</f>
        <v>375.885705776806</v>
      </c>
      <c r="L91" s="32" t="n">
        <f aca="false">C91*1000000/dt_s+J91/2</f>
        <v>20605.2999346127</v>
      </c>
      <c r="M91" s="32" t="n">
        <f aca="false">C91*1000000/dt_s+K91/2</f>
        <v>20509.8872973328</v>
      </c>
    </row>
    <row r="92" customFormat="false" ht="15" hidden="false" customHeight="false" outlineLevel="0" collapsed="false">
      <c r="A92" s="24" t="n">
        <f aca="false">ROUND(A91+0.1,2)</f>
        <v>79.7</v>
      </c>
      <c r="B92" s="25" t="n">
        <f aca="false">INDEX(Bang_F,MATCH(A92,Bang_Z,1))+(A92-INDEX(Bang_Z,MATCH(A92,Bang_Z,1)))*(INDEX(Bang_F,MATCH(A92,Bang_Z,1)+1)-INDEX(Bang_F,MATCH(A92,Bang_Z,1)))</f>
        <v>8.92</v>
      </c>
      <c r="C92" s="25" t="n">
        <f aca="false">INDEX(Bang_W,MATCH(A92,Bang_Z,1))+(A92-INDEX(Bang_Z,MATCH(A92,Bang_Z,1)))*(INDEX(Bang_F,MATCH(A92,Bang_Z,1))+B92)/2</f>
        <v>74.0475</v>
      </c>
      <c r="D92" s="26" t="n">
        <f aca="false">MAX(A92-TC_Z,0)</f>
        <v>5</v>
      </c>
      <c r="E92" s="27" t="n">
        <f aca="false">1-0.2*(TC_xmb+(TC_n-1)*TC_xmt)*D92/(TC_n*TC_b)</f>
        <v>0.800925925925926</v>
      </c>
      <c r="F92" s="28" t="n">
        <f aca="false">TC_s*E92*TC_m*TC_n*TC_b*SQRT(2*g_)*D92^1.5</f>
        <v>385.534391218864</v>
      </c>
      <c r="G92" s="29" t="n">
        <f aca="false">MAX(A92-SC_Z,0)</f>
        <v>8.7</v>
      </c>
      <c r="H92" s="30" t="n">
        <f aca="false">1-0.2*(SC_xmb+(SC_n-1)*SC_xmt)*G92/(SC_n*SC_b)</f>
        <v>0.7564</v>
      </c>
      <c r="I92" s="31" t="n">
        <f aca="false">SC_s*H92*SC_m*SC_n*SC_b*SQRT(2*g_)*G92^1.5</f>
        <v>193.447186954005</v>
      </c>
      <c r="J92" s="32" t="n">
        <f aca="false">F92+I92</f>
        <v>578.981578172869</v>
      </c>
      <c r="K92" s="32" t="n">
        <f aca="false">F92</f>
        <v>385.534391218864</v>
      </c>
      <c r="L92" s="32" t="n">
        <f aca="false">C92*1000000/dt_s+J92/2</f>
        <v>20858.2407890864</v>
      </c>
      <c r="M92" s="32" t="n">
        <f aca="false">C92*1000000/dt_s+K92/2</f>
        <v>20761.5171956094</v>
      </c>
    </row>
    <row r="93" customFormat="false" ht="15" hidden="false" customHeight="false" outlineLevel="0" collapsed="false">
      <c r="A93" s="24" t="n">
        <f aca="false">ROUND(A92+0.1,2)</f>
        <v>79.8</v>
      </c>
      <c r="B93" s="25" t="n">
        <f aca="false">INDEX(Bang_F,MATCH(A93,Bang_Z,1))+(A93-INDEX(Bang_Z,MATCH(A93,Bang_Z,1)))*(INDEX(Bang_F,MATCH(A93,Bang_Z,1)+1)-INDEX(Bang_F,MATCH(A93,Bang_Z,1)))</f>
        <v>8.99</v>
      </c>
      <c r="C93" s="25" t="n">
        <f aca="false">INDEX(Bang_W,MATCH(A93,Bang_Z,1))+(A93-INDEX(Bang_Z,MATCH(A93,Bang_Z,1)))*(INDEX(Bang_F,MATCH(A93,Bang_Z,1))+B93)/2</f>
        <v>74.943</v>
      </c>
      <c r="D93" s="26" t="n">
        <f aca="false">MAX(A93-TC_Z,0)</f>
        <v>5.09999999999999</v>
      </c>
      <c r="E93" s="27" t="n">
        <f aca="false">1-0.2*(TC_xmb+(TC_n-1)*TC_xmt)*D93/(TC_n*TC_b)</f>
        <v>0.796944444444445</v>
      </c>
      <c r="F93" s="28" t="n">
        <f aca="false">TC_s*E93*TC_m*TC_n*TC_b*SQRT(2*g_)*D93^1.5</f>
        <v>395.183750026186</v>
      </c>
      <c r="G93" s="29" t="n">
        <f aca="false">MAX(A93-SC_Z,0)</f>
        <v>8.8</v>
      </c>
      <c r="H93" s="30" t="n">
        <f aca="false">1-0.2*(SC_xmb+(SC_n-1)*SC_xmt)*G93/(SC_n*SC_b)</f>
        <v>0.7536</v>
      </c>
      <c r="I93" s="31" t="n">
        <f aca="false">SC_s*H93*SC_m*SC_n*SC_b*SQRT(2*g_)*G93^1.5</f>
        <v>196.063575178386</v>
      </c>
      <c r="J93" s="32" t="n">
        <f aca="false">F93+I93</f>
        <v>591.247325204573</v>
      </c>
      <c r="K93" s="32" t="n">
        <f aca="false">F93</f>
        <v>395.183750026186</v>
      </c>
      <c r="L93" s="32" t="n">
        <f aca="false">C93*1000000/dt_s+J93/2</f>
        <v>21113.1236626023</v>
      </c>
      <c r="M93" s="32" t="n">
        <f aca="false">C93*1000000/dt_s+K93/2</f>
        <v>21015.0918750131</v>
      </c>
    </row>
    <row r="94" customFormat="false" ht="15" hidden="false" customHeight="false" outlineLevel="0" collapsed="false">
      <c r="A94" s="24" t="n">
        <f aca="false">ROUND(A93+0.1,2)</f>
        <v>79.9</v>
      </c>
      <c r="B94" s="25" t="n">
        <f aca="false">INDEX(Bang_F,MATCH(A94,Bang_Z,1))+(A94-INDEX(Bang_Z,MATCH(A94,Bang_Z,1)))*(INDEX(Bang_F,MATCH(A94,Bang_Z,1)+1)-INDEX(Bang_F,MATCH(A94,Bang_Z,1)))</f>
        <v>9.06</v>
      </c>
      <c r="C94" s="25" t="n">
        <f aca="false">INDEX(Bang_W,MATCH(A94,Bang_Z,1))+(A94-INDEX(Bang_Z,MATCH(A94,Bang_Z,1)))*(INDEX(Bang_F,MATCH(A94,Bang_Z,1))+B94)/2</f>
        <v>75.8455</v>
      </c>
      <c r="D94" s="26" t="n">
        <f aca="false">MAX(A94-TC_Z,0)</f>
        <v>5.2</v>
      </c>
      <c r="E94" s="27" t="n">
        <f aca="false">1-0.2*(TC_xmb+(TC_n-1)*TC_xmt)*D94/(TC_n*TC_b)</f>
        <v>0.792962962962963</v>
      </c>
      <c r="F94" s="28" t="n">
        <f aca="false">TC_s*E94*TC_m*TC_n*TC_b*SQRT(2*g_)*D94^1.5</f>
        <v>404.830928932145</v>
      </c>
      <c r="G94" s="29" t="n">
        <f aca="false">MAX(A94-SC_Z,0)</f>
        <v>8.90000000000001</v>
      </c>
      <c r="H94" s="30" t="n">
        <f aca="false">1-0.2*(SC_xmb+(SC_n-1)*SC_xmt)*G94/(SC_n*SC_b)</f>
        <v>0.7508</v>
      </c>
      <c r="I94" s="31" t="n">
        <f aca="false">SC_s*H94*SC_m*SC_n*SC_b*SQRT(2*g_)*G94^1.5</f>
        <v>198.674117943776</v>
      </c>
      <c r="J94" s="32" t="n">
        <f aca="false">F94+I94</f>
        <v>603.505046875921</v>
      </c>
      <c r="K94" s="32" t="n">
        <f aca="false">F94</f>
        <v>404.830928932145</v>
      </c>
      <c r="L94" s="32" t="n">
        <f aca="false">C94*1000000/dt_s+J94/2</f>
        <v>21369.9469678824</v>
      </c>
      <c r="M94" s="32" t="n">
        <f aca="false">C94*1000000/dt_s+K94/2</f>
        <v>21270.6099089105</v>
      </c>
    </row>
    <row r="95" customFormat="false" ht="15" hidden="false" customHeight="false" outlineLevel="0" collapsed="false">
      <c r="A95" s="24" t="n">
        <f aca="false">ROUND(A94+0.1,2)</f>
        <v>80</v>
      </c>
      <c r="B95" s="25" t="n">
        <f aca="false">INDEX(Bang_F,MATCH(A95,Bang_Z,1))+(A95-INDEX(Bang_Z,MATCH(A95,Bang_Z,1)))*(INDEX(Bang_F,MATCH(A95,Bang_Z,1)+1)-INDEX(Bang_F,MATCH(A95,Bang_Z,1)))</f>
        <v>9.13</v>
      </c>
      <c r="C95" s="25" t="n">
        <f aca="false">INDEX(Bang_W,MATCH(A95,Bang_Z,1))+(A95-INDEX(Bang_Z,MATCH(A95,Bang_Z,1)))*(INDEX(Bang_F,MATCH(A95,Bang_Z,1))+B95)/2</f>
        <v>76.755</v>
      </c>
      <c r="D95" s="26" t="n">
        <f aca="false">MAX(A95-TC_Z,0)</f>
        <v>5.3</v>
      </c>
      <c r="E95" s="27" t="n">
        <f aca="false">1-0.2*(TC_xmb+(TC_n-1)*TC_xmt)*D95/(TC_n*TC_b)</f>
        <v>0.788981481481482</v>
      </c>
      <c r="F95" s="28" t="n">
        <f aca="false">TC_s*E95*TC_m*TC_n*TC_b*SQRT(2*g_)*D95^1.5</f>
        <v>414.473129879833</v>
      </c>
      <c r="G95" s="29" t="n">
        <f aca="false">MAX(A95-SC_Z,0)</f>
        <v>9</v>
      </c>
      <c r="H95" s="30" t="n">
        <f aca="false">1-0.2*(SC_xmb+(SC_n-1)*SC_xmt)*G95/(SC_n*SC_b)</f>
        <v>0.748</v>
      </c>
      <c r="I95" s="31" t="n">
        <f aca="false">SC_s*H95*SC_m*SC_n*SC_b*SQRT(2*g_)*G95^1.5</f>
        <v>201.27849740402</v>
      </c>
      <c r="J95" s="32" t="n">
        <f aca="false">F95+I95</f>
        <v>615.751627283853</v>
      </c>
      <c r="K95" s="32" t="n">
        <f aca="false">F95</f>
        <v>414.473129879833</v>
      </c>
      <c r="L95" s="32" t="n">
        <f aca="false">C95*1000000/dt_s+J95/2</f>
        <v>21628.7091469753</v>
      </c>
      <c r="M95" s="32" t="n">
        <f aca="false">C95*1000000/dt_s+K95/2</f>
        <v>21528.0698982733</v>
      </c>
    </row>
    <row r="96" customFormat="false" ht="15" hidden="false" customHeight="false" outlineLevel="0" collapsed="false">
      <c r="A96" s="24" t="n">
        <f aca="false">ROUND(A95+0.1,2)</f>
        <v>80.1</v>
      </c>
      <c r="B96" s="25" t="n">
        <f aca="false">INDEX(Bang_F,MATCH(A96,Bang_Z,1))+(A96-INDEX(Bang_Z,MATCH(A96,Bang_Z,1)))*(INDEX(Bang_F,MATCH(A96,Bang_Z,1)+1)-INDEX(Bang_F,MATCH(A96,Bang_Z,1)))</f>
        <v>9.216</v>
      </c>
      <c r="C96" s="25" t="n">
        <f aca="false">INDEX(Bang_W,MATCH(A96,Bang_Z,1))+(A96-INDEX(Bang_Z,MATCH(A96,Bang_Z,1)))*(INDEX(Bang_F,MATCH(A96,Bang_Z,1))+B96)/2</f>
        <v>77.6723</v>
      </c>
      <c r="D96" s="26" t="n">
        <f aca="false">MAX(A96-TC_Z,0)</f>
        <v>5.39999999999999</v>
      </c>
      <c r="E96" s="27" t="n">
        <f aca="false">1-0.2*(TC_xmb+(TC_n-1)*TC_xmt)*D96/(TC_n*TC_b)</f>
        <v>0.785</v>
      </c>
      <c r="F96" s="28" t="n">
        <f aca="false">TC_s*E96*TC_m*TC_n*TC_b*SQRT(2*g_)*D96^1.5</f>
        <v>424.107607665649</v>
      </c>
      <c r="G96" s="29" t="n">
        <f aca="false">MAX(A96-SC_Z,0)</f>
        <v>9.09999999999999</v>
      </c>
      <c r="H96" s="30" t="n">
        <f aca="false">1-0.2*(SC_xmb+(SC_n-1)*SC_xmt)*G96/(SC_n*SC_b)</f>
        <v>0.7452</v>
      </c>
      <c r="I96" s="31" t="n">
        <f aca="false">SC_s*H96*SC_m*SC_n*SC_b*SQRT(2*g_)*G96^1.5</f>
        <v>203.876399071149</v>
      </c>
      <c r="J96" s="32" t="n">
        <f aca="false">F96+I96</f>
        <v>627.984006736799</v>
      </c>
      <c r="K96" s="32" t="n">
        <f aca="false">F96</f>
        <v>424.107607665649</v>
      </c>
      <c r="L96" s="32" t="n">
        <f aca="false">C96*1000000/dt_s+J96/2</f>
        <v>21889.6308922573</v>
      </c>
      <c r="M96" s="32" t="n">
        <f aca="false">C96*1000000/dt_s+K96/2</f>
        <v>21787.6926927217</v>
      </c>
    </row>
    <row r="97" customFormat="false" ht="15" hidden="false" customHeight="false" outlineLevel="0" collapsed="false">
      <c r="A97" s="24" t="n">
        <f aca="false">ROUND(A96+0.1,2)</f>
        <v>80.2</v>
      </c>
      <c r="B97" s="25" t="n">
        <f aca="false">INDEX(Bang_F,MATCH(A97,Bang_Z,1))+(A97-INDEX(Bang_Z,MATCH(A97,Bang_Z,1)))*(INDEX(Bang_F,MATCH(A97,Bang_Z,1)+1)-INDEX(Bang_F,MATCH(A97,Bang_Z,1)))</f>
        <v>9.302</v>
      </c>
      <c r="C97" s="25" t="n">
        <f aca="false">INDEX(Bang_W,MATCH(A97,Bang_Z,1))+(A97-INDEX(Bang_Z,MATCH(A97,Bang_Z,1)))*(INDEX(Bang_F,MATCH(A97,Bang_Z,1))+B97)/2</f>
        <v>78.5982</v>
      </c>
      <c r="D97" s="26" t="n">
        <f aca="false">MAX(A97-TC_Z,0)</f>
        <v>5.5</v>
      </c>
      <c r="E97" s="27" t="n">
        <f aca="false">1-0.2*(TC_xmb+(TC_n-1)*TC_xmt)*D97/(TC_n*TC_b)</f>
        <v>0.781018518518519</v>
      </c>
      <c r="F97" s="28" t="n">
        <f aca="false">TC_s*E97*TC_m*TC_n*TC_b*SQRT(2*g_)*D97^1.5</f>
        <v>433.73166772908</v>
      </c>
      <c r="G97" s="29" t="n">
        <f aca="false">MAX(A97-SC_Z,0)</f>
        <v>9.2</v>
      </c>
      <c r="H97" s="30" t="n">
        <f aca="false">1-0.2*(SC_xmb+(SC_n-1)*SC_xmt)*G97/(SC_n*SC_b)</f>
        <v>0.7424</v>
      </c>
      <c r="I97" s="31" t="n">
        <f aca="false">SC_s*H97*SC_m*SC_n*SC_b*SQRT(2*g_)*G97^1.5</f>
        <v>206.467511733632</v>
      </c>
      <c r="J97" s="32" t="n">
        <f aca="false">F97+I97</f>
        <v>640.199179462713</v>
      </c>
      <c r="K97" s="32" t="n">
        <f aca="false">F97</f>
        <v>433.73166772908</v>
      </c>
      <c r="L97" s="32" t="n">
        <f aca="false">C97*1000000/dt_s+J97/2</f>
        <v>22152.9329230647</v>
      </c>
      <c r="M97" s="32" t="n">
        <f aca="false">C97*1000000/dt_s+K97/2</f>
        <v>22049.6991671979</v>
      </c>
    </row>
    <row r="98" customFormat="false" ht="15" hidden="false" customHeight="false" outlineLevel="0" collapsed="false">
      <c r="A98" s="24" t="n">
        <f aca="false">ROUND(A97+0.1,2)</f>
        <v>80.3</v>
      </c>
      <c r="B98" s="25" t="n">
        <f aca="false">INDEX(Bang_F,MATCH(A98,Bang_Z,1))+(A98-INDEX(Bang_Z,MATCH(A98,Bang_Z,1)))*(INDEX(Bang_F,MATCH(A98,Bang_Z,1)+1)-INDEX(Bang_F,MATCH(A98,Bang_Z,1)))</f>
        <v>9.388</v>
      </c>
      <c r="C98" s="25" t="n">
        <f aca="false">INDEX(Bang_W,MATCH(A98,Bang_Z,1))+(A98-INDEX(Bang_Z,MATCH(A98,Bang_Z,1)))*(INDEX(Bang_F,MATCH(A98,Bang_Z,1))+B98)/2</f>
        <v>79.5327</v>
      </c>
      <c r="D98" s="26" t="n">
        <f aca="false">MAX(A98-TC_Z,0)</f>
        <v>5.59999999999999</v>
      </c>
      <c r="E98" s="27" t="n">
        <f aca="false">1-0.2*(TC_xmb+(TC_n-1)*TC_xmt)*D98/(TC_n*TC_b)</f>
        <v>0.777037037037037</v>
      </c>
      <c r="F98" s="28" t="n">
        <f aca="false">TC_s*E98*TC_m*TC_n*TC_b*SQRT(2*g_)*D98^1.5</f>
        <v>443.342664076999</v>
      </c>
      <c r="G98" s="29" t="n">
        <f aca="false">MAX(A98-SC_Z,0)</f>
        <v>9.3</v>
      </c>
      <c r="H98" s="30" t="n">
        <f aca="false">1-0.2*(SC_xmb+(SC_n-1)*SC_xmt)*G98/(SC_n*SC_b)</f>
        <v>0.7396</v>
      </c>
      <c r="I98" s="31" t="n">
        <f aca="false">SC_s*H98*SC_m*SC_n*SC_b*SQRT(2*g_)*G98^1.5</f>
        <v>209.051527377563</v>
      </c>
      <c r="J98" s="32" t="n">
        <f aca="false">F98+I98</f>
        <v>652.394191454562</v>
      </c>
      <c r="K98" s="32" t="n">
        <f aca="false">F98</f>
        <v>443.342664076999</v>
      </c>
      <c r="L98" s="32" t="n">
        <f aca="false">C98*1000000/dt_s+J98/2</f>
        <v>22418.6137623939</v>
      </c>
      <c r="M98" s="32" t="n">
        <f aca="false">C98*1000000/dt_s+K98/2</f>
        <v>22314.0879987052</v>
      </c>
    </row>
    <row r="99" customFormat="false" ht="15" hidden="false" customHeight="false" outlineLevel="0" collapsed="false">
      <c r="A99" s="24" t="n">
        <f aca="false">ROUND(A98+0.1,2)</f>
        <v>80.4</v>
      </c>
      <c r="B99" s="25" t="n">
        <f aca="false">INDEX(Bang_F,MATCH(A99,Bang_Z,1))+(A99-INDEX(Bang_Z,MATCH(A99,Bang_Z,1)))*(INDEX(Bang_F,MATCH(A99,Bang_Z,1)+1)-INDEX(Bang_F,MATCH(A99,Bang_Z,1)))</f>
        <v>9.47400000000001</v>
      </c>
      <c r="C99" s="25" t="n">
        <f aca="false">INDEX(Bang_W,MATCH(A99,Bang_Z,1))+(A99-INDEX(Bang_Z,MATCH(A99,Bang_Z,1)))*(INDEX(Bang_F,MATCH(A99,Bang_Z,1))+B99)/2</f>
        <v>80.4758000000001</v>
      </c>
      <c r="D99" s="26" t="n">
        <f aca="false">MAX(A99-TC_Z,0)</f>
        <v>5.7</v>
      </c>
      <c r="E99" s="27" t="n">
        <f aca="false">1-0.2*(TC_xmb+(TC_n-1)*TC_xmt)*D99/(TC_n*TC_b)</f>
        <v>0.773055555555555</v>
      </c>
      <c r="F99" s="28" t="n">
        <f aca="false">TC_s*E99*TC_m*TC_n*TC_b*SQRT(2*g_)*D99^1.5</f>
        <v>452.937997331945</v>
      </c>
      <c r="G99" s="29" t="n">
        <f aca="false">MAX(A99-SC_Z,0)</f>
        <v>9.40000000000001</v>
      </c>
      <c r="H99" s="30" t="n">
        <f aca="false">1-0.2*(SC_xmb+(SC_n-1)*SC_xmt)*G99/(SC_n*SC_b)</f>
        <v>0.7368</v>
      </c>
      <c r="I99" s="31" t="n">
        <f aca="false">SC_s*H99*SC_m*SC_n*SC_b*SQRT(2*g_)*G99^1.5</f>
        <v>211.628141110659</v>
      </c>
      <c r="J99" s="32" t="n">
        <f aca="false">F99+I99</f>
        <v>664.566138442604</v>
      </c>
      <c r="K99" s="32" t="n">
        <f aca="false">F99</f>
        <v>452.937997331945</v>
      </c>
      <c r="L99" s="32" t="n">
        <f aca="false">C99*1000000/dt_s+J99/2</f>
        <v>22686.6719581102</v>
      </c>
      <c r="M99" s="32" t="n">
        <f aca="false">C99*1000000/dt_s+K99/2</f>
        <v>22580.8578875549</v>
      </c>
    </row>
    <row r="100" customFormat="false" ht="15" hidden="false" customHeight="false" outlineLevel="0" collapsed="false">
      <c r="A100" s="24" t="n">
        <f aca="false">ROUND(A99+0.1,2)</f>
        <v>80.5</v>
      </c>
      <c r="B100" s="25" t="n">
        <f aca="false">INDEX(Bang_F,MATCH(A100,Bang_Z,1))+(A100-INDEX(Bang_Z,MATCH(A100,Bang_Z,1)))*(INDEX(Bang_F,MATCH(A100,Bang_Z,1)+1)-INDEX(Bang_F,MATCH(A100,Bang_Z,1)))</f>
        <v>9.56</v>
      </c>
      <c r="C100" s="25" t="n">
        <f aca="false">INDEX(Bang_W,MATCH(A100,Bang_Z,1))+(A100-INDEX(Bang_Z,MATCH(A100,Bang_Z,1)))*(INDEX(Bang_F,MATCH(A100,Bang_Z,1))+B100)/2</f>
        <v>81.4275</v>
      </c>
      <c r="D100" s="26" t="n">
        <f aca="false">MAX(A100-TC_Z,0)</f>
        <v>5.8</v>
      </c>
      <c r="E100" s="27" t="n">
        <f aca="false">1-0.2*(TC_xmb+(TC_n-1)*TC_xmt)*D100/(TC_n*TC_b)</f>
        <v>0.769074074074074</v>
      </c>
      <c r="F100" s="28" t="n">
        <f aca="false">TC_s*E100*TC_m*TC_n*TC_b*SQRT(2*g_)*D100^1.5</f>
        <v>462.515112894797</v>
      </c>
      <c r="G100" s="29" t="n">
        <f aca="false">MAX(A100-SC_Z,0)</f>
        <v>9.5</v>
      </c>
      <c r="H100" s="30" t="n">
        <f aca="false">1-0.2*(SC_xmb+(SC_n-1)*SC_xmt)*G100/(SC_n*SC_b)</f>
        <v>0.734</v>
      </c>
      <c r="I100" s="31" t="n">
        <f aca="false">SC_s*H100*SC_m*SC_n*SC_b*SQRT(2*g_)*G100^1.5</f>
        <v>214.197051088932</v>
      </c>
      <c r="J100" s="32" t="n">
        <f aca="false">F100+I100</f>
        <v>676.712163983728</v>
      </c>
      <c r="K100" s="32" t="n">
        <f aca="false">F100</f>
        <v>462.515112894797</v>
      </c>
      <c r="L100" s="32" t="n">
        <f aca="false">C100*1000000/dt_s+J100/2</f>
        <v>22957.1060819919</v>
      </c>
      <c r="M100" s="32" t="n">
        <f aca="false">C100*1000000/dt_s+K100/2</f>
        <v>22850.0075564474</v>
      </c>
    </row>
    <row r="101" customFormat="false" ht="15" hidden="false" customHeight="false" outlineLevel="0" collapsed="false">
      <c r="A101" s="24" t="n">
        <f aca="false">ROUND(A100+0.1,2)</f>
        <v>80.6</v>
      </c>
      <c r="B101" s="25" t="n">
        <f aca="false">INDEX(Bang_F,MATCH(A101,Bang_Z,1))+(A101-INDEX(Bang_Z,MATCH(A101,Bang_Z,1)))*(INDEX(Bang_F,MATCH(A101,Bang_Z,1)+1)-INDEX(Bang_F,MATCH(A101,Bang_Z,1)))</f>
        <v>9.646</v>
      </c>
      <c r="C101" s="25" t="n">
        <f aca="false">INDEX(Bang_W,MATCH(A101,Bang_Z,1))+(A101-INDEX(Bang_Z,MATCH(A101,Bang_Z,1)))*(INDEX(Bang_F,MATCH(A101,Bang_Z,1))+B101)/2</f>
        <v>82.3877999999999</v>
      </c>
      <c r="D101" s="26" t="n">
        <f aca="false">MAX(A101-TC_Z,0)</f>
        <v>5.89999999999999</v>
      </c>
      <c r="E101" s="27" t="n">
        <f aca="false">1-0.2*(TC_xmb+(TC_n-1)*TC_xmt)*D101/(TC_n*TC_b)</f>
        <v>0.765092592592593</v>
      </c>
      <c r="F101" s="28" t="n">
        <f aca="false">TC_s*E101*TC_m*TC_n*TC_b*SQRT(2*g_)*D101^1.5</f>
        <v>472.071499213215</v>
      </c>
      <c r="G101" s="29" t="n">
        <f aca="false">MAX(A101-SC_Z,0)</f>
        <v>9.59999999999999</v>
      </c>
      <c r="H101" s="30" t="n">
        <f aca="false">1-0.2*(SC_xmb+(SC_n-1)*SC_xmt)*G101/(SC_n*SC_b)</f>
        <v>0.7312</v>
      </c>
      <c r="I101" s="31" t="n">
        <f aca="false">SC_s*H101*SC_m*SC_n*SC_b*SQRT(2*g_)*G101^1.5</f>
        <v>216.757958445911</v>
      </c>
      <c r="J101" s="32" t="n">
        <f aca="false">F101+I101</f>
        <v>688.829457659126</v>
      </c>
      <c r="K101" s="32" t="n">
        <f aca="false">F101</f>
        <v>472.071499213215</v>
      </c>
      <c r="L101" s="32" t="n">
        <f aca="false">C101*1000000/dt_s+J101/2</f>
        <v>23229.9147288295</v>
      </c>
      <c r="M101" s="32" t="n">
        <f aca="false">C101*1000000/dt_s+K101/2</f>
        <v>23121.5357496066</v>
      </c>
    </row>
    <row r="102" customFormat="false" ht="15" hidden="false" customHeight="false" outlineLevel="0" collapsed="false">
      <c r="A102" s="24" t="n">
        <f aca="false">ROUND(A101+0.1,2)</f>
        <v>80.7</v>
      </c>
      <c r="B102" s="25" t="n">
        <f aca="false">INDEX(Bang_F,MATCH(A102,Bang_Z,1))+(A102-INDEX(Bang_Z,MATCH(A102,Bang_Z,1)))*(INDEX(Bang_F,MATCH(A102,Bang_Z,1)+1)-INDEX(Bang_F,MATCH(A102,Bang_Z,1)))</f>
        <v>9.732</v>
      </c>
      <c r="C102" s="25" t="n">
        <f aca="false">INDEX(Bang_W,MATCH(A102,Bang_Z,1))+(A102-INDEX(Bang_Z,MATCH(A102,Bang_Z,1)))*(INDEX(Bang_F,MATCH(A102,Bang_Z,1))+B102)/2</f>
        <v>83.3567</v>
      </c>
      <c r="D102" s="26" t="n">
        <f aca="false">MAX(A102-TC_Z,0)</f>
        <v>6</v>
      </c>
      <c r="E102" s="27" t="n">
        <f aca="false">1-0.2*(TC_xmb+(TC_n-1)*TC_xmt)*D102/(TC_n*TC_b)</f>
        <v>0.761111111111111</v>
      </c>
      <c r="F102" s="28" t="n">
        <f aca="false">TC_s*E102*TC_m*TC_n*TC_b*SQRT(2*g_)*D102^1.5</f>
        <v>481.604686147965</v>
      </c>
      <c r="G102" s="29" t="n">
        <f aca="false">MAX(A102-SC_Z,0)</f>
        <v>9.7</v>
      </c>
      <c r="H102" s="30" t="n">
        <f aca="false">1-0.2*(SC_xmb+(SC_n-1)*SC_xmt)*G102/(SC_n*SC_b)</f>
        <v>0.7284</v>
      </c>
      <c r="I102" s="31" t="n">
        <f aca="false">SC_s*H102*SC_m*SC_n*SC_b*SQRT(2*g_)*G102^1.5</f>
        <v>219.310567224303</v>
      </c>
      <c r="J102" s="32" t="n">
        <f aca="false">F102+I102</f>
        <v>700.915253372268</v>
      </c>
      <c r="K102" s="32" t="n">
        <f aca="false">F102</f>
        <v>481.604686147965</v>
      </c>
      <c r="L102" s="32" t="n">
        <f aca="false">C102*1000000/dt_s+J102/2</f>
        <v>23505.096515575</v>
      </c>
      <c r="M102" s="32" t="n">
        <f aca="false">C102*1000000/dt_s+K102/2</f>
        <v>23395.4412319629</v>
      </c>
    </row>
    <row r="103" customFormat="false" ht="15" hidden="false" customHeight="false" outlineLevel="0" collapsed="false">
      <c r="A103" s="24" t="n">
        <f aca="false">ROUND(A102+0.1,2)</f>
        <v>80.8</v>
      </c>
      <c r="B103" s="25" t="n">
        <f aca="false">INDEX(Bang_F,MATCH(A103,Bang_Z,1))+(A103-INDEX(Bang_Z,MATCH(A103,Bang_Z,1)))*(INDEX(Bang_F,MATCH(A103,Bang_Z,1)+1)-INDEX(Bang_F,MATCH(A103,Bang_Z,1)))</f>
        <v>9.818</v>
      </c>
      <c r="C103" s="25" t="n">
        <f aca="false">INDEX(Bang_W,MATCH(A103,Bang_Z,1))+(A103-INDEX(Bang_Z,MATCH(A103,Bang_Z,1)))*(INDEX(Bang_F,MATCH(A103,Bang_Z,1))+B103)/2</f>
        <v>84.3342</v>
      </c>
      <c r="D103" s="26" t="n">
        <f aca="false">MAX(A103-TC_Z,0)</f>
        <v>6.09999999999999</v>
      </c>
      <c r="E103" s="27" t="n">
        <f aca="false">1-0.2*(TC_xmb+(TC_n-1)*TC_xmt)*D103/(TC_n*TC_b)</f>
        <v>0.75712962962963</v>
      </c>
      <c r="F103" s="28" t="n">
        <f aca="false">TC_s*E103*TC_m*TC_n*TC_b*SQRT(2*g_)*D103^1.5</f>
        <v>491.112243429979</v>
      </c>
      <c r="G103" s="29" t="n">
        <f aca="false">MAX(A103-SC_Z,0)</f>
        <v>9.8</v>
      </c>
      <c r="H103" s="30" t="n">
        <f aca="false">1-0.2*(SC_xmb+(SC_n-1)*SC_xmt)*G103/(SC_n*SC_b)</f>
        <v>0.7256</v>
      </c>
      <c r="I103" s="31" t="n">
        <f aca="false">SC_s*H103*SC_m*SC_n*SC_b*SQRT(2*g_)*G103^1.5</f>
        <v>221.854584309974</v>
      </c>
      <c r="J103" s="32" t="n">
        <f aca="false">F103+I103</f>
        <v>712.966827739953</v>
      </c>
      <c r="K103" s="32" t="n">
        <f aca="false">F103</f>
        <v>491.112243429979</v>
      </c>
      <c r="L103" s="32" t="n">
        <f aca="false">C103*1000000/dt_s+J103/2</f>
        <v>23782.6500805366</v>
      </c>
      <c r="M103" s="32" t="n">
        <f aca="false">C103*1000000/dt_s+K103/2</f>
        <v>23671.7227883816</v>
      </c>
    </row>
    <row r="104" customFormat="false" ht="15" hidden="false" customHeight="false" outlineLevel="0" collapsed="false">
      <c r="A104" s="24" t="n">
        <f aca="false">ROUND(A103+0.1,2)</f>
        <v>80.9</v>
      </c>
      <c r="B104" s="25" t="n">
        <f aca="false">INDEX(Bang_F,MATCH(A104,Bang_Z,1))+(A104-INDEX(Bang_Z,MATCH(A104,Bang_Z,1)))*(INDEX(Bang_F,MATCH(A104,Bang_Z,1)+1)-INDEX(Bang_F,MATCH(A104,Bang_Z,1)))</f>
        <v>9.90400000000001</v>
      </c>
      <c r="C104" s="25" t="n">
        <f aca="false">INDEX(Bang_W,MATCH(A104,Bang_Z,1))+(A104-INDEX(Bang_Z,MATCH(A104,Bang_Z,1)))*(INDEX(Bang_F,MATCH(A104,Bang_Z,1))+B104)/2</f>
        <v>85.3203000000001</v>
      </c>
      <c r="D104" s="26" t="n">
        <f aca="false">MAX(A104-TC_Z,0)</f>
        <v>6.2</v>
      </c>
      <c r="E104" s="27" t="n">
        <f aca="false">1-0.2*(TC_xmb+(TC_n-1)*TC_xmt)*D104/(TC_n*TC_b)</f>
        <v>0.753148148148148</v>
      </c>
      <c r="F104" s="28" t="n">
        <f aca="false">TC_s*E104*TC_m*TC_n*TC_b*SQRT(2*g_)*D104^1.5</f>
        <v>500.591779201641</v>
      </c>
      <c r="G104" s="29" t="n">
        <f aca="false">MAX(A104-SC_Z,0)</f>
        <v>9.90000000000001</v>
      </c>
      <c r="H104" s="30" t="n">
        <f aca="false">1-0.2*(SC_xmb+(SC_n-1)*SC_xmt)*G104/(SC_n*SC_b)</f>
        <v>0.7228</v>
      </c>
      <c r="I104" s="31" t="n">
        <f aca="false">SC_s*H104*SC_m*SC_n*SC_b*SQRT(2*g_)*G104^1.5</f>
        <v>224.389719368164</v>
      </c>
      <c r="J104" s="32" t="n">
        <f aca="false">F104+I104</f>
        <v>724.981498569805</v>
      </c>
      <c r="K104" s="32" t="n">
        <f aca="false">F104</f>
        <v>500.591779201641</v>
      </c>
      <c r="L104" s="32" t="n">
        <f aca="false">C104*1000000/dt_s+J104/2</f>
        <v>24062.5740826183</v>
      </c>
      <c r="M104" s="32" t="n">
        <f aca="false">C104*1000000/dt_s+K104/2</f>
        <v>23950.3792229342</v>
      </c>
    </row>
    <row r="105" customFormat="false" ht="15" hidden="false" customHeight="false" outlineLevel="0" collapsed="false">
      <c r="A105" s="24" t="n">
        <f aca="false">ROUND(A104+0.1,2)</f>
        <v>81</v>
      </c>
      <c r="B105" s="25" t="n">
        <f aca="false">INDEX(Bang_F,MATCH(A105,Bang_Z,1))+(A105-INDEX(Bang_Z,MATCH(A105,Bang_Z,1)))*(INDEX(Bang_F,MATCH(A105,Bang_Z,1)+1)-INDEX(Bang_F,MATCH(A105,Bang_Z,1)))</f>
        <v>9.99</v>
      </c>
      <c r="C105" s="25" t="n">
        <f aca="false">INDEX(Bang_W,MATCH(A105,Bang_Z,1))+(A105-INDEX(Bang_Z,MATCH(A105,Bang_Z,1)))*(INDEX(Bang_F,MATCH(A105,Bang_Z,1))+B105)/2</f>
        <v>86.315</v>
      </c>
      <c r="D105" s="26" t="n">
        <f aca="false">MAX(A105-TC_Z,0)</f>
        <v>6.3</v>
      </c>
      <c r="E105" s="27" t="n">
        <f aca="false">1-0.2*(TC_xmb+(TC_n-1)*TC_xmt)*D105/(TC_n*TC_b)</f>
        <v>0.749166666666667</v>
      </c>
      <c r="F105" s="28" t="n">
        <f aca="false">TC_s*E105*TC_m*TC_n*TC_b*SQRT(2*g_)*D105^1.5</f>
        <v>510.040938636337</v>
      </c>
      <c r="G105" s="29" t="n">
        <f aca="false">MAX(A105-SC_Z,0)</f>
        <v>10</v>
      </c>
      <c r="H105" s="30" t="n">
        <f aca="false">1-0.2*(SC_xmb+(SC_n-1)*SC_xmt)*G105/(SC_n*SC_b)</f>
        <v>0.72</v>
      </c>
      <c r="I105" s="31" t="n">
        <f aca="false">SC_s*H105*SC_m*SC_n*SC_b*SQRT(2*g_)*G105^1.5</f>
        <v>226.915684781815</v>
      </c>
      <c r="J105" s="32" t="n">
        <f aca="false">F105+I105</f>
        <v>736.956623418152</v>
      </c>
      <c r="K105" s="32" t="n">
        <f aca="false">F105</f>
        <v>510.040938636337</v>
      </c>
      <c r="L105" s="32" t="n">
        <f aca="false">C105*1000000/dt_s+J105/2</f>
        <v>24344.867200598</v>
      </c>
      <c r="M105" s="32" t="n">
        <f aca="false">C105*1000000/dt_s+K105/2</f>
        <v>24231.4093582071</v>
      </c>
    </row>
  </sheetData>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N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5" topLeftCell="B16" activePane="bottomRight" state="frozen"/>
      <selection pane="topLeft" activeCell="A1" activeCellId="0" sqref="A1"/>
      <selection pane="topRight" activeCell="B1" activeCellId="0" sqref="B1"/>
      <selection pane="bottomLeft" activeCell="A16" activeCellId="0" sqref="A1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11"/>
    <col collapsed="false" customWidth="true" hidden="false" outlineLevel="0" max="4" min="4" style="0" width="12"/>
    <col collapsed="false" customWidth="true" hidden="false" outlineLevel="0" max="5" min="5" style="0" width="11"/>
    <col collapsed="false" customWidth="true" hidden="false" outlineLevel="0" max="10" min="6" style="0" width="12"/>
    <col collapsed="false" customWidth="true" hidden="false" outlineLevel="0" max="11" min="11" style="0" width="11"/>
    <col collapsed="false" customWidth="true" hidden="false" outlineLevel="0" max="12" min="12" style="0" width="12"/>
    <col collapsed="false" customWidth="true" hidden="false" outlineLevel="0" max="14" min="13" style="0" width="10"/>
  </cols>
  <sheetData>
    <row r="1" customFormat="false" ht="17.35" hidden="false" customHeight="false" outlineLevel="0" collapsed="false">
      <c r="A1" s="6" t="s">
        <v>98</v>
      </c>
    </row>
    <row r="3" customFormat="false" ht="15" hidden="false" customHeight="false" outlineLevel="0" collapsed="false">
      <c r="A3" s="10" t="s">
        <v>99</v>
      </c>
      <c r="B3" s="10"/>
      <c r="C3" s="33" t="n">
        <v>1</v>
      </c>
      <c r="D3" s="10" t="s">
        <v>100</v>
      </c>
      <c r="E3" s="10"/>
      <c r="F3" s="34" t="s">
        <v>101</v>
      </c>
      <c r="G3" s="34"/>
      <c r="H3" s="7" t="s">
        <v>102</v>
      </c>
    </row>
    <row r="4" customFormat="false" ht="15" hidden="false" customHeight="false" outlineLevel="0" collapsed="false">
      <c r="A4" s="13" t="s">
        <v>103</v>
      </c>
      <c r="B4" s="13"/>
      <c r="C4" s="35" t="n">
        <f aca="false">MATCH(C3,Lu_P,0)</f>
        <v>1</v>
      </c>
      <c r="D4" s="13" t="s">
        <v>104</v>
      </c>
      <c r="E4" s="13"/>
      <c r="F4" s="35" t="n">
        <f aca="false">IF(F3="Kẹt van",2,1)</f>
        <v>1</v>
      </c>
    </row>
    <row r="5" customFormat="false" ht="15" hidden="false" customHeight="false" outlineLevel="0" collapsed="false">
      <c r="H5" s="7" t="s">
        <v>105</v>
      </c>
    </row>
    <row r="6" customFormat="false" ht="15" hidden="false" customHeight="false" outlineLevel="0" collapsed="false">
      <c r="A6" s="10" t="s">
        <v>106</v>
      </c>
      <c r="B6" s="10"/>
      <c r="C6" s="10"/>
      <c r="D6" s="10"/>
      <c r="E6" s="10"/>
      <c r="F6" s="21" t="n">
        <f aca="false">MAX(G16:G64)</f>
        <v>77.6079256047331</v>
      </c>
      <c r="H6" s="7" t="s">
        <v>107</v>
      </c>
    </row>
    <row r="7" customFormat="false" ht="15" hidden="false" customHeight="false" outlineLevel="0" collapsed="false">
      <c r="A7" s="10" t="s">
        <v>108</v>
      </c>
      <c r="B7" s="10"/>
      <c r="C7" s="10"/>
      <c r="D7" s="10"/>
      <c r="E7" s="10"/>
      <c r="F7" s="36" t="n">
        <f aca="false">INDEX(A16:A64,MATCH(MAX(G16:G64),G16:G64,0))</f>
        <v>16</v>
      </c>
    </row>
    <row r="8" customFormat="false" ht="15" hidden="false" customHeight="false" outlineLevel="0" collapsed="false">
      <c r="A8" s="10" t="s">
        <v>109</v>
      </c>
      <c r="B8" s="10"/>
      <c r="C8" s="10"/>
      <c r="D8" s="10"/>
      <c r="E8" s="10"/>
      <c r="F8" s="37" t="n">
        <f aca="false">MAX(J16:J64)</f>
        <v>326.748241000745</v>
      </c>
    </row>
    <row r="9" customFormat="false" ht="15" hidden="false" customHeight="false" outlineLevel="0" collapsed="false">
      <c r="A9" s="10" t="s">
        <v>110</v>
      </c>
      <c r="B9" s="10"/>
      <c r="C9" s="10"/>
      <c r="D9" s="10"/>
      <c r="E9" s="10"/>
      <c r="F9" s="37" t="n">
        <f aca="false">INDEX(H16:H64,MATCH(MAX(G16:G64),G16:G64,0))</f>
        <v>188.781024337192</v>
      </c>
      <c r="G9" s="37" t="n">
        <f aca="false">INDEX(I16:I64,MATCH(MAX(G16:G64),G16:G64,0))</f>
        <v>137.967216663554</v>
      </c>
    </row>
    <row r="10" customFormat="false" ht="15" hidden="false" customHeight="false" outlineLevel="0" collapsed="false">
      <c r="A10" s="10" t="s">
        <v>111</v>
      </c>
      <c r="B10" s="10"/>
      <c r="C10" s="10"/>
      <c r="D10" s="10"/>
      <c r="E10" s="10"/>
      <c r="F10" s="21" t="n">
        <f aca="false">F6-TC_Z</f>
        <v>2.90792560473314</v>
      </c>
      <c r="G10" s="21" t="n">
        <f aca="false">F6-SC_Z</f>
        <v>6.60792560473314</v>
      </c>
    </row>
    <row r="11" customFormat="false" ht="15" hidden="false" customHeight="false" outlineLevel="0" collapsed="false">
      <c r="A11" s="10" t="s">
        <v>112</v>
      </c>
      <c r="B11" s="10"/>
      <c r="C11" s="10"/>
      <c r="D11" s="10"/>
      <c r="E11" s="10"/>
      <c r="F11" s="38" t="n">
        <f aca="false">INDEX(K16:K64,MATCH(MAX(G16:G64),G16:G64,0))-K16</f>
        <v>20.3313768129942</v>
      </c>
    </row>
    <row r="12" customFormat="false" ht="15" hidden="false" customHeight="false" outlineLevel="0" collapsed="false">
      <c r="A12" s="10" t="s">
        <v>113</v>
      </c>
      <c r="B12" s="10"/>
      <c r="C12" s="10"/>
      <c r="D12" s="10"/>
      <c r="E12" s="10"/>
      <c r="F12" s="39" t="n">
        <f aca="false">SUMPRODUCT((B16:B63+B17:B64)/2)*dt_s/1000000-SUMPRODUCT((J16:J63+J17:J64)/2)*dt_s/1000000-(K64-K16)</f>
        <v>1.4210854715202E-014</v>
      </c>
    </row>
    <row r="15" customFormat="false" ht="45" hidden="false" customHeight="true" outlineLevel="0" collapsed="false">
      <c r="A15" s="9" t="s">
        <v>72</v>
      </c>
      <c r="B15" s="9" t="s">
        <v>114</v>
      </c>
      <c r="C15" s="9" t="s">
        <v>115</v>
      </c>
      <c r="D15" s="9" t="s">
        <v>116</v>
      </c>
      <c r="E15" s="9" t="s">
        <v>117</v>
      </c>
      <c r="F15" s="9" t="s">
        <v>118</v>
      </c>
      <c r="G15" s="9" t="s">
        <v>119</v>
      </c>
      <c r="H15" s="9" t="s">
        <v>90</v>
      </c>
      <c r="I15" s="9" t="s">
        <v>93</v>
      </c>
      <c r="J15" s="9" t="s">
        <v>120</v>
      </c>
      <c r="K15" s="9" t="s">
        <v>121</v>
      </c>
      <c r="L15" s="9" t="s">
        <v>122</v>
      </c>
      <c r="M15" s="9" t="s">
        <v>123</v>
      </c>
      <c r="N15" s="9" t="s">
        <v>124</v>
      </c>
    </row>
    <row r="16" customFormat="false" ht="15" hidden="false" customHeight="false" outlineLevel="0" collapsed="false">
      <c r="A16" s="14" t="n">
        <v>0</v>
      </c>
      <c r="B16" s="40" t="n">
        <f aca="false">IFERROR(INDEX(Lu_Q,MATCH(A16,Lu_t,0),$C$4),0)</f>
        <v>2</v>
      </c>
      <c r="C16" s="40"/>
      <c r="D16" s="40"/>
      <c r="E16" s="40"/>
      <c r="F16" s="40"/>
      <c r="G16" s="41" t="n">
        <f aca="false">Z0</f>
        <v>74.7</v>
      </c>
      <c r="H16" s="42" t="n">
        <f aca="false">INDEX(QH_qtc,M16)+N16*(INDEX(QH_qtc,M16+1)-INDEX(QH_qtc,M16))</f>
        <v>0</v>
      </c>
      <c r="I16" s="43" t="n">
        <f aca="false">IF($F$4=2,0,INDEX(QH_qsc,M16)+N16*(INDEX(QH_qsc,M16+1)-INDEX(QH_qsc,M16)))</f>
        <v>63.5823321712985</v>
      </c>
      <c r="J16" s="40" t="n">
        <f aca="false">H16+I16</f>
        <v>63.5823321712985</v>
      </c>
      <c r="K16" s="23" t="n">
        <f aca="false">INDEX(QH_V,M16)+N16*(INDEX(QH_V,M16+1)-INDEX(QH_V,M16))</f>
        <v>36.4117</v>
      </c>
      <c r="L16" s="40" t="n">
        <f aca="false">K16*1000000/dt_s+J16/2</f>
        <v>10146.1522771968</v>
      </c>
      <c r="M16" s="44" t="n">
        <f aca="false">MATCH(G16,QH_Z,1)</f>
        <v>38</v>
      </c>
      <c r="N16" s="45" t="n">
        <f aca="false">(G16-INDEX(QH_Z,M16))/(INDEX(QH_Z,M16+1)-INDEX(QH_Z,M16))</f>
        <v>0</v>
      </c>
    </row>
    <row r="17" customFormat="false" ht="15" hidden="false" customHeight="false" outlineLevel="0" collapsed="false">
      <c r="A17" s="14" t="n">
        <v>1</v>
      </c>
      <c r="B17" s="40" t="n">
        <f aca="false">IFERROR(INDEX(Lu_Q,MATCH(A17,Lu_t,0),$C$4),0)</f>
        <v>2</v>
      </c>
      <c r="C17" s="40" t="n">
        <f aca="false">(B16+B17)/2</f>
        <v>2</v>
      </c>
      <c r="D17" s="40" t="n">
        <f aca="false">L16</f>
        <v>10146.1522771968</v>
      </c>
      <c r="E17" s="40" t="n">
        <f aca="false">J16</f>
        <v>63.5823321712985</v>
      </c>
      <c r="F17" s="40" t="n">
        <f aca="false">D17+C17-E17</f>
        <v>10084.5699450255</v>
      </c>
      <c r="G17" s="41" t="n">
        <f aca="false">INDEX(QH_Z,M17)+N17*(INDEX(QH_Z,M17+1)-INDEX(QH_Z,M17))</f>
        <v>74.6646510369406</v>
      </c>
      <c r="H17" s="42" t="n">
        <f aca="false">INDEX(QH_qtc,M17)+N17*(INDEX(QH_qtc,M17+1)-INDEX(QH_qtc,M17))</f>
        <v>0</v>
      </c>
      <c r="I17" s="43" t="n">
        <f aca="false">IF($F$4=2,0,INDEX(QH_qsc,M17)+N17*(INDEX(QH_qsc,M17+1)-INDEX(QH_qsc,M17)))</f>
        <v>62.7447183269476</v>
      </c>
      <c r="J17" s="40" t="n">
        <f aca="false">H17+I17</f>
        <v>62.7447183269476</v>
      </c>
      <c r="K17" s="23" t="n">
        <f aca="false">INDEX(QH_V,M17)+N17*(INDEX(QH_V,M17+1)-INDEX(QH_V,M17))</f>
        <v>36.1915113091032</v>
      </c>
      <c r="L17" s="40" t="n">
        <f aca="false">K17*1000000/dt_s+J17/2</f>
        <v>10084.5699450255</v>
      </c>
      <c r="M17" s="44" t="n">
        <f aca="false">MATCH(F17,INDEX(QH_f,0,$F$4),1)</f>
        <v>37</v>
      </c>
      <c r="N17" s="45" t="n">
        <f aca="false">(F17-INDEX(QH_f,M17,$F$4))/(INDEX(QH_f,M17+1,$F$4)-INDEX(QH_f,M17,$F$4))</f>
        <v>0.646510369406289</v>
      </c>
    </row>
    <row r="18" customFormat="false" ht="15" hidden="false" customHeight="false" outlineLevel="0" collapsed="false">
      <c r="A18" s="14" t="n">
        <v>2</v>
      </c>
      <c r="B18" s="40" t="n">
        <f aca="false">IFERROR(INDEX(Lu_Q,MATCH(A18,Lu_t,0),$C$4),0)</f>
        <v>50</v>
      </c>
      <c r="C18" s="40" t="n">
        <f aca="false">(B17+B18)/2</f>
        <v>26</v>
      </c>
      <c r="D18" s="40" t="n">
        <f aca="false">L17</f>
        <v>10084.5699450255</v>
      </c>
      <c r="E18" s="40" t="n">
        <f aca="false">J17</f>
        <v>62.7447183269476</v>
      </c>
      <c r="F18" s="40" t="n">
        <f aca="false">D18+C18-E18</f>
        <v>10047.8252266985</v>
      </c>
      <c r="G18" s="41" t="n">
        <f aca="false">INDEX(QH_Z,M18)+N18*(INDEX(QH_Z,M18+1)-INDEX(QH_Z,M18))</f>
        <v>74.6435591483263</v>
      </c>
      <c r="H18" s="42" t="n">
        <f aca="false">INDEX(QH_qtc,M18)+N18*(INDEX(QH_qtc,M18+1)-INDEX(QH_qtc,M18))</f>
        <v>0</v>
      </c>
      <c r="I18" s="43" t="n">
        <f aca="false">IF($F$4=2,0,INDEX(QH_qsc,M18)+N18*(INDEX(QH_qsc,M18+1)-INDEX(QH_qsc,M18)))</f>
        <v>62.2449339944574</v>
      </c>
      <c r="J18" s="40" t="n">
        <f aca="false">H18+I18</f>
        <v>62.2449339944574</v>
      </c>
      <c r="K18" s="23" t="n">
        <f aca="false">INDEX(QH_V,M18)+N18*(INDEX(QH_V,M18+1)-INDEX(QH_V,M18))</f>
        <v>36.0601299349246</v>
      </c>
      <c r="L18" s="40" t="n">
        <f aca="false">K18*1000000/dt_s+J18/2</f>
        <v>10047.8252266985</v>
      </c>
      <c r="M18" s="44" t="n">
        <f aca="false">MATCH(F18,INDEX(QH_f,0,$F$4),1)</f>
        <v>37</v>
      </c>
      <c r="N18" s="45" t="n">
        <f aca="false">(F18-INDEX(QH_f,M18,$F$4))/(INDEX(QH_f,M18+1,$F$4)-INDEX(QH_f,M18,$F$4))</f>
        <v>0.435591483263223</v>
      </c>
    </row>
    <row r="19" customFormat="false" ht="15" hidden="false" customHeight="false" outlineLevel="0" collapsed="false">
      <c r="A19" s="14" t="n">
        <v>3</v>
      </c>
      <c r="B19" s="40" t="n">
        <f aca="false">IFERROR(INDEX(Lu_Q,MATCH(A19,Lu_t,0),$C$4),0)</f>
        <v>207</v>
      </c>
      <c r="C19" s="40" t="n">
        <f aca="false">(B18+B19)/2</f>
        <v>128.5</v>
      </c>
      <c r="D19" s="40" t="n">
        <f aca="false">L18</f>
        <v>10047.8252266985</v>
      </c>
      <c r="E19" s="40" t="n">
        <f aca="false">J18</f>
        <v>62.2449339944574</v>
      </c>
      <c r="F19" s="40" t="n">
        <f aca="false">D19+C19-E19</f>
        <v>10114.0802927041</v>
      </c>
      <c r="G19" s="41" t="n">
        <f aca="false">INDEX(QH_Z,M19)+N19*(INDEX(QH_Z,M19+1)-INDEX(QH_Z,M19))</f>
        <v>74.6815903140544</v>
      </c>
      <c r="H19" s="42" t="n">
        <f aca="false">INDEX(QH_qtc,M19)+N19*(INDEX(QH_qtc,M19+1)-INDEX(QH_qtc,M19))</f>
        <v>0</v>
      </c>
      <c r="I19" s="43" t="n">
        <f aca="false">IF($F$4=2,0,INDEX(QH_qsc,M19)+N19*(INDEX(QH_qsc,M19+1)-INDEX(QH_qsc,M19)))</f>
        <v>63.1461041610931</v>
      </c>
      <c r="J19" s="40" t="n">
        <f aca="false">H19+I19</f>
        <v>63.1461041610931</v>
      </c>
      <c r="K19" s="23" t="n">
        <f aca="false">INDEX(QH_V,M19)+N19*(INDEX(QH_V,M19+1)-INDEX(QH_V,M19))</f>
        <v>36.2970260662447</v>
      </c>
      <c r="L19" s="40" t="n">
        <f aca="false">K19*1000000/dt_s+J19/2</f>
        <v>10114.0802927041</v>
      </c>
      <c r="M19" s="44" t="n">
        <f aca="false">MATCH(F19,INDEX(QH_f,0,$F$4),1)</f>
        <v>37</v>
      </c>
      <c r="N19" s="45" t="n">
        <f aca="false">(F19-INDEX(QH_f,M19,$F$4))/(INDEX(QH_f,M19+1,$F$4)-INDEX(QH_f,M19,$F$4))</f>
        <v>0.815903140543667</v>
      </c>
    </row>
    <row r="20" customFormat="false" ht="15" hidden="false" customHeight="false" outlineLevel="0" collapsed="false">
      <c r="A20" s="14" t="n">
        <v>4</v>
      </c>
      <c r="B20" s="40" t="n">
        <f aca="false">IFERROR(INDEX(Lu_Q,MATCH(A20,Lu_t,0),$C$4),0)</f>
        <v>437</v>
      </c>
      <c r="C20" s="40" t="n">
        <f aca="false">(B19+B20)/2</f>
        <v>322</v>
      </c>
      <c r="D20" s="40" t="n">
        <f aca="false">L19</f>
        <v>10114.0802927041</v>
      </c>
      <c r="E20" s="40" t="n">
        <f aca="false">J19</f>
        <v>63.1461041610931</v>
      </c>
      <c r="F20" s="40" t="n">
        <f aca="false">D20+C20-E20</f>
        <v>10372.934188543</v>
      </c>
      <c r="G20" s="41" t="n">
        <f aca="false">INDEX(QH_Z,M20)+N20*(INDEX(QH_Z,M20+1)-INDEX(QH_Z,M20))</f>
        <v>74.8279398874281</v>
      </c>
      <c r="H20" s="42" t="n">
        <f aca="false">INDEX(QH_qtc,M20)+N20*(INDEX(QH_qtc,M20+1)-INDEX(QH_qtc,M20))</f>
        <v>2.04455381646544</v>
      </c>
      <c r="I20" s="43" t="n">
        <f aca="false">IF($F$4=2,0,INDEX(QH_qsc,M20)+N20*(INDEX(QH_qsc,M20+1)-INDEX(QH_qsc,M20)))</f>
        <v>66.6429210860932</v>
      </c>
      <c r="J20" s="40" t="n">
        <f aca="false">H20+I20</f>
        <v>68.6874749025587</v>
      </c>
      <c r="K20" s="23" t="n">
        <f aca="false">INDEX(QH_V,M20)+N20*(INDEX(QH_V,M20+1)-INDEX(QH_V,M20))</f>
        <v>37.2189256239301</v>
      </c>
      <c r="L20" s="40" t="n">
        <f aca="false">K20*1000000/dt_s+J20/2</f>
        <v>10372.934188543</v>
      </c>
      <c r="M20" s="44" t="n">
        <f aca="false">MATCH(F20,INDEX(QH_f,0,$F$4),1)</f>
        <v>39</v>
      </c>
      <c r="N20" s="45" t="n">
        <f aca="false">(F20-INDEX(QH_f,M20,$F$4))/(INDEX(QH_f,M20+1,$F$4)-INDEX(QH_f,M20,$F$4))</f>
        <v>0.27939887428091</v>
      </c>
    </row>
    <row r="21" customFormat="false" ht="15" hidden="false" customHeight="false" outlineLevel="0" collapsed="false">
      <c r="A21" s="14" t="n">
        <v>5</v>
      </c>
      <c r="B21" s="40" t="n">
        <f aca="false">IFERROR(INDEX(Lu_Q,MATCH(A21,Lu_t,0),$C$4),0)</f>
        <v>657</v>
      </c>
      <c r="C21" s="40" t="n">
        <f aca="false">(B20+B21)/2</f>
        <v>547</v>
      </c>
      <c r="D21" s="40" t="n">
        <f aca="false">L20</f>
        <v>10372.934188543</v>
      </c>
      <c r="E21" s="40" t="n">
        <f aca="false">J20</f>
        <v>68.6874749025587</v>
      </c>
      <c r="F21" s="40" t="n">
        <f aca="false">D21+C21-E21</f>
        <v>10851.2467136404</v>
      </c>
      <c r="G21" s="41" t="n">
        <f aca="false">INDEX(QH_Z,M21)+N21*(INDEX(QH_Z,M21+1)-INDEX(QH_Z,M21))</f>
        <v>75.0916825228357</v>
      </c>
      <c r="H21" s="42" t="n">
        <f aca="false">INDEX(QH_qtc,M21)+N21*(INDEX(QH_qtc,M21+1)-INDEX(QH_qtc,M21))</f>
        <v>10.4083747202605</v>
      </c>
      <c r="I21" s="43" t="n">
        <f aca="false">IF($F$4=2,0,INDEX(QH_qsc,M21)+N21*(INDEX(QH_qsc,M21+1)-INDEX(QH_qsc,M21)))</f>
        <v>73.0372119933926</v>
      </c>
      <c r="J21" s="40" t="n">
        <f aca="false">H21+I21</f>
        <v>83.4455867136531</v>
      </c>
      <c r="K21" s="23" t="n">
        <f aca="false">INDEX(QH_V,M21)+N21*(INDEX(QH_V,M21+1)-INDEX(QH_V,M21))</f>
        <v>38.9142861130209</v>
      </c>
      <c r="L21" s="40" t="n">
        <f aca="false">K21*1000000/dt_s+J21/2</f>
        <v>10851.2467136404</v>
      </c>
      <c r="M21" s="44" t="n">
        <f aca="false">MATCH(F21,INDEX(QH_f,0,$F$4),1)</f>
        <v>41</v>
      </c>
      <c r="N21" s="45" t="n">
        <f aca="false">(F21-INDEX(QH_f,M21,$F$4))/(INDEX(QH_f,M21+1,$F$4)-INDEX(QH_f,M21,$F$4))</f>
        <v>0.916825228356893</v>
      </c>
    </row>
    <row r="22" customFormat="false" ht="15" hidden="false" customHeight="false" outlineLevel="0" collapsed="false">
      <c r="A22" s="14" t="n">
        <v>6</v>
      </c>
      <c r="B22" s="40" t="n">
        <f aca="false">IFERROR(INDEX(Lu_Q,MATCH(A22,Lu_t,0),$C$4),0)</f>
        <v>816</v>
      </c>
      <c r="C22" s="40" t="n">
        <f aca="false">(B21+B22)/2</f>
        <v>736.5</v>
      </c>
      <c r="D22" s="40" t="n">
        <f aca="false">L21</f>
        <v>10851.2467136404</v>
      </c>
      <c r="E22" s="40" t="n">
        <f aca="false">J21</f>
        <v>83.4455867136531</v>
      </c>
      <c r="F22" s="40" t="n">
        <f aca="false">D22+C22-E22</f>
        <v>11504.3011269268</v>
      </c>
      <c r="G22" s="41" t="n">
        <f aca="false">INDEX(QH_Z,M22)+N22*(INDEX(QH_Z,M22+1)-INDEX(QH_Z,M22))</f>
        <v>75.4422128846623</v>
      </c>
      <c r="H22" s="42" t="n">
        <f aca="false">INDEX(QH_qtc,M22)+N22*(INDEX(QH_qtc,M22+1)-INDEX(QH_qtc,M22))</f>
        <v>26.7553911036079</v>
      </c>
      <c r="I22" s="43" t="n">
        <f aca="false">IF($F$4=2,0,INDEX(QH_qsc,M22)+N22*(INDEX(QH_qsc,M22+1)-INDEX(QH_qsc,M22)))</f>
        <v>81.7060927046268</v>
      </c>
      <c r="J22" s="40" t="n">
        <f aca="false">H22+I22</f>
        <v>108.461483808235</v>
      </c>
      <c r="K22" s="23" t="n">
        <f aca="false">INDEX(QH_V,M22)+N22*(INDEX(QH_V,M22+1)-INDEX(QH_V,M22))</f>
        <v>41.2202533860815</v>
      </c>
      <c r="L22" s="40" t="n">
        <f aca="false">K22*1000000/dt_s+J22/2</f>
        <v>11504.3011269268</v>
      </c>
      <c r="M22" s="44" t="n">
        <f aca="false">MATCH(F22,INDEX(QH_f,0,$F$4),1)</f>
        <v>45</v>
      </c>
      <c r="N22" s="45" t="n">
        <f aca="false">(F22-INDEX(QH_f,M22,$F$4))/(INDEX(QH_f,M22+1,$F$4)-INDEX(QH_f,M22,$F$4))</f>
        <v>0.422128846622816</v>
      </c>
    </row>
    <row r="23" customFormat="false" ht="15" hidden="false" customHeight="false" outlineLevel="0" collapsed="false">
      <c r="A23" s="14" t="n">
        <v>7</v>
      </c>
      <c r="B23" s="40" t="n">
        <f aca="false">IFERROR(INDEX(Lu_Q,MATCH(A23,Lu_t,0),$C$4),0)</f>
        <v>898</v>
      </c>
      <c r="C23" s="40" t="n">
        <f aca="false">(B22+B23)/2</f>
        <v>857</v>
      </c>
      <c r="D23" s="40" t="n">
        <f aca="false">L22</f>
        <v>11504.3011269268</v>
      </c>
      <c r="E23" s="40" t="n">
        <f aca="false">J22</f>
        <v>108.461483808235</v>
      </c>
      <c r="F23" s="40" t="n">
        <f aca="false">D23+C23-E23</f>
        <v>12252.8396431185</v>
      </c>
      <c r="G23" s="41" t="n">
        <f aca="false">INDEX(QH_Z,M23)+N23*(INDEX(QH_Z,M23+1)-INDEX(QH_Z,M23))</f>
        <v>75.8332568699791</v>
      </c>
      <c r="H23" s="42" t="n">
        <f aca="false">INDEX(QH_qtc,M23)+N23*(INDEX(QH_qtc,M23+1)-INDEX(QH_qtc,M23))</f>
        <v>49.623044508341</v>
      </c>
      <c r="I23" s="43" t="n">
        <f aca="false">IF($F$4=2,0,INDEX(QH_qsc,M23)+N23*(INDEX(QH_qsc,M23+1)-INDEX(QH_qsc,M23)))</f>
        <v>91.5687698192797</v>
      </c>
      <c r="J23" s="40" t="n">
        <f aca="false">H23+I23</f>
        <v>141.191814327621</v>
      </c>
      <c r="K23" s="23" t="n">
        <f aca="false">INDEX(QH_V,M23)+N23*(INDEX(QH_V,M23+1)-INDEX(QH_V,M23))</f>
        <v>43.856077449437</v>
      </c>
      <c r="L23" s="40" t="n">
        <f aca="false">K23*1000000/dt_s+J23/2</f>
        <v>12252.8396431185</v>
      </c>
      <c r="M23" s="44" t="n">
        <f aca="false">MATCH(F23,INDEX(QH_f,0,$F$4),1)</f>
        <v>49</v>
      </c>
      <c r="N23" s="45" t="n">
        <f aca="false">(F23-INDEX(QH_f,M23,$F$4))/(INDEX(QH_f,M23+1,$F$4)-INDEX(QH_f,M23,$F$4))</f>
        <v>0.332568699790687</v>
      </c>
    </row>
    <row r="24" customFormat="false" ht="15" hidden="false" customHeight="false" outlineLevel="0" collapsed="false">
      <c r="A24" s="14" t="n">
        <v>8</v>
      </c>
      <c r="B24" s="40" t="n">
        <f aca="false">IFERROR(INDEX(Lu_Q,MATCH(A24,Lu_t,0),$C$4),0)</f>
        <v>914</v>
      </c>
      <c r="C24" s="40" t="n">
        <f aca="false">(B23+B24)/2</f>
        <v>906</v>
      </c>
      <c r="D24" s="40" t="n">
        <f aca="false">L23</f>
        <v>12252.8396431185</v>
      </c>
      <c r="E24" s="40" t="n">
        <f aca="false">J23</f>
        <v>141.191814327621</v>
      </c>
      <c r="F24" s="40" t="n">
        <f aca="false">D24+C24-E24</f>
        <v>13017.6478287909</v>
      </c>
      <c r="G24" s="41" t="n">
        <f aca="false">INDEX(QH_Z,M24)+N24*(INDEX(QH_Z,M24+1)-INDEX(QH_Z,M24))</f>
        <v>76.2219283343402</v>
      </c>
      <c r="H24" s="42" t="n">
        <f aca="false">INDEX(QH_qtc,M24)+N24*(INDEX(QH_qtc,M24+1)-INDEX(QH_qtc,M24))</f>
        <v>75.9535536834656</v>
      </c>
      <c r="I24" s="43" t="n">
        <f aca="false">IF($F$4=2,0,INDEX(QH_qsc,M24)+N24*(INDEX(QH_qsc,M24+1)-INDEX(QH_qsc,M24)))</f>
        <v>101.538465709398</v>
      </c>
      <c r="J24" s="40" t="n">
        <f aca="false">H24+I24</f>
        <v>177.492019392864</v>
      </c>
      <c r="K24" s="23" t="n">
        <f aca="false">INDEX(QH_V,M24)+N24*(INDEX(QH_V,M24+1)-INDEX(QH_V,M24))</f>
        <v>46.5440465487401</v>
      </c>
      <c r="L24" s="40" t="n">
        <f aca="false">K24*1000000/dt_s+J24/2</f>
        <v>13017.6478287909</v>
      </c>
      <c r="M24" s="44" t="n">
        <f aca="false">MATCH(F24,INDEX(QH_f,0,$F$4),1)</f>
        <v>53</v>
      </c>
      <c r="N24" s="45" t="n">
        <f aca="false">(F24-INDEX(QH_f,M24,$F$4))/(INDEX(QH_f,M24+1,$F$4)-INDEX(QH_f,M24,$F$4))</f>
        <v>0.219283343402246</v>
      </c>
    </row>
    <row r="25" customFormat="false" ht="15" hidden="false" customHeight="false" outlineLevel="0" collapsed="false">
      <c r="A25" s="14" t="n">
        <v>9</v>
      </c>
      <c r="B25" s="40" t="n">
        <f aca="false">IFERROR(INDEX(Lu_Q,MATCH(A25,Lu_t,0),$C$4),0)</f>
        <v>879</v>
      </c>
      <c r="C25" s="40" t="n">
        <f aca="false">(B24+B25)/2</f>
        <v>896.5</v>
      </c>
      <c r="D25" s="40" t="n">
        <f aca="false">L24</f>
        <v>13017.6478287909</v>
      </c>
      <c r="E25" s="40" t="n">
        <f aca="false">J24</f>
        <v>177.492019392864</v>
      </c>
      <c r="F25" s="40" t="n">
        <f aca="false">D25+C25-E25</f>
        <v>13736.655809398</v>
      </c>
      <c r="G25" s="41" t="n">
        <f aca="false">INDEX(QH_Z,M25)+N25*(INDEX(QH_Z,M25+1)-INDEX(QH_Z,M25))</f>
        <v>76.5774335450504</v>
      </c>
      <c r="H25" s="42" t="n">
        <f aca="false">INDEX(QH_qtc,M25)+N25*(INDEX(QH_qtc,M25+1)-INDEX(QH_qtc,M25))</f>
        <v>102.488966032041</v>
      </c>
      <c r="I25" s="43" t="n">
        <f aca="false">IF($F$4=2,0,INDEX(QH_qsc,M25)+N25*(INDEX(QH_qsc,M25+1)-INDEX(QH_qsc,M25)))</f>
        <v>110.775049577144</v>
      </c>
      <c r="J25" s="40" t="n">
        <f aca="false">H25+I25</f>
        <v>213.264015609186</v>
      </c>
      <c r="K25" s="23" t="n">
        <f aca="false">INDEX(QH_V,M25)+N25*(INDEX(QH_V,M25+1)-INDEX(QH_V,M25))</f>
        <v>49.0680856857364</v>
      </c>
      <c r="L25" s="40" t="n">
        <f aca="false">K25*1000000/dt_s+J25/2</f>
        <v>13736.655809398</v>
      </c>
      <c r="M25" s="44" t="n">
        <f aca="false">MATCH(F25,INDEX(QH_f,0,$F$4),1)</f>
        <v>56</v>
      </c>
      <c r="N25" s="45" t="n">
        <f aca="false">(F25-INDEX(QH_f,M25,$F$4))/(INDEX(QH_f,M25+1,$F$4)-INDEX(QH_f,M25,$F$4))</f>
        <v>0.774335450503729</v>
      </c>
    </row>
    <row r="26" customFormat="false" ht="15" hidden="false" customHeight="false" outlineLevel="0" collapsed="false">
      <c r="A26" s="14" t="n">
        <v>10</v>
      </c>
      <c r="B26" s="40" t="n">
        <f aca="false">IFERROR(INDEX(Lu_Q,MATCH(A26,Lu_t,0),$C$4),0)</f>
        <v>812</v>
      </c>
      <c r="C26" s="40" t="n">
        <f aca="false">(B25+B26)/2</f>
        <v>845.5</v>
      </c>
      <c r="D26" s="40" t="n">
        <f aca="false">L25</f>
        <v>13736.655809398</v>
      </c>
      <c r="E26" s="40" t="n">
        <f aca="false">J25</f>
        <v>213.264015609186</v>
      </c>
      <c r="F26" s="40" t="n">
        <f aca="false">D26+C26-E26</f>
        <v>14368.8917937889</v>
      </c>
      <c r="G26" s="41" t="n">
        <f aca="false">INDEX(QH_Z,M26)+N26*(INDEX(QH_Z,M26+1)-INDEX(QH_Z,M26))</f>
        <v>76.8827303727112</v>
      </c>
      <c r="H26" s="42" t="n">
        <f aca="false">INDEX(QH_qtc,M26)+N26*(INDEX(QH_qtc,M26+1)-INDEX(QH_qtc,M26))</f>
        <v>126.783430464887</v>
      </c>
      <c r="I26" s="43" t="n">
        <f aca="false">IF($F$4=2,0,INDEX(QH_qsc,M26)+N26*(INDEX(QH_qsc,M26+1)-INDEX(QH_qsc,M26)))</f>
        <v>118.777945940741</v>
      </c>
      <c r="J26" s="40" t="n">
        <f aca="false">H26+I26</f>
        <v>245.561376405628</v>
      </c>
      <c r="K26" s="23" t="n">
        <f aca="false">INDEX(QH_V,M26)+N26*(INDEX(QH_V,M26+1)-INDEX(QH_V,M26))</f>
        <v>51.2859999801097</v>
      </c>
      <c r="L26" s="40" t="n">
        <f aca="false">K26*1000000/dt_s+J26/2</f>
        <v>14368.8917937889</v>
      </c>
      <c r="M26" s="44" t="n">
        <f aca="false">MATCH(F26,INDEX(QH_f,0,$F$4),1)</f>
        <v>59</v>
      </c>
      <c r="N26" s="45" t="n">
        <f aca="false">(F26-INDEX(QH_f,M26,$F$4))/(INDEX(QH_f,M26+1,$F$4)-INDEX(QH_f,M26,$F$4))</f>
        <v>0.827303727112226</v>
      </c>
    </row>
    <row r="27" customFormat="false" ht="15" hidden="false" customHeight="false" outlineLevel="0" collapsed="false">
      <c r="A27" s="14" t="n">
        <v>11</v>
      </c>
      <c r="B27" s="40" t="n">
        <f aca="false">IFERROR(INDEX(Lu_Q,MATCH(A27,Lu_t,0),$C$4),0)</f>
        <v>727</v>
      </c>
      <c r="C27" s="40" t="n">
        <f aca="false">(B26+B27)/2</f>
        <v>769.5</v>
      </c>
      <c r="D27" s="40" t="n">
        <f aca="false">L26</f>
        <v>14368.8917937889</v>
      </c>
      <c r="E27" s="40" t="n">
        <f aca="false">J26</f>
        <v>245.561376405628</v>
      </c>
      <c r="F27" s="40" t="n">
        <f aca="false">D27+C27-E27</f>
        <v>14892.8304173832</v>
      </c>
      <c r="G27" s="41" t="n">
        <f aca="false">INDEX(QH_Z,M27)+N27*(INDEX(QH_Z,M27+1)-INDEX(QH_Z,M27))</f>
        <v>77.1308636650131</v>
      </c>
      <c r="H27" s="42" t="n">
        <f aca="false">INDEX(QH_qtc,M27)+N27*(INDEX(QH_qtc,M27+1)-INDEX(QH_qtc,M27))</f>
        <v>147.394560534531</v>
      </c>
      <c r="I27" s="43" t="n">
        <f aca="false">IF($F$4=2,0,INDEX(QH_qsc,M27)+N27*(INDEX(QH_qsc,M27+1)-INDEX(QH_qsc,M27)))</f>
        <v>125.320612303941</v>
      </c>
      <c r="J27" s="40" t="n">
        <f aca="false">H27+I27</f>
        <v>272.715172838473</v>
      </c>
      <c r="K27" s="23" t="n">
        <f aca="false">INDEX(QH_V,M27)+N27*(INDEX(QH_V,M27+1)-INDEX(QH_V,M27))</f>
        <v>53.1233021914704</v>
      </c>
      <c r="L27" s="40" t="n">
        <f aca="false">K27*1000000/dt_s+J27/2</f>
        <v>14892.8304173832</v>
      </c>
      <c r="M27" s="44" t="n">
        <f aca="false">MATCH(F27,INDEX(QH_f,0,$F$4),1)</f>
        <v>62</v>
      </c>
      <c r="N27" s="45" t="n">
        <f aca="false">(F27-INDEX(QH_f,M27,$F$4))/(INDEX(QH_f,M27+1,$F$4)-INDEX(QH_f,M27,$F$4))</f>
        <v>0.308636650130917</v>
      </c>
    </row>
    <row r="28" customFormat="false" ht="15" hidden="false" customHeight="false" outlineLevel="0" collapsed="false">
      <c r="A28" s="14" t="n">
        <v>12</v>
      </c>
      <c r="B28" s="40" t="n">
        <f aca="false">IFERROR(INDEX(Lu_Q,MATCH(A28,Lu_t,0),$C$4),0)</f>
        <v>636</v>
      </c>
      <c r="C28" s="40" t="n">
        <f aca="false">(B27+B28)/2</f>
        <v>681.5</v>
      </c>
      <c r="D28" s="40" t="n">
        <f aca="false">L27</f>
        <v>14892.8304173832</v>
      </c>
      <c r="E28" s="40" t="n">
        <f aca="false">J27</f>
        <v>272.715172838473</v>
      </c>
      <c r="F28" s="40" t="n">
        <f aca="false">D28+C28-E28</f>
        <v>15301.6152445448</v>
      </c>
      <c r="G28" s="41" t="n">
        <f aca="false">INDEX(QH_Z,M28)+N28*(INDEX(QH_Z,M28+1)-INDEX(QH_Z,M28))</f>
        <v>77.3215836169494</v>
      </c>
      <c r="H28" s="42" t="n">
        <f aca="false">INDEX(QH_qtc,M28)+N28*(INDEX(QH_qtc,M28+1)-INDEX(QH_qtc,M28))</f>
        <v>163.684411656821</v>
      </c>
      <c r="I28" s="43" t="n">
        <f aca="false">IF($F$4=2,0,INDEX(QH_qsc,M28)+N28*(INDEX(QH_qsc,M28+1)-INDEX(QH_qsc,M28)))</f>
        <v>130.367499070913</v>
      </c>
      <c r="J28" s="40" t="n">
        <f aca="false">H28+I28</f>
        <v>294.051910727734</v>
      </c>
      <c r="K28" s="23" t="n">
        <f aca="false">INDEX(QH_V,M28)+N28*(INDEX(QH_V,M28+1)-INDEX(QH_V,M28))</f>
        <v>54.5565214410512</v>
      </c>
      <c r="L28" s="40" t="n">
        <f aca="false">K28*1000000/dt_s+J28/2</f>
        <v>15301.6152445448</v>
      </c>
      <c r="M28" s="44" t="n">
        <f aca="false">MATCH(F28,INDEX(QH_f,0,$F$4),1)</f>
        <v>64</v>
      </c>
      <c r="N28" s="45" t="n">
        <f aca="false">(F28-INDEX(QH_f,M28,$F$4))/(INDEX(QH_f,M28+1,$F$4)-INDEX(QH_f,M28,$F$4))</f>
        <v>0.215836169494215</v>
      </c>
    </row>
    <row r="29" customFormat="false" ht="15" hidden="false" customHeight="false" outlineLevel="0" collapsed="false">
      <c r="A29" s="14" t="n">
        <v>13</v>
      </c>
      <c r="B29" s="40" t="n">
        <f aca="false">IFERROR(INDEX(Lu_Q,MATCH(A29,Lu_t,0),$C$4),0)</f>
        <v>547</v>
      </c>
      <c r="C29" s="40" t="n">
        <f aca="false">(B28+B29)/2</f>
        <v>591.5</v>
      </c>
      <c r="D29" s="40" t="n">
        <f aca="false">L28</f>
        <v>15301.6152445448</v>
      </c>
      <c r="E29" s="40" t="n">
        <f aca="false">J28</f>
        <v>294.051910727734</v>
      </c>
      <c r="F29" s="40" t="n">
        <f aca="false">D29+C29-E29</f>
        <v>15599.063333817</v>
      </c>
      <c r="G29" s="41" t="n">
        <f aca="false">INDEX(QH_Z,M29)+N29*(INDEX(QH_Z,M29+1)-INDEX(QH_Z,M29))</f>
        <v>77.4587838987525</v>
      </c>
      <c r="H29" s="42" t="n">
        <f aca="false">INDEX(QH_qtc,M29)+N29*(INDEX(QH_qtc,M29+1)-INDEX(QH_qtc,M29))</f>
        <v>175.6250609865</v>
      </c>
      <c r="I29" s="43" t="n">
        <f aca="false">IF($F$4=2,0,INDEX(QH_qsc,M29)+N29*(INDEX(QH_qsc,M29+1)-INDEX(QH_qsc,M29)))</f>
        <v>134.006186907574</v>
      </c>
      <c r="J29" s="40" t="n">
        <f aca="false">H29+I29</f>
        <v>309.631247894074</v>
      </c>
      <c r="K29" s="23" t="n">
        <f aca="false">INDEX(QH_V,M29)+N29*(INDEX(QH_V,M29+1)-INDEX(QH_V,M29))</f>
        <v>55.5992917555319</v>
      </c>
      <c r="L29" s="40" t="n">
        <f aca="false">K29*1000000/dt_s+J29/2</f>
        <v>15599.063333817</v>
      </c>
      <c r="M29" s="44" t="n">
        <f aca="false">MATCH(F29,INDEX(QH_f,0,$F$4),1)</f>
        <v>65</v>
      </c>
      <c r="N29" s="45" t="n">
        <f aca="false">(F29-INDEX(QH_f,M29,$F$4))/(INDEX(QH_f,M29+1,$F$4)-INDEX(QH_f,M29,$F$4))</f>
        <v>0.58783898752462</v>
      </c>
    </row>
    <row r="30" customFormat="false" ht="15" hidden="false" customHeight="false" outlineLevel="0" collapsed="false">
      <c r="A30" s="14" t="n">
        <v>14</v>
      </c>
      <c r="B30" s="40" t="n">
        <f aca="false">IFERROR(INDEX(Lu_Q,MATCH(A30,Lu_t,0),$C$4),0)</f>
        <v>461</v>
      </c>
      <c r="C30" s="40" t="n">
        <f aca="false">(B29+B30)/2</f>
        <v>504</v>
      </c>
      <c r="D30" s="40" t="n">
        <f aca="false">L29</f>
        <v>15599.063333817</v>
      </c>
      <c r="E30" s="40" t="n">
        <f aca="false">J29</f>
        <v>309.631247894074</v>
      </c>
      <c r="F30" s="40" t="n">
        <f aca="false">D30+C30-E30</f>
        <v>15793.4320859229</v>
      </c>
      <c r="G30" s="41" t="n">
        <f aca="false">INDEX(QH_Z,M30)+N30*(INDEX(QH_Z,M30+1)-INDEX(QH_Z,M30))</f>
        <v>77.547772771559</v>
      </c>
      <c r="H30" s="42" t="n">
        <f aca="false">INDEX(QH_qtc,M30)+N30*(INDEX(QH_qtc,M30+1)-INDEX(QH_qtc,M30))</f>
        <v>183.456880950924</v>
      </c>
      <c r="I30" s="43" t="n">
        <f aca="false">IF($F$4=2,0,INDEX(QH_qsc,M30)+N30*(INDEX(QH_qsc,M30+1)-INDEX(QH_qsc,M30)))</f>
        <v>136.369084251347</v>
      </c>
      <c r="J30" s="40" t="n">
        <f aca="false">H30+I30</f>
        <v>319.82596520227</v>
      </c>
      <c r="K30" s="23" t="n">
        <f aca="false">INDEX(QH_V,M30)+N30*(INDEX(QH_V,M30+1)-INDEX(QH_V,M30))</f>
        <v>56.2806687719585</v>
      </c>
      <c r="L30" s="40" t="n">
        <f aca="false">K30*1000000/dt_s+J30/2</f>
        <v>15793.4320859229</v>
      </c>
      <c r="M30" s="44" t="n">
        <f aca="false">MATCH(F30,INDEX(QH_f,0,$F$4),1)</f>
        <v>66</v>
      </c>
      <c r="N30" s="45" t="n">
        <f aca="false">(F30-INDEX(QH_f,M30,$F$4))/(INDEX(QH_f,M30+1,$F$4)-INDEX(QH_f,M30,$F$4))</f>
        <v>0.477727715589511</v>
      </c>
    </row>
    <row r="31" customFormat="false" ht="15" hidden="false" customHeight="false" outlineLevel="0" collapsed="false">
      <c r="A31" s="14" t="n">
        <v>15</v>
      </c>
      <c r="B31" s="40" t="n">
        <f aca="false">IFERROR(INDEX(Lu_Q,MATCH(A31,Lu_t,0),$C$4),0)</f>
        <v>386</v>
      </c>
      <c r="C31" s="40" t="n">
        <f aca="false">(B30+B31)/2</f>
        <v>423.5</v>
      </c>
      <c r="D31" s="40" t="n">
        <f aca="false">L30</f>
        <v>15793.4320859229</v>
      </c>
      <c r="E31" s="40" t="n">
        <f aca="false">J30</f>
        <v>319.82596520227</v>
      </c>
      <c r="F31" s="40" t="n">
        <f aca="false">D31+C31-E31</f>
        <v>15897.1061207207</v>
      </c>
      <c r="G31" s="41" t="n">
        <f aca="false">INDEX(QH_Z,M31)+N31*(INDEX(QH_Z,M31+1)-INDEX(QH_Z,M31))</f>
        <v>77.5950918352575</v>
      </c>
      <c r="H31" s="42" t="n">
        <f aca="false">INDEX(QH_qtc,M31)+N31*(INDEX(QH_qtc,M31+1)-INDEX(QH_qtc,M31))</f>
        <v>187.640105934284</v>
      </c>
      <c r="I31" s="43" t="n">
        <f aca="false">IF($F$4=2,0,INDEX(QH_qsc,M31)+N31*(INDEX(QH_qsc,M31+1)-INDEX(QH_qsc,M31)))</f>
        <v>137.626112898721</v>
      </c>
      <c r="J31" s="40" t="n">
        <f aca="false">H31+I31</f>
        <v>325.266218833005</v>
      </c>
      <c r="K31" s="23" t="n">
        <f aca="false">INDEX(QH_V,M31)+N31*(INDEX(QH_V,M31+1)-INDEX(QH_V,M31))</f>
        <v>56.644102840695</v>
      </c>
      <c r="L31" s="40" t="n">
        <f aca="false">K31*1000000/dt_s+J31/2</f>
        <v>15897.1061207207</v>
      </c>
      <c r="M31" s="44" t="n">
        <f aca="false">MATCH(F31,INDEX(QH_f,0,$F$4),1)</f>
        <v>66</v>
      </c>
      <c r="N31" s="45" t="n">
        <f aca="false">(F31-INDEX(QH_f,M31,$F$4))/(INDEX(QH_f,M31+1,$F$4)-INDEX(QH_f,M31,$F$4))</f>
        <v>0.95091835257477</v>
      </c>
    </row>
    <row r="32" customFormat="false" ht="15" hidden="false" customHeight="false" outlineLevel="0" collapsed="false">
      <c r="A32" s="14" t="n">
        <v>16</v>
      </c>
      <c r="B32" s="40" t="n">
        <f aca="false">IFERROR(INDEX(Lu_Q,MATCH(A32,Lu_t,0),$C$4),0)</f>
        <v>321</v>
      </c>
      <c r="C32" s="40" t="n">
        <f aca="false">(B31+B32)/2</f>
        <v>353.5</v>
      </c>
      <c r="D32" s="40" t="n">
        <f aca="false">L31</f>
        <v>15897.1061207207</v>
      </c>
      <c r="E32" s="40" t="n">
        <f aca="false">J31</f>
        <v>325.266218833005</v>
      </c>
      <c r="F32" s="40" t="n">
        <f aca="false">D32+C32-E32</f>
        <v>15925.3399018877</v>
      </c>
      <c r="G32" s="41" t="n">
        <f aca="false">INDEX(QH_Z,M32)+N32*(INDEX(QH_Z,M32+1)-INDEX(QH_Z,M32))</f>
        <v>77.6079256047331</v>
      </c>
      <c r="H32" s="42" t="n">
        <f aca="false">INDEX(QH_qtc,M32)+N32*(INDEX(QH_qtc,M32+1)-INDEX(QH_qtc,M32))</f>
        <v>188.781024337192</v>
      </c>
      <c r="I32" s="43" t="n">
        <f aca="false">IF($F$4=2,0,INDEX(QH_qsc,M32)+N32*(INDEX(QH_qsc,M32+1)-INDEX(QH_qsc,M32)))</f>
        <v>137.967216663554</v>
      </c>
      <c r="J32" s="40" t="n">
        <f aca="false">H32+I32</f>
        <v>326.748241000745</v>
      </c>
      <c r="K32" s="23" t="n">
        <f aca="false">INDEX(QH_V,M32)+N32*(INDEX(QH_V,M32+1)-INDEX(QH_V,M32))</f>
        <v>56.7430768129943</v>
      </c>
      <c r="L32" s="40" t="n">
        <f aca="false">K32*1000000/dt_s+J32/2</f>
        <v>15925.3399018877</v>
      </c>
      <c r="M32" s="44" t="n">
        <f aca="false">MATCH(F32,INDEX(QH_f,0,$F$4),1)</f>
        <v>67</v>
      </c>
      <c r="N32" s="45" t="n">
        <f aca="false">(F32-INDEX(QH_f,M32,$F$4))/(INDEX(QH_f,M32+1,$F$4)-INDEX(QH_f,M32,$F$4))</f>
        <v>0.0792560473314333</v>
      </c>
    </row>
    <row r="33" customFormat="false" ht="15" hidden="false" customHeight="false" outlineLevel="0" collapsed="false">
      <c r="A33" s="14" t="n">
        <v>17</v>
      </c>
      <c r="B33" s="40" t="n">
        <f aca="false">IFERROR(INDEX(Lu_Q,MATCH(A33,Lu_t,0),$C$4),0)</f>
        <v>263</v>
      </c>
      <c r="C33" s="40" t="n">
        <f aca="false">(B32+B33)/2</f>
        <v>292</v>
      </c>
      <c r="D33" s="40" t="n">
        <f aca="false">L32</f>
        <v>15925.3399018877</v>
      </c>
      <c r="E33" s="40" t="n">
        <f aca="false">J32</f>
        <v>326.748241000745</v>
      </c>
      <c r="F33" s="40" t="n">
        <f aca="false">D33+C33-E33</f>
        <v>15890.5916608869</v>
      </c>
      <c r="G33" s="41" t="n">
        <f aca="false">INDEX(QH_Z,M33)+N33*(INDEX(QH_Z,M33+1)-INDEX(QH_Z,M33))</f>
        <v>77.5921184954001</v>
      </c>
      <c r="H33" s="42" t="n">
        <f aca="false">INDEX(QH_qtc,M33)+N33*(INDEX(QH_qtc,M33+1)-INDEX(QH_qtc,M33))</f>
        <v>187.377248882537</v>
      </c>
      <c r="I33" s="43" t="n">
        <f aca="false">IF($F$4=2,0,INDEX(QH_qsc,M33)+N33*(INDEX(QH_qsc,M33+1)-INDEX(QH_qsc,M33)))</f>
        <v>137.547126268663</v>
      </c>
      <c r="J33" s="40" t="n">
        <f aca="false">H33+I33</f>
        <v>324.9243751512</v>
      </c>
      <c r="K33" s="23" t="n">
        <f aca="false">INDEX(QH_V,M33)+N33*(INDEX(QH_V,M33+1)-INDEX(QH_V,M33))</f>
        <v>56.6212661039208</v>
      </c>
      <c r="L33" s="40" t="n">
        <f aca="false">K33*1000000/dt_s+J33/2</f>
        <v>15890.5916608869</v>
      </c>
      <c r="M33" s="44" t="n">
        <f aca="false">MATCH(F33,INDEX(QH_f,0,$F$4),1)</f>
        <v>66</v>
      </c>
      <c r="N33" s="45" t="n">
        <f aca="false">(F33-INDEX(QH_f,M33,$F$4))/(INDEX(QH_f,M33+1,$F$4)-INDEX(QH_f,M33,$F$4))</f>
        <v>0.921184954001431</v>
      </c>
    </row>
    <row r="34" customFormat="false" ht="15" hidden="false" customHeight="false" outlineLevel="0" collapsed="false">
      <c r="A34" s="14" t="n">
        <v>18</v>
      </c>
      <c r="B34" s="40" t="n">
        <f aca="false">IFERROR(INDEX(Lu_Q,MATCH(A34,Lu_t,0),$C$4),0)</f>
        <v>214</v>
      </c>
      <c r="C34" s="40" t="n">
        <f aca="false">(B33+B34)/2</f>
        <v>238.5</v>
      </c>
      <c r="D34" s="40" t="n">
        <f aca="false">L33</f>
        <v>15890.5916608869</v>
      </c>
      <c r="E34" s="40" t="n">
        <f aca="false">J33</f>
        <v>324.9243751512</v>
      </c>
      <c r="F34" s="40" t="n">
        <f aca="false">D34+C34-E34</f>
        <v>15804.1672857357</v>
      </c>
      <c r="G34" s="41" t="n">
        <f aca="false">INDEX(QH_Z,M34)+N34*(INDEX(QH_Z,M34+1)-INDEX(QH_Z,M34))</f>
        <v>77.5526725481013</v>
      </c>
      <c r="H34" s="42" t="n">
        <f aca="false">INDEX(QH_qtc,M34)+N34*(INDEX(QH_qtc,M34+1)-INDEX(QH_qtc,M34))</f>
        <v>183.890043952111</v>
      </c>
      <c r="I34" s="43" t="n">
        <f aca="false">IF($F$4=2,0,INDEX(QH_qsc,M34)+N34*(INDEX(QH_qsc,M34+1)-INDEX(QH_qsc,M34)))</f>
        <v>136.49924657913</v>
      </c>
      <c r="J34" s="40" t="n">
        <f aca="false">H34+I34</f>
        <v>320.389290531241</v>
      </c>
      <c r="K34" s="23" t="n">
        <f aca="false">INDEX(QH_V,M34)+N34*(INDEX(QH_V,M34+1)-INDEX(QH_V,M34))</f>
        <v>56.3183015056924</v>
      </c>
      <c r="L34" s="40" t="n">
        <f aca="false">K34*1000000/dt_s+J34/2</f>
        <v>15804.1672857357</v>
      </c>
      <c r="M34" s="44" t="n">
        <f aca="false">MATCH(F34,INDEX(QH_f,0,$F$4),1)</f>
        <v>66</v>
      </c>
      <c r="N34" s="45" t="n">
        <f aca="false">(F34-INDEX(QH_f,M34,$F$4))/(INDEX(QH_f,M34+1,$F$4)-INDEX(QH_f,M34,$F$4))</f>
        <v>0.526725481013449</v>
      </c>
    </row>
    <row r="35" customFormat="false" ht="15" hidden="false" customHeight="false" outlineLevel="0" collapsed="false">
      <c r="A35" s="14" t="n">
        <v>19</v>
      </c>
      <c r="B35" s="40" t="n">
        <f aca="false">IFERROR(INDEX(Lu_Q,MATCH(A35,Lu_t,0),$C$4),0)</f>
        <v>174</v>
      </c>
      <c r="C35" s="40" t="n">
        <f aca="false">(B34+B35)/2</f>
        <v>194</v>
      </c>
      <c r="D35" s="40" t="n">
        <f aca="false">L34</f>
        <v>15804.1672857357</v>
      </c>
      <c r="E35" s="40" t="n">
        <f aca="false">J34</f>
        <v>320.389290531241</v>
      </c>
      <c r="F35" s="40" t="n">
        <f aca="false">D35+C35-E35</f>
        <v>15677.7779952045</v>
      </c>
      <c r="G35" s="41" t="n">
        <f aca="false">INDEX(QH_Z,M35)+N35*(INDEX(QH_Z,M35+1)-INDEX(QH_Z,M35))</f>
        <v>77.4949520980614</v>
      </c>
      <c r="H35" s="42" t="n">
        <f aca="false">INDEX(QH_qtc,M35)+N35*(INDEX(QH_qtc,M35+1)-INDEX(QH_qtc,M35))</f>
        <v>178.79160038055</v>
      </c>
      <c r="I35" s="43" t="n">
        <f aca="false">IF($F$4=2,0,INDEX(QH_qsc,M35)+N35*(INDEX(QH_qsc,M35+1)-INDEX(QH_qsc,M35)))</f>
        <v>134.966038828902</v>
      </c>
      <c r="J35" s="40" t="n">
        <f aca="false">H35+I35</f>
        <v>313.757639209451</v>
      </c>
      <c r="K35" s="23" t="n">
        <f aca="false">INDEX(QH_V,M35)+N35*(INDEX(QH_V,M35+1)-INDEX(QH_V,M35))</f>
        <v>55.8752370321591</v>
      </c>
      <c r="L35" s="40" t="n">
        <f aca="false">K35*1000000/dt_s+J35/2</f>
        <v>15677.7779952045</v>
      </c>
      <c r="M35" s="44" t="n">
        <f aca="false">MATCH(F35,INDEX(QH_f,0,$F$4),1)</f>
        <v>65</v>
      </c>
      <c r="N35" s="45" t="n">
        <f aca="false">(F35-INDEX(QH_f,M35,$F$4))/(INDEX(QH_f,M35+1,$F$4)-INDEX(QH_f,M35,$F$4))</f>
        <v>0.94952098061356</v>
      </c>
    </row>
    <row r="36" customFormat="false" ht="15" hidden="false" customHeight="false" outlineLevel="0" collapsed="false">
      <c r="A36" s="14" t="n">
        <v>20</v>
      </c>
      <c r="B36" s="40" t="n">
        <f aca="false">IFERROR(INDEX(Lu_Q,MATCH(A36,Lu_t,0),$C$4),0)</f>
        <v>141</v>
      </c>
      <c r="C36" s="40" t="n">
        <f aca="false">(B35+B36)/2</f>
        <v>157.5</v>
      </c>
      <c r="D36" s="40" t="n">
        <f aca="false">L35</f>
        <v>15677.7779952045</v>
      </c>
      <c r="E36" s="40" t="n">
        <f aca="false">J35</f>
        <v>313.757639209451</v>
      </c>
      <c r="F36" s="40" t="n">
        <f aca="false">D36+C36-E36</f>
        <v>15521.520355995</v>
      </c>
      <c r="G36" s="41" t="n">
        <f aca="false">INDEX(QH_Z,M36)+N36*(INDEX(QH_Z,M36+1)-INDEX(QH_Z,M36))</f>
        <v>77.4231540703643</v>
      </c>
      <c r="H36" s="42" t="n">
        <f aca="false">INDEX(QH_qtc,M36)+N36*(INDEX(QH_qtc,M36+1)-INDEX(QH_qtc,M36))</f>
        <v>172.505656168171</v>
      </c>
      <c r="I36" s="43" t="n">
        <f aca="false">IF($F$4=2,0,INDEX(QH_qsc,M36)+N36*(INDEX(QH_qsc,M36+1)-INDEX(QH_qsc,M36)))</f>
        <v>133.060622575136</v>
      </c>
      <c r="J36" s="40" t="n">
        <f aca="false">H36+I36</f>
        <v>305.566278743307</v>
      </c>
      <c r="K36" s="23" t="n">
        <f aca="false">INDEX(QH_V,M36)+N36*(INDEX(QH_V,M36+1)-INDEX(QH_V,M36))</f>
        <v>55.3274539798442</v>
      </c>
      <c r="L36" s="40" t="n">
        <f aca="false">K36*1000000/dt_s+J36/2</f>
        <v>15521.520355995</v>
      </c>
      <c r="M36" s="44" t="n">
        <f aca="false">MATCH(F36,INDEX(QH_f,0,$F$4),1)</f>
        <v>65</v>
      </c>
      <c r="N36" s="45" t="n">
        <f aca="false">(F36-INDEX(QH_f,M36,$F$4))/(INDEX(QH_f,M36+1,$F$4)-INDEX(QH_f,M36,$F$4))</f>
        <v>0.231540703642617</v>
      </c>
    </row>
    <row r="37" customFormat="false" ht="15" hidden="false" customHeight="false" outlineLevel="0" collapsed="false">
      <c r="A37" s="14" t="n">
        <v>21</v>
      </c>
      <c r="B37" s="40" t="n">
        <f aca="false">IFERROR(INDEX(Lu_Q,MATCH(A37,Lu_t,0),$C$4),0)</f>
        <v>112</v>
      </c>
      <c r="C37" s="40" t="n">
        <f aca="false">(B36+B37)/2</f>
        <v>126.5</v>
      </c>
      <c r="D37" s="40" t="n">
        <f aca="false">L36</f>
        <v>15521.520355995</v>
      </c>
      <c r="E37" s="40" t="n">
        <f aca="false">J36</f>
        <v>305.566278743307</v>
      </c>
      <c r="F37" s="40" t="n">
        <f aca="false">D37+C37-E37</f>
        <v>15342.4540772517</v>
      </c>
      <c r="G37" s="41" t="n">
        <f aca="false">INDEX(QH_Z,M37)+N37*(INDEX(QH_Z,M37+1)-INDEX(QH_Z,M37))</f>
        <v>77.3404754977026</v>
      </c>
      <c r="H37" s="42" t="n">
        <f aca="false">INDEX(QH_qtc,M37)+N37*(INDEX(QH_qtc,M37+1)-INDEX(QH_qtc,M37))</f>
        <v>165.321228671061</v>
      </c>
      <c r="I37" s="43" t="n">
        <f aca="false">IF($F$4=2,0,INDEX(QH_qsc,M37)+N37*(INDEX(QH_qsc,M37+1)-INDEX(QH_qsc,M37)))</f>
        <v>130.868281755137</v>
      </c>
      <c r="J37" s="40" t="n">
        <f aca="false">H37+I37</f>
        <v>296.189510426197</v>
      </c>
      <c r="K37" s="23" t="n">
        <f aca="false">INDEX(QH_V,M37)+N37*(INDEX(QH_V,M37+1)-INDEX(QH_V,M37))</f>
        <v>54.6996935593391</v>
      </c>
      <c r="L37" s="40" t="n">
        <f aca="false">K37*1000000/dt_s+J37/2</f>
        <v>15342.4540772517</v>
      </c>
      <c r="M37" s="44" t="n">
        <f aca="false">MATCH(F37,INDEX(QH_f,0,$F$4),1)</f>
        <v>64</v>
      </c>
      <c r="N37" s="45" t="n">
        <f aca="false">(F37-INDEX(QH_f,M37,$F$4))/(INDEX(QH_f,M37+1,$F$4)-INDEX(QH_f,M37,$F$4))</f>
        <v>0.404754977025872</v>
      </c>
    </row>
    <row r="38" customFormat="false" ht="15" hidden="false" customHeight="false" outlineLevel="0" collapsed="false">
      <c r="A38" s="14" t="n">
        <v>22</v>
      </c>
      <c r="B38" s="40" t="n">
        <f aca="false">IFERROR(INDEX(Lu_Q,MATCH(A38,Lu_t,0),$C$4),0)</f>
        <v>89</v>
      </c>
      <c r="C38" s="40" t="n">
        <f aca="false">(B37+B38)/2</f>
        <v>100.5</v>
      </c>
      <c r="D38" s="40" t="n">
        <f aca="false">L37</f>
        <v>15342.4540772517</v>
      </c>
      <c r="E38" s="40" t="n">
        <f aca="false">J37</f>
        <v>296.189510426197</v>
      </c>
      <c r="F38" s="40" t="n">
        <f aca="false">D38+C38-E38</f>
        <v>15146.7645668255</v>
      </c>
      <c r="G38" s="41" t="n">
        <f aca="false">INDEX(QH_Z,M38)+N38*(INDEX(QH_Z,M38+1)-INDEX(QH_Z,M38))</f>
        <v>77.249608401909</v>
      </c>
      <c r="H38" s="42" t="n">
        <f aca="false">INDEX(QH_qtc,M38)+N38*(INDEX(QH_qtc,M38+1)-INDEX(QH_qtc,M38))</f>
        <v>157.49707809109</v>
      </c>
      <c r="I38" s="43" t="n">
        <f aca="false">IF($F$4=2,0,INDEX(QH_qsc,M38)+N38*(INDEX(QH_qsc,M38+1)-INDEX(QH_qsc,M38)))</f>
        <v>128.461363687846</v>
      </c>
      <c r="J38" s="40" t="n">
        <f aca="false">H38+I38</f>
        <v>285.958441778936</v>
      </c>
      <c r="K38" s="23" t="n">
        <f aca="false">INDEX(QH_V,M38)+N38*(INDEX(QH_V,M38+1)-INDEX(QH_V,M38))</f>
        <v>54.0136272453698</v>
      </c>
      <c r="L38" s="40" t="n">
        <f aca="false">K38*1000000/dt_s+J38/2</f>
        <v>15146.7645668255</v>
      </c>
      <c r="M38" s="44" t="n">
        <f aca="false">MATCH(F38,INDEX(QH_f,0,$F$4),1)</f>
        <v>63</v>
      </c>
      <c r="N38" s="45" t="n">
        <f aca="false">(F38-INDEX(QH_f,M38,$F$4))/(INDEX(QH_f,M38+1,$F$4)-INDEX(QH_f,M38,$F$4))</f>
        <v>0.496084019089766</v>
      </c>
    </row>
    <row r="39" customFormat="false" ht="15" hidden="false" customHeight="false" outlineLevel="0" collapsed="false">
      <c r="A39" s="14" t="n">
        <v>23</v>
      </c>
      <c r="B39" s="40" t="n">
        <f aca="false">IFERROR(INDEX(Lu_Q,MATCH(A39,Lu_t,0),$C$4),0)</f>
        <v>71</v>
      </c>
      <c r="C39" s="40" t="n">
        <f aca="false">(B38+B39)/2</f>
        <v>80</v>
      </c>
      <c r="D39" s="40" t="n">
        <f aca="false">L38</f>
        <v>15146.7645668255</v>
      </c>
      <c r="E39" s="40" t="n">
        <f aca="false">J38</f>
        <v>285.958441778936</v>
      </c>
      <c r="F39" s="40" t="n">
        <f aca="false">D39+C39-E39</f>
        <v>14940.8061250466</v>
      </c>
      <c r="G39" s="41" t="n">
        <f aca="false">INDEX(QH_Z,M39)+N39*(INDEX(QH_Z,M39+1)-INDEX(QH_Z,M39))</f>
        <v>77.1533626850588</v>
      </c>
      <c r="H39" s="42" t="n">
        <f aca="false">INDEX(QH_qtc,M39)+N39*(INDEX(QH_qtc,M39+1)-INDEX(QH_qtc,M39))</f>
        <v>149.299078533728</v>
      </c>
      <c r="I39" s="43" t="n">
        <f aca="false">IF($F$4=2,0,INDEX(QH_qsc,M39)+N39*(INDEX(QH_qsc,M39+1)-INDEX(QH_qsc,M39)))</f>
        <v>125.915329980606</v>
      </c>
      <c r="J39" s="40" t="n">
        <f aca="false">H39+I39</f>
        <v>275.214408514334</v>
      </c>
      <c r="K39" s="23" t="n">
        <f aca="false">INDEX(QH_V,M39)+N39*(INDEX(QH_V,M39+1)-INDEX(QH_V,M39))</f>
        <v>53.2915161148419</v>
      </c>
      <c r="L39" s="40" t="n">
        <f aca="false">K39*1000000/dt_s+J39/2</f>
        <v>14940.8061250466</v>
      </c>
      <c r="M39" s="44" t="n">
        <f aca="false">MATCH(F39,INDEX(QH_f,0,$F$4),1)</f>
        <v>62</v>
      </c>
      <c r="N39" s="45" t="n">
        <f aca="false">(F39-INDEX(QH_f,M39,$F$4))/(INDEX(QH_f,M39+1,$F$4)-INDEX(QH_f,M39,$F$4))</f>
        <v>0.533626850587774</v>
      </c>
    </row>
    <row r="40" customFormat="false" ht="15" hidden="false" customHeight="false" outlineLevel="0" collapsed="false">
      <c r="A40" s="14" t="n">
        <v>24</v>
      </c>
      <c r="B40" s="40" t="n">
        <f aca="false">IFERROR(INDEX(Lu_Q,MATCH(A40,Lu_t,0),$C$4),0)</f>
        <v>57</v>
      </c>
      <c r="C40" s="40" t="n">
        <f aca="false">(B39+B40)/2</f>
        <v>64</v>
      </c>
      <c r="D40" s="40" t="n">
        <f aca="false">L39</f>
        <v>14940.8061250466</v>
      </c>
      <c r="E40" s="40" t="n">
        <f aca="false">J39</f>
        <v>275.214408514334</v>
      </c>
      <c r="F40" s="40" t="n">
        <f aca="false">D40+C40-E40</f>
        <v>14729.5917165323</v>
      </c>
      <c r="G40" s="41" t="n">
        <f aca="false">INDEX(QH_Z,M40)+N40*(INDEX(QH_Z,M40+1)-INDEX(QH_Z,M40))</f>
        <v>77.0539922295368</v>
      </c>
      <c r="H40" s="42" t="n">
        <f aca="false">INDEX(QH_qtc,M40)+N40*(INDEX(QH_qtc,M40+1)-INDEX(QH_qtc,M40))</f>
        <v>140.937567017231</v>
      </c>
      <c r="I40" s="43" t="n">
        <f aca="false">IF($F$4=2,0,INDEX(QH_qsc,M40)+N40*(INDEX(QH_qsc,M40+1)-INDEX(QH_qsc,M40)))</f>
        <v>123.290699144287</v>
      </c>
      <c r="J40" s="40" t="n">
        <f aca="false">H40+I40</f>
        <v>264.228266161518</v>
      </c>
      <c r="K40" s="23" t="n">
        <f aca="false">INDEX(QH_V,M40)+N40*(INDEX(QH_V,M40+1)-INDEX(QH_V,M40))</f>
        <v>52.5509193004254</v>
      </c>
      <c r="L40" s="40" t="n">
        <f aca="false">K40*1000000/dt_s+J40/2</f>
        <v>14729.5917165323</v>
      </c>
      <c r="M40" s="44" t="n">
        <f aca="false">MATCH(F40,INDEX(QH_f,0,$F$4),1)</f>
        <v>61</v>
      </c>
      <c r="N40" s="45" t="n">
        <f aca="false">(F40-INDEX(QH_f,M40,$F$4))/(INDEX(QH_f,M40+1,$F$4)-INDEX(QH_f,M40,$F$4))</f>
        <v>0.539922295367893</v>
      </c>
    </row>
    <row r="41" customFormat="false" ht="15" hidden="false" customHeight="false" outlineLevel="0" collapsed="false">
      <c r="A41" s="14" t="n">
        <v>25</v>
      </c>
      <c r="B41" s="40" t="n">
        <f aca="false">IFERROR(INDEX(Lu_Q,MATCH(A41,Lu_t,0),$C$4),0)</f>
        <v>46</v>
      </c>
      <c r="C41" s="40" t="n">
        <f aca="false">(B40+B41)/2</f>
        <v>51.5</v>
      </c>
      <c r="D41" s="40" t="n">
        <f aca="false">L40</f>
        <v>14729.5917165323</v>
      </c>
      <c r="E41" s="40" t="n">
        <f aca="false">J40</f>
        <v>264.228266161518</v>
      </c>
      <c r="F41" s="40" t="n">
        <f aca="false">D41+C41-E41</f>
        <v>14516.8634503707</v>
      </c>
      <c r="G41" s="41" t="n">
        <f aca="false">INDEX(QH_Z,M41)+N41*(INDEX(QH_Z,M41+1)-INDEX(QH_Z,M41))</f>
        <v>76.9532123872315</v>
      </c>
      <c r="H41" s="42" t="n">
        <f aca="false">INDEX(QH_qtc,M41)+N41*(INDEX(QH_qtc,M41+1)-INDEX(QH_qtc,M41))</f>
        <v>132.570406164284</v>
      </c>
      <c r="I41" s="43" t="n">
        <f aca="false">IF($F$4=2,0,INDEX(QH_qsc,M41)+N41*(INDEX(QH_qsc,M41+1)-INDEX(QH_qsc,M41)))</f>
        <v>120.633519114874</v>
      </c>
      <c r="J41" s="40" t="n">
        <f aca="false">H41+I41</f>
        <v>253.203925279157</v>
      </c>
      <c r="K41" s="23" t="n">
        <f aca="false">INDEX(QH_V,M41)+N41*(INDEX(QH_V,M41+1)-INDEX(QH_V,M41))</f>
        <v>51.8049413558322</v>
      </c>
      <c r="L41" s="40" t="n">
        <f aca="false">K41*1000000/dt_s+J41/2</f>
        <v>14516.8634503707</v>
      </c>
      <c r="M41" s="44" t="n">
        <f aca="false">MATCH(F41,INDEX(QH_f,0,$F$4),1)</f>
        <v>60</v>
      </c>
      <c r="N41" s="45" t="n">
        <f aca="false">(F41-INDEX(QH_f,M41,$F$4))/(INDEX(QH_f,M41+1,$F$4)-INDEX(QH_f,M41,$F$4))</f>
        <v>0.532123872314791</v>
      </c>
    </row>
    <row r="42" customFormat="false" ht="15" hidden="false" customHeight="false" outlineLevel="0" collapsed="false">
      <c r="A42" s="14" t="n">
        <v>26</v>
      </c>
      <c r="B42" s="40" t="n">
        <f aca="false">IFERROR(INDEX(Lu_Q,MATCH(A42,Lu_t,0),$C$4),0)</f>
        <v>36</v>
      </c>
      <c r="C42" s="40" t="n">
        <f aca="false">(B41+B42)/2</f>
        <v>41</v>
      </c>
      <c r="D42" s="40" t="n">
        <f aca="false">L41</f>
        <v>14516.8634503707</v>
      </c>
      <c r="E42" s="40" t="n">
        <f aca="false">J41</f>
        <v>253.203925279157</v>
      </c>
      <c r="F42" s="40" t="n">
        <f aca="false">D42+C42-E42</f>
        <v>14304.6595250916</v>
      </c>
      <c r="G42" s="41" t="n">
        <f aca="false">INDEX(QH_Z,M42)+N42*(INDEX(QH_Z,M42+1)-INDEX(QH_Z,M42))</f>
        <v>76.8519745132016</v>
      </c>
      <c r="H42" s="42" t="n">
        <f aca="false">INDEX(QH_qtc,M42)+N42*(INDEX(QH_qtc,M42+1)-INDEX(QH_qtc,M42))</f>
        <v>124.286617750532</v>
      </c>
      <c r="I42" s="43" t="n">
        <f aca="false">IF($F$4=2,0,INDEX(QH_qsc,M42)+N42*(INDEX(QH_qsc,M42+1)-INDEX(QH_qsc,M42)))</f>
        <v>117.969482876287</v>
      </c>
      <c r="J42" s="40" t="n">
        <f aca="false">H42+I42</f>
        <v>242.256100626819</v>
      </c>
      <c r="K42" s="23" t="n">
        <f aca="false">INDEX(QH_V,M42)+N42*(INDEX(QH_V,M42+1)-INDEX(QH_V,M42))</f>
        <v>51.0607133092014</v>
      </c>
      <c r="L42" s="40" t="n">
        <f aca="false">K42*1000000/dt_s+J42/2</f>
        <v>14304.6595250916</v>
      </c>
      <c r="M42" s="44" t="n">
        <f aca="false">MATCH(F42,INDEX(QH_f,0,$F$4),1)</f>
        <v>59</v>
      </c>
      <c r="N42" s="45" t="n">
        <f aca="false">(F42-INDEX(QH_f,M42,$F$4))/(INDEX(QH_f,M42+1,$F$4)-INDEX(QH_f,M42,$F$4))</f>
        <v>0.519745132015573</v>
      </c>
    </row>
    <row r="43" customFormat="false" ht="15" hidden="false" customHeight="false" outlineLevel="0" collapsed="false">
      <c r="A43" s="14" t="n">
        <v>27</v>
      </c>
      <c r="B43" s="40" t="n">
        <f aca="false">IFERROR(INDEX(Lu_Q,MATCH(A43,Lu_t,0),$C$4),0)</f>
        <v>29</v>
      </c>
      <c r="C43" s="40" t="n">
        <f aca="false">(B42+B43)/2</f>
        <v>32.5</v>
      </c>
      <c r="D43" s="40" t="n">
        <f aca="false">L42</f>
        <v>14304.6595250916</v>
      </c>
      <c r="E43" s="40" t="n">
        <f aca="false">J42</f>
        <v>242.256100626819</v>
      </c>
      <c r="F43" s="40" t="n">
        <f aca="false">D43+C43-E43</f>
        <v>14094.9034244648</v>
      </c>
      <c r="G43" s="41" t="n">
        <f aca="false">INDEX(QH_Z,M43)+N43*(INDEX(QH_Z,M43+1)-INDEX(QH_Z,M43))</f>
        <v>76.7511981754966</v>
      </c>
      <c r="H43" s="42" t="n">
        <f aca="false">INDEX(QH_qtc,M43)+N43*(INDEX(QH_qtc,M43+1)-INDEX(QH_qtc,M43))</f>
        <v>116.168724405811</v>
      </c>
      <c r="I43" s="43" t="n">
        <f aca="false">IF($F$4=2,0,INDEX(QH_qsc,M43)+N43*(INDEX(QH_qsc,M43+1)-INDEX(QH_qsc,M43)))</f>
        <v>115.323276335925</v>
      </c>
      <c r="J43" s="40" t="n">
        <f aca="false">H43+I43</f>
        <v>231.492000741736</v>
      </c>
      <c r="K43" s="23" t="n">
        <f aca="false">INDEX(QH_V,M43)+N43*(INDEX(QH_V,M43+1)-INDEX(QH_V,M43))</f>
        <v>50.324966726738</v>
      </c>
      <c r="L43" s="40" t="n">
        <f aca="false">K43*1000000/dt_s+J43/2</f>
        <v>14094.9034244648</v>
      </c>
      <c r="M43" s="44" t="n">
        <f aca="false">MATCH(F43,INDEX(QH_f,0,$F$4),1)</f>
        <v>58</v>
      </c>
      <c r="N43" s="45" t="n">
        <f aca="false">(F43-INDEX(QH_f,M43,$F$4))/(INDEX(QH_f,M43+1,$F$4)-INDEX(QH_f,M43,$F$4))</f>
        <v>0.511981754966352</v>
      </c>
    </row>
    <row r="44" customFormat="false" ht="15" hidden="false" customHeight="false" outlineLevel="0" collapsed="false">
      <c r="A44" s="14" t="n">
        <v>28</v>
      </c>
      <c r="B44" s="40" t="n">
        <f aca="false">IFERROR(INDEX(Lu_Q,MATCH(A44,Lu_t,0),$C$4),0)</f>
        <v>23</v>
      </c>
      <c r="C44" s="40" t="n">
        <f aca="false">(B43+B44)/2</f>
        <v>26</v>
      </c>
      <c r="D44" s="40" t="n">
        <f aca="false">L43</f>
        <v>14094.9034244648</v>
      </c>
      <c r="E44" s="40" t="n">
        <f aca="false">J43</f>
        <v>231.492000741736</v>
      </c>
      <c r="F44" s="40" t="n">
        <f aca="false">D44+C44-E44</f>
        <v>13889.411423723</v>
      </c>
      <c r="G44" s="41" t="n">
        <f aca="false">INDEX(QH_Z,M44)+N44*(INDEX(QH_Z,M44+1)-INDEX(QH_Z,M44))</f>
        <v>76.6517731722454</v>
      </c>
      <c r="H44" s="42" t="n">
        <f aca="false">INDEX(QH_qtc,M44)+N44*(INDEX(QH_qtc,M44+1)-INDEX(QH_qtc,M44))</f>
        <v>108.292490467416</v>
      </c>
      <c r="I44" s="43" t="n">
        <f aca="false">IF($F$4=2,0,INDEX(QH_qsc,M44)+N44*(INDEX(QH_qsc,M44+1)-INDEX(QH_qsc,M44)))</f>
        <v>112.718596160242</v>
      </c>
      <c r="J44" s="40" t="n">
        <f aca="false">H44+I44</f>
        <v>221.011086627658</v>
      </c>
      <c r="K44" s="23" t="n">
        <f aca="false">INDEX(QH_V,M44)+N44*(INDEX(QH_V,M44+1)-INDEX(QH_V,M44))</f>
        <v>49.6040611694731</v>
      </c>
      <c r="L44" s="40" t="n">
        <f aca="false">K44*1000000/dt_s+J44/2</f>
        <v>13889.411423723</v>
      </c>
      <c r="M44" s="44" t="n">
        <f aca="false">MATCH(F44,INDEX(QH_f,0,$F$4),1)</f>
        <v>57</v>
      </c>
      <c r="N44" s="45" t="n">
        <f aca="false">(F44-INDEX(QH_f,M44,$F$4))/(INDEX(QH_f,M44+1,$F$4)-INDEX(QH_f,M44,$F$4))</f>
        <v>0.517731722454139</v>
      </c>
    </row>
    <row r="45" customFormat="false" ht="15" hidden="false" customHeight="false" outlineLevel="0" collapsed="false">
      <c r="A45" s="14" t="n">
        <v>29</v>
      </c>
      <c r="B45" s="40" t="n">
        <f aca="false">IFERROR(INDEX(Lu_Q,MATCH(A45,Lu_t,0),$C$4),0)</f>
        <v>18</v>
      </c>
      <c r="C45" s="40" t="n">
        <f aca="false">(B44+B45)/2</f>
        <v>20.5</v>
      </c>
      <c r="D45" s="40" t="n">
        <f aca="false">L44</f>
        <v>13889.411423723</v>
      </c>
      <c r="E45" s="40" t="n">
        <f aca="false">J44</f>
        <v>221.011086627658</v>
      </c>
      <c r="F45" s="40" t="n">
        <f aca="false">D45+C45-E45</f>
        <v>13688.9003370954</v>
      </c>
      <c r="G45" s="41" t="n">
        <f aca="false">INDEX(QH_Z,M45)+N45*(INDEX(QH_Z,M45+1)-INDEX(QH_Z,M45))</f>
        <v>76.554077014204</v>
      </c>
      <c r="H45" s="42" t="n">
        <f aca="false">INDEX(QH_qtc,M45)+N45*(INDEX(QH_qtc,M45+1)-INDEX(QH_qtc,M45))</f>
        <v>100.68927533348</v>
      </c>
      <c r="I45" s="43" t="n">
        <f aca="false">IF($F$4=2,0,INDEX(QH_qsc,M45)+N45*(INDEX(QH_qsc,M45+1)-INDEX(QH_qsc,M45)))</f>
        <v>110.165522794296</v>
      </c>
      <c r="J45" s="40" t="n">
        <f aca="false">H45+I45</f>
        <v>210.854798127776</v>
      </c>
      <c r="K45" s="23" t="n">
        <f aca="false">INDEX(QH_V,M45)+N45*(INDEX(QH_V,M45+1)-INDEX(QH_V,M45))</f>
        <v>48.9005025769133</v>
      </c>
      <c r="L45" s="40" t="n">
        <f aca="false">K45*1000000/dt_s+J45/2</f>
        <v>13688.9003370954</v>
      </c>
      <c r="M45" s="44" t="n">
        <f aca="false">MATCH(F45,INDEX(QH_f,0,$F$4),1)</f>
        <v>56</v>
      </c>
      <c r="N45" s="45" t="n">
        <f aca="false">(F45-INDEX(QH_f,M45,$F$4))/(INDEX(QH_f,M45+1,$F$4)-INDEX(QH_f,M45,$F$4))</f>
        <v>0.540770142039512</v>
      </c>
    </row>
    <row r="46" customFormat="false" ht="15" hidden="false" customHeight="false" outlineLevel="0" collapsed="false">
      <c r="A46" s="14" t="n">
        <v>30</v>
      </c>
      <c r="B46" s="40" t="n">
        <f aca="false">IFERROR(INDEX(Lu_Q,MATCH(A46,Lu_t,0),$C$4),0)</f>
        <v>14</v>
      </c>
      <c r="C46" s="40" t="n">
        <f aca="false">(B45+B46)/2</f>
        <v>16</v>
      </c>
      <c r="D46" s="40" t="n">
        <f aca="false">L45</f>
        <v>13688.9003370954</v>
      </c>
      <c r="E46" s="40" t="n">
        <f aca="false">J45</f>
        <v>210.854798127776</v>
      </c>
      <c r="F46" s="40" t="n">
        <f aca="false">D46+C46-E46</f>
        <v>13494.0455389676</v>
      </c>
      <c r="G46" s="41" t="n">
        <f aca="false">INDEX(QH_Z,M46)+N46*(INDEX(QH_Z,M46+1)-INDEX(QH_Z,M46))</f>
        <v>76.4584777831128</v>
      </c>
      <c r="H46" s="42" t="n">
        <f aca="false">INDEX(QH_qtc,M46)+N46*(INDEX(QH_qtc,M46+1)-INDEX(QH_qtc,M46))</f>
        <v>93.3872151802411</v>
      </c>
      <c r="I46" s="43" t="n">
        <f aca="false">IF($F$4=2,0,INDEX(QH_qsc,M46)+N46*(INDEX(QH_qsc,M46+1)-INDEX(QH_qsc,M46)))</f>
        <v>107.673749044546</v>
      </c>
      <c r="J46" s="40" t="n">
        <f aca="false">H46+I46</f>
        <v>201.060964224787</v>
      </c>
      <c r="K46" s="23" t="n">
        <f aca="false">INDEX(QH_V,M46)+N46*(INDEX(QH_V,M46+1)-INDEX(QH_V,M46))</f>
        <v>48.2166542046787</v>
      </c>
      <c r="L46" s="40" t="n">
        <f aca="false">K46*1000000/dt_s+J46/2</f>
        <v>13494.0455389676</v>
      </c>
      <c r="M46" s="44" t="n">
        <f aca="false">MATCH(F46,INDEX(QH_f,0,$F$4),1)</f>
        <v>55</v>
      </c>
      <c r="N46" s="45" t="n">
        <f aca="false">(F46-INDEX(QH_f,M46,$F$4))/(INDEX(QH_f,M46+1,$F$4)-INDEX(QH_f,M46,$F$4))</f>
        <v>0.584777831128013</v>
      </c>
    </row>
    <row r="47" customFormat="false" ht="15" hidden="false" customHeight="false" outlineLevel="0" collapsed="false">
      <c r="A47" s="14" t="n">
        <v>31</v>
      </c>
      <c r="B47" s="40" t="n">
        <f aca="false">IFERROR(INDEX(Lu_Q,MATCH(A47,Lu_t,0),$C$4),0)</f>
        <v>11</v>
      </c>
      <c r="C47" s="40" t="n">
        <f aca="false">(B46+B47)/2</f>
        <v>12.5</v>
      </c>
      <c r="D47" s="40" t="n">
        <f aca="false">L46</f>
        <v>13494.0455389676</v>
      </c>
      <c r="E47" s="40" t="n">
        <f aca="false">J46</f>
        <v>201.060964224787</v>
      </c>
      <c r="F47" s="40" t="n">
        <f aca="false">D47+C47-E47</f>
        <v>13305.4845747428</v>
      </c>
      <c r="G47" s="41" t="n">
        <f aca="false">INDEX(QH_Z,M47)+N47*(INDEX(QH_Z,M47+1)-INDEX(QH_Z,M47))</f>
        <v>76.3653356747686</v>
      </c>
      <c r="H47" s="42" t="n">
        <f aca="false">INDEX(QH_qtc,M47)+N47*(INDEX(QH_qtc,M47+1)-INDEX(QH_qtc,M47))</f>
        <v>86.4110467223975</v>
      </c>
      <c r="I47" s="43" t="n">
        <f aca="false">IF($F$4=2,0,INDEX(QH_qsc,M47)+N47*(INDEX(QH_qsc,M47+1)-INDEX(QH_qsc,M47)))</f>
        <v>105.252603325374</v>
      </c>
      <c r="J47" s="40" t="n">
        <f aca="false">H47+I47</f>
        <v>191.663650047772</v>
      </c>
      <c r="K47" s="23" t="n">
        <f aca="false">INDEX(QH_V,M47)+N47*(INDEX(QH_V,M47+1)-INDEX(QH_V,M47))</f>
        <v>47.5547498989881</v>
      </c>
      <c r="L47" s="40" t="n">
        <f aca="false">K47*1000000/dt_s+J47/2</f>
        <v>13305.4845747428</v>
      </c>
      <c r="M47" s="44" t="n">
        <f aca="false">MATCH(F47,INDEX(QH_f,0,$F$4),1)</f>
        <v>54</v>
      </c>
      <c r="N47" s="45" t="n">
        <f aca="false">(F47-INDEX(QH_f,M47,$F$4))/(INDEX(QH_f,M47+1,$F$4)-INDEX(QH_f,M47,$F$4))</f>
        <v>0.653356747686363</v>
      </c>
    </row>
    <row r="48" customFormat="false" ht="15" hidden="false" customHeight="false" outlineLevel="0" collapsed="false">
      <c r="A48" s="14" t="n">
        <v>32</v>
      </c>
      <c r="B48" s="40" t="n">
        <f aca="false">IFERROR(INDEX(Lu_Q,MATCH(A48,Lu_t,0),$C$4),0)</f>
        <v>8</v>
      </c>
      <c r="C48" s="40" t="n">
        <f aca="false">(B47+B48)/2</f>
        <v>9.5</v>
      </c>
      <c r="D48" s="40" t="n">
        <f aca="false">L47</f>
        <v>13305.4845747428</v>
      </c>
      <c r="E48" s="40" t="n">
        <f aca="false">J47</f>
        <v>191.663650047772</v>
      </c>
      <c r="F48" s="40" t="n">
        <f aca="false">D48+C48-E48</f>
        <v>13123.320924695</v>
      </c>
      <c r="G48" s="41" t="n">
        <f aca="false">INDEX(QH_Z,M48)+N48*(INDEX(QH_Z,M48+1)-INDEX(QH_Z,M48))</f>
        <v>76.2747547459573</v>
      </c>
      <c r="H48" s="42" t="n">
        <f aca="false">INDEX(QH_qtc,M48)+N48*(INDEX(QH_qtc,M48+1)-INDEX(QH_qtc,M48))</f>
        <v>79.7638538185855</v>
      </c>
      <c r="I48" s="43" t="n">
        <f aca="false">IF($F$4=2,0,INDEX(QH_qsc,M48)+N48*(INDEX(QH_qsc,M48+1)-INDEX(QH_qsc,M48)))</f>
        <v>102.904612043841</v>
      </c>
      <c r="J48" s="40" t="n">
        <f aca="false">H48+I48</f>
        <v>182.668465862427</v>
      </c>
      <c r="K48" s="23" t="n">
        <f aca="false">INDEX(QH_V,M48)+N48*(INDEX(QH_V,M48+1)-INDEX(QH_V,M48))</f>
        <v>46.9151520903498</v>
      </c>
      <c r="L48" s="40" t="n">
        <f aca="false">K48*1000000/dt_s+J48/2</f>
        <v>13123.320924695</v>
      </c>
      <c r="M48" s="44" t="n">
        <f aca="false">MATCH(F48,INDEX(QH_f,0,$F$4),1)</f>
        <v>53</v>
      </c>
      <c r="N48" s="45" t="n">
        <f aca="false">(F48-INDEX(QH_f,M48,$F$4))/(INDEX(QH_f,M48+1,$F$4)-INDEX(QH_f,M48,$F$4))</f>
        <v>0.747547459572625</v>
      </c>
    </row>
    <row r="49" customFormat="false" ht="15" hidden="false" customHeight="false" outlineLevel="0" collapsed="false">
      <c r="A49" s="14" t="n">
        <v>33</v>
      </c>
      <c r="B49" s="40" t="n">
        <f aca="false">IFERROR(INDEX(Lu_Q,MATCH(A49,Lu_t,0),$C$4),0)</f>
        <v>7</v>
      </c>
      <c r="C49" s="40" t="n">
        <f aca="false">(B48+B49)/2</f>
        <v>7.5</v>
      </c>
      <c r="D49" s="40" t="n">
        <f aca="false">L48</f>
        <v>13123.320924695</v>
      </c>
      <c r="E49" s="40" t="n">
        <f aca="false">J48</f>
        <v>182.668465862427</v>
      </c>
      <c r="F49" s="40" t="n">
        <f aca="false">D49+C49-E49</f>
        <v>12948.1524588326</v>
      </c>
      <c r="G49" s="41" t="n">
        <f aca="false">INDEX(QH_Z,M49)+N49*(INDEX(QH_Z,M49+1)-INDEX(QH_Z,M49))</f>
        <v>76.1870914329648</v>
      </c>
      <c r="H49" s="42" t="n">
        <f aca="false">INDEX(QH_qtc,M49)+N49*(INDEX(QH_qtc,M49+1)-INDEX(QH_qtc,M49))</f>
        <v>73.4646947284045</v>
      </c>
      <c r="I49" s="43" t="n">
        <f aca="false">IF($F$4=2,0,INDEX(QH_qsc,M49)+N49*(INDEX(QH_qsc,M49+1)-INDEX(QH_qsc,M49)))</f>
        <v>100.638697975983</v>
      </c>
      <c r="J49" s="40" t="n">
        <f aca="false">H49+I49</f>
        <v>174.103392704388</v>
      </c>
      <c r="K49" s="23" t="n">
        <f aca="false">INDEX(QH_V,M49)+N49*(INDEX(QH_V,M49+1)-INDEX(QH_V,M49))</f>
        <v>46.2999627449295</v>
      </c>
      <c r="L49" s="40" t="n">
        <f aca="false">K49*1000000/dt_s+J49/2</f>
        <v>12948.1524588326</v>
      </c>
      <c r="M49" s="44" t="n">
        <f aca="false">MATCH(F49,INDEX(QH_f,0,$F$4),1)</f>
        <v>52</v>
      </c>
      <c r="N49" s="45" t="n">
        <f aca="false">(F49-INDEX(QH_f,M49,$F$4))/(INDEX(QH_f,M49+1,$F$4)-INDEX(QH_f,M49,$F$4))</f>
        <v>0.870914329647989</v>
      </c>
    </row>
    <row r="50" customFormat="false" ht="15" hidden="false" customHeight="false" outlineLevel="0" collapsed="false">
      <c r="A50" s="14" t="n">
        <v>34</v>
      </c>
      <c r="B50" s="40" t="n">
        <f aca="false">IFERROR(INDEX(Lu_Q,MATCH(A50,Lu_t,0),$C$4),0)</f>
        <v>5</v>
      </c>
      <c r="C50" s="40" t="n">
        <f aca="false">(B49+B50)/2</f>
        <v>6</v>
      </c>
      <c r="D50" s="40" t="n">
        <f aca="false">L49</f>
        <v>12948.1524588326</v>
      </c>
      <c r="E50" s="40" t="n">
        <f aca="false">J49</f>
        <v>174.103392704388</v>
      </c>
      <c r="F50" s="40" t="n">
        <f aca="false">D50+C50-E50</f>
        <v>12780.0490661282</v>
      </c>
      <c r="G50" s="41" t="n">
        <f aca="false">INDEX(QH_Z,M50)+N50*(INDEX(QH_Z,M50+1)-INDEX(QH_Z,M50))</f>
        <v>76.1024269891622</v>
      </c>
      <c r="H50" s="42" t="n">
        <f aca="false">INDEX(QH_qtc,M50)+N50*(INDEX(QH_qtc,M50+1)-INDEX(QH_qtc,M50))</f>
        <v>67.5145909351223</v>
      </c>
      <c r="I50" s="43" t="n">
        <f aca="false">IF($F$4=2,0,INDEX(QH_qsc,M50)+N50*(INDEX(QH_qsc,M50+1)-INDEX(QH_qsc,M50)))</f>
        <v>98.4567360953862</v>
      </c>
      <c r="J50" s="40" t="n">
        <f aca="false">H50+I50</f>
        <v>165.971327030509</v>
      </c>
      <c r="K50" s="23" t="n">
        <f aca="false">INDEX(QH_V,M50)+N50*(INDEX(QH_V,M50+1)-INDEX(QH_V,M50))</f>
        <v>45.7094282494067</v>
      </c>
      <c r="L50" s="40" t="n">
        <f aca="false">K50*1000000/dt_s+J50/2</f>
        <v>12780.0490661282</v>
      </c>
      <c r="M50" s="44" t="n">
        <f aca="false">MATCH(F50,INDEX(QH_f,0,$F$4),1)</f>
        <v>52</v>
      </c>
      <c r="N50" s="45" t="n">
        <f aca="false">(F50-INDEX(QH_f,M50,$F$4))/(INDEX(QH_f,M50+1,$F$4)-INDEX(QH_f,M50,$F$4))</f>
        <v>0.0242698916225186</v>
      </c>
    </row>
    <row r="51" customFormat="false" ht="15" hidden="false" customHeight="false" outlineLevel="0" collapsed="false">
      <c r="A51" s="14" t="n">
        <v>35</v>
      </c>
      <c r="B51" s="40" t="n">
        <f aca="false">IFERROR(INDEX(Lu_Q,MATCH(A51,Lu_t,0),$C$4),0)</f>
        <v>4</v>
      </c>
      <c r="C51" s="40" t="n">
        <f aca="false">(B50+B51)/2</f>
        <v>4.5</v>
      </c>
      <c r="D51" s="40" t="n">
        <f aca="false">L50</f>
        <v>12780.0490661282</v>
      </c>
      <c r="E51" s="40" t="n">
        <f aca="false">J50</f>
        <v>165.971327030509</v>
      </c>
      <c r="F51" s="40" t="n">
        <f aca="false">D51+C51-E51</f>
        <v>12618.5777390977</v>
      </c>
      <c r="G51" s="41" t="n">
        <f aca="false">INDEX(QH_Z,M51)+N51*(INDEX(QH_Z,M51+1)-INDEX(QH_Z,M51))</f>
        <v>76.0205053619501</v>
      </c>
      <c r="H51" s="42" t="n">
        <f aca="false">INDEX(QH_qtc,M51)+N51*(INDEX(QH_qtc,M51+1)-INDEX(QH_qtc,M51))</f>
        <v>61.9138063924075</v>
      </c>
      <c r="I51" s="43" t="n">
        <f aca="false">IF($F$4=2,0,INDEX(QH_qsc,M51)+N51*(INDEX(QH_qsc,M51+1)-INDEX(QH_qsc,M51)))</f>
        <v>96.352987633785</v>
      </c>
      <c r="J51" s="40" t="n">
        <f aca="false">H51+I51</f>
        <v>158.266794026192</v>
      </c>
      <c r="K51" s="23" t="n">
        <f aca="false">INDEX(QH_V,M51)+N51*(INDEX(QH_V,M51+1)-INDEX(QH_V,M51))</f>
        <v>45.1419996315046</v>
      </c>
      <c r="L51" s="40" t="n">
        <f aca="false">K51*1000000/dt_s+J51/2</f>
        <v>12618.5777390977</v>
      </c>
      <c r="M51" s="44" t="n">
        <f aca="false">MATCH(F51,INDEX(QH_f,0,$F$4),1)</f>
        <v>51</v>
      </c>
      <c r="N51" s="45" t="n">
        <f aca="false">(F51-INDEX(QH_f,M51,$F$4))/(INDEX(QH_f,M51+1,$F$4)-INDEX(QH_f,M51,$F$4))</f>
        <v>0.205053619501251</v>
      </c>
    </row>
    <row r="52" customFormat="false" ht="15" hidden="false" customHeight="false" outlineLevel="0" collapsed="false">
      <c r="A52" s="14" t="n">
        <v>36</v>
      </c>
      <c r="B52" s="40" t="n">
        <f aca="false">IFERROR(INDEX(Lu_Q,MATCH(A52,Lu_t,0),$C$4),0)</f>
        <v>3</v>
      </c>
      <c r="C52" s="40" t="n">
        <f aca="false">(B51+B52)/2</f>
        <v>3.5</v>
      </c>
      <c r="D52" s="40" t="n">
        <f aca="false">L51</f>
        <v>12618.5777390977</v>
      </c>
      <c r="E52" s="40" t="n">
        <f aca="false">J51</f>
        <v>158.266794026192</v>
      </c>
      <c r="F52" s="40" t="n">
        <f aca="false">D52+C52-E52</f>
        <v>12463.8109450715</v>
      </c>
      <c r="G52" s="41" t="n">
        <f aca="false">INDEX(QH_Z,M52)+N52*(INDEX(QH_Z,M52+1)-INDEX(QH_Z,M52))</f>
        <v>75.9415477385921</v>
      </c>
      <c r="H52" s="42" t="n">
        <f aca="false">INDEX(QH_qtc,M52)+N52*(INDEX(QH_qtc,M52+1)-INDEX(QH_qtc,M52))</f>
        <v>56.6430369940911</v>
      </c>
      <c r="I52" s="43" t="n">
        <f aca="false">IF($F$4=2,0,INDEX(QH_qsc,M52)+N52*(INDEX(QH_qsc,M52+1)-INDEX(QH_qsc,M52)))</f>
        <v>94.331438684234</v>
      </c>
      <c r="J52" s="40" t="n">
        <f aca="false">H52+I52</f>
        <v>150.974475678325</v>
      </c>
      <c r="K52" s="23" t="n">
        <f aca="false">INDEX(QH_V,M52)+N52*(INDEX(QH_V,M52+1)-INDEX(QH_V,M52))</f>
        <v>44.5979653460365</v>
      </c>
      <c r="L52" s="40" t="n">
        <f aca="false">K52*1000000/dt_s+J52/2</f>
        <v>12463.8109450715</v>
      </c>
      <c r="M52" s="44" t="n">
        <f aca="false">MATCH(F52,INDEX(QH_f,0,$F$4),1)</f>
        <v>50</v>
      </c>
      <c r="N52" s="45" t="n">
        <f aca="false">(F52-INDEX(QH_f,M52,$F$4))/(INDEX(QH_f,M52+1,$F$4)-INDEX(QH_f,M52,$F$4))</f>
        <v>0.415477385920993</v>
      </c>
    </row>
    <row r="53" customFormat="false" ht="15" hidden="false" customHeight="false" outlineLevel="0" collapsed="false">
      <c r="A53" s="14" t="n">
        <v>37</v>
      </c>
      <c r="B53" s="40" t="n">
        <f aca="false">IFERROR(INDEX(Lu_Q,MATCH(A53,Lu_t,0),$C$4),0)</f>
        <v>0</v>
      </c>
      <c r="C53" s="40" t="n">
        <f aca="false">(B52+B53)/2</f>
        <v>1.5</v>
      </c>
      <c r="D53" s="40" t="n">
        <f aca="false">L52</f>
        <v>12463.8109450715</v>
      </c>
      <c r="E53" s="40" t="n">
        <f aca="false">J52</f>
        <v>150.974475678325</v>
      </c>
      <c r="F53" s="40" t="n">
        <f aca="false">D53+C53-E53</f>
        <v>12314.3364693932</v>
      </c>
      <c r="G53" s="41" t="n">
        <f aca="false">INDEX(QH_Z,M53)+N53*(INDEX(QH_Z,M53+1)-INDEX(QH_Z,M53))</f>
        <v>75.864906493684</v>
      </c>
      <c r="H53" s="42" t="n">
        <f aca="false">INDEX(QH_qtc,M53)+N53*(INDEX(QH_qtc,M53+1)-INDEX(QH_qtc,M53))</f>
        <v>51.647482123916</v>
      </c>
      <c r="I53" s="43" t="n">
        <f aca="false">IF($F$4=2,0,INDEX(QH_qsc,M53)+N53*(INDEX(QH_qsc,M53+1)-INDEX(QH_qsc,M53)))</f>
        <v>92.3749134198874</v>
      </c>
      <c r="J53" s="40" t="n">
        <f aca="false">H53+I53</f>
        <v>144.022395543803</v>
      </c>
      <c r="K53" s="23" t="n">
        <f aca="false">INDEX(QH_V,M53)+N53*(INDEX(QH_V,M53+1)-INDEX(QH_V,M53))</f>
        <v>44.0723709778367</v>
      </c>
      <c r="L53" s="40" t="n">
        <f aca="false">K53*1000000/dt_s+J53/2</f>
        <v>12314.3364693932</v>
      </c>
      <c r="M53" s="44" t="n">
        <f aca="false">MATCH(F53,INDEX(QH_f,0,$F$4),1)</f>
        <v>49</v>
      </c>
      <c r="N53" s="45" t="n">
        <f aca="false">(F53-INDEX(QH_f,M53,$F$4))/(INDEX(QH_f,M53+1,$F$4)-INDEX(QH_f,M53,$F$4))</f>
        <v>0.649064936840251</v>
      </c>
    </row>
    <row r="54" customFormat="false" ht="15" hidden="false" customHeight="false" outlineLevel="0" collapsed="false">
      <c r="A54" s="14" t="n">
        <v>38</v>
      </c>
      <c r="B54" s="40" t="n">
        <f aca="false">IFERROR(INDEX(Lu_Q,MATCH(A54,Lu_t,0),$C$4),0)</f>
        <v>0</v>
      </c>
      <c r="C54" s="40" t="n">
        <f aca="false">(B53+B54)/2</f>
        <v>0</v>
      </c>
      <c r="D54" s="40" t="n">
        <f aca="false">L53</f>
        <v>12314.3364693932</v>
      </c>
      <c r="E54" s="40" t="n">
        <f aca="false">J53</f>
        <v>144.022395543803</v>
      </c>
      <c r="F54" s="40" t="n">
        <f aca="false">D54+C54-E54</f>
        <v>12170.3140738494</v>
      </c>
      <c r="G54" s="41" t="n">
        <f aca="false">INDEX(QH_Z,M54)+N54*(INDEX(QH_Z,M54+1)-INDEX(QH_Z,M54))</f>
        <v>75.7907203227075</v>
      </c>
      <c r="H54" s="42" t="n">
        <f aca="false">INDEX(QH_qtc,M54)+N54*(INDEX(QH_qtc,M54+1)-INDEX(QH_qtc,M54))</f>
        <v>46.9245650815977</v>
      </c>
      <c r="I54" s="43" t="n">
        <f aca="false">IF($F$4=2,0,INDEX(QH_qsc,M54)+N54*(INDEX(QH_qsc,M54+1)-INDEX(QH_qsc,M54)))</f>
        <v>90.4863652926096</v>
      </c>
      <c r="J54" s="40" t="n">
        <f aca="false">H54+I54</f>
        <v>137.410930374207</v>
      </c>
      <c r="K54" s="23" t="n">
        <f aca="false">INDEX(QH_V,M54)+N54*(INDEX(QH_V,M54+1)-INDEX(QH_V,M54))</f>
        <v>43.5657909911842</v>
      </c>
      <c r="L54" s="40" t="n">
        <f aca="false">K54*1000000/dt_s+J54/2</f>
        <v>12170.3140738494</v>
      </c>
      <c r="M54" s="44" t="n">
        <f aca="false">MATCH(F54,INDEX(QH_f,0,$F$4),1)</f>
        <v>48</v>
      </c>
      <c r="N54" s="45" t="n">
        <f aca="false">(F54-INDEX(QH_f,M54,$F$4))/(INDEX(QH_f,M54+1,$F$4)-INDEX(QH_f,M54,$F$4))</f>
        <v>0.907203227075466</v>
      </c>
    </row>
    <row r="55" customFormat="false" ht="15" hidden="false" customHeight="false" outlineLevel="0" collapsed="false">
      <c r="A55" s="14" t="n">
        <v>39</v>
      </c>
      <c r="B55" s="40" t="n">
        <f aca="false">IFERROR(INDEX(Lu_Q,MATCH(A55,Lu_t,0),$C$4),0)</f>
        <v>0</v>
      </c>
      <c r="C55" s="40" t="n">
        <f aca="false">(B54+B55)/2</f>
        <v>0</v>
      </c>
      <c r="D55" s="40" t="n">
        <f aca="false">L54</f>
        <v>12170.3140738494</v>
      </c>
      <c r="E55" s="40" t="n">
        <f aca="false">J54</f>
        <v>137.410930374207</v>
      </c>
      <c r="F55" s="40" t="n">
        <f aca="false">D55+C55-E55</f>
        <v>12032.9031434752</v>
      </c>
      <c r="G55" s="41" t="n">
        <f aca="false">INDEX(QH_Z,M55)+N55*(INDEX(QH_Z,M55+1)-INDEX(QH_Z,M55))</f>
        <v>75.7195070631787</v>
      </c>
      <c r="H55" s="42" t="n">
        <f aca="false">INDEX(QH_qtc,M55)+N55*(INDEX(QH_qtc,M55+1)-INDEX(QH_qtc,M55))</f>
        <v>42.5408385854596</v>
      </c>
      <c r="I55" s="43" t="n">
        <f aca="false">IF($F$4=2,0,INDEX(QH_qsc,M55)+N55*(INDEX(QH_qsc,M55+1)-INDEX(QH_qsc,M55)))</f>
        <v>88.680471151963</v>
      </c>
      <c r="J55" s="40" t="n">
        <f aca="false">H55+I55</f>
        <v>131.221309737423</v>
      </c>
      <c r="K55" s="23" t="n">
        <f aca="false">INDEX(QH_V,M55)+N55*(INDEX(QH_V,M55+1)-INDEX(QH_V,M55))</f>
        <v>43.0822529589833</v>
      </c>
      <c r="L55" s="40" t="n">
        <f aca="false">K55*1000000/dt_s+J55/2</f>
        <v>12032.9031434752</v>
      </c>
      <c r="M55" s="44" t="n">
        <f aca="false">MATCH(F55,INDEX(QH_f,0,$F$4),1)</f>
        <v>48</v>
      </c>
      <c r="N55" s="45" t="n">
        <f aca="false">(F55-INDEX(QH_f,M55,$F$4))/(INDEX(QH_f,M55+1,$F$4)-INDEX(QH_f,M55,$F$4))</f>
        <v>0.19507063178687</v>
      </c>
    </row>
    <row r="56" customFormat="false" ht="15" hidden="false" customHeight="false" outlineLevel="0" collapsed="false">
      <c r="A56" s="14" t="n">
        <v>40</v>
      </c>
      <c r="B56" s="40" t="n">
        <f aca="false">IFERROR(INDEX(Lu_Q,MATCH(A56,Lu_t,0),$C$4),0)</f>
        <v>0</v>
      </c>
      <c r="C56" s="40" t="n">
        <f aca="false">(B55+B56)/2</f>
        <v>0</v>
      </c>
      <c r="D56" s="40" t="n">
        <f aca="false">L55</f>
        <v>12032.9031434752</v>
      </c>
      <c r="E56" s="40" t="n">
        <f aca="false">J55</f>
        <v>131.221309737423</v>
      </c>
      <c r="F56" s="40" t="n">
        <f aca="false">D56+C56-E56</f>
        <v>11901.6818337378</v>
      </c>
      <c r="G56" s="41" t="n">
        <f aca="false">INDEX(QH_Z,M56)+N56*(INDEX(QH_Z,M56+1)-INDEX(QH_Z,M56))</f>
        <v>75.6511579508422</v>
      </c>
      <c r="H56" s="42" t="n">
        <f aca="false">INDEX(QH_qtc,M56)+N56*(INDEX(QH_qtc,M56+1)-INDEX(QH_qtc,M56))</f>
        <v>38.4598453173071</v>
      </c>
      <c r="I56" s="43" t="n">
        <f aca="false">IF($F$4=2,0,INDEX(QH_qsc,M56)+N56*(INDEX(QH_qsc,M56+1)-INDEX(QH_qsc,M56)))</f>
        <v>86.952968612903</v>
      </c>
      <c r="J56" s="40" t="n">
        <f aca="false">H56+I56</f>
        <v>125.41281393021</v>
      </c>
      <c r="K56" s="23" t="n">
        <f aca="false">INDEX(QH_V,M56)+N56*(INDEX(QH_V,M56+1)-INDEX(QH_V,M56))</f>
        <v>42.6203115363816</v>
      </c>
      <c r="L56" s="40" t="n">
        <f aca="false">K56*1000000/dt_s+J56/2</f>
        <v>11901.6818337378</v>
      </c>
      <c r="M56" s="44" t="n">
        <f aca="false">MATCH(F56,INDEX(QH_f,0,$F$4),1)</f>
        <v>47</v>
      </c>
      <c r="N56" s="45" t="n">
        <f aca="false">(F56-INDEX(QH_f,M56,$F$4))/(INDEX(QH_f,M56+1,$F$4)-INDEX(QH_f,M56,$F$4))</f>
        <v>0.511579508422126</v>
      </c>
    </row>
    <row r="57" customFormat="false" ht="15" hidden="false" customHeight="false" outlineLevel="0" collapsed="false">
      <c r="A57" s="14" t="n">
        <v>41</v>
      </c>
      <c r="B57" s="40" t="n">
        <f aca="false">IFERROR(INDEX(Lu_Q,MATCH(A57,Lu_t,0),$C$4),0)</f>
        <v>0</v>
      </c>
      <c r="C57" s="40" t="n">
        <f aca="false">(B56+B57)/2</f>
        <v>0</v>
      </c>
      <c r="D57" s="40" t="n">
        <f aca="false">L56</f>
        <v>11901.6818337378</v>
      </c>
      <c r="E57" s="40" t="n">
        <f aca="false">J56</f>
        <v>125.41281393021</v>
      </c>
      <c r="F57" s="40" t="n">
        <f aca="false">D57+C57-E57</f>
        <v>11776.2690198075</v>
      </c>
      <c r="G57" s="41" t="n">
        <f aca="false">INDEX(QH_Z,M57)+N57*(INDEX(QH_Z,M57+1)-INDEX(QH_Z,M57))</f>
        <v>75.5855993699468</v>
      </c>
      <c r="H57" s="42" t="n">
        <f aca="false">INDEX(QH_qtc,M57)+N57*(INDEX(QH_qtc,M57+1)-INDEX(QH_qtc,M57))</f>
        <v>34.6341740529495</v>
      </c>
      <c r="I57" s="43" t="n">
        <f aca="false">IF($F$4=2,0,INDEX(QH_qsc,M57)+N57*(INDEX(QH_qsc,M57+1)-INDEX(QH_qsc,M57)))</f>
        <v>85.2999892381003</v>
      </c>
      <c r="J57" s="40" t="n">
        <f aca="false">H57+I57</f>
        <v>119.93416329105</v>
      </c>
      <c r="K57" s="23" t="n">
        <f aca="false">INDEX(QH_V,M57)+N57*(INDEX(QH_V,M57+1)-INDEX(QH_V,M57))</f>
        <v>42.1786869773833</v>
      </c>
      <c r="L57" s="40" t="n">
        <f aca="false">K57*1000000/dt_s+J57/2</f>
        <v>11776.2690198075</v>
      </c>
      <c r="M57" s="44" t="n">
        <f aca="false">MATCH(F57,INDEX(QH_f,0,$F$4),1)</f>
        <v>46</v>
      </c>
      <c r="N57" s="45" t="n">
        <f aca="false">(F57-INDEX(QH_f,M57,$F$4))/(INDEX(QH_f,M57+1,$F$4)-INDEX(QH_f,M57,$F$4))</f>
        <v>0.855993699467797</v>
      </c>
    </row>
    <row r="58" customFormat="false" ht="15" hidden="false" customHeight="false" outlineLevel="0" collapsed="false">
      <c r="A58" s="14" t="n">
        <v>42</v>
      </c>
      <c r="B58" s="40" t="n">
        <f aca="false">IFERROR(INDEX(Lu_Q,MATCH(A58,Lu_t,0),$C$4),0)</f>
        <v>0</v>
      </c>
      <c r="C58" s="40" t="n">
        <f aca="false">(B57+B58)/2</f>
        <v>0</v>
      </c>
      <c r="D58" s="40" t="n">
        <f aca="false">L57</f>
        <v>11776.2690198075</v>
      </c>
      <c r="E58" s="40" t="n">
        <f aca="false">J57</f>
        <v>119.93416329105</v>
      </c>
      <c r="F58" s="40" t="n">
        <f aca="false">D58+C58-E58</f>
        <v>11656.3348565165</v>
      </c>
      <c r="G58" s="41" t="n">
        <f aca="false">INDEX(QH_Z,M58)+N58*(INDEX(QH_Z,M58+1)-INDEX(QH_Z,M58))</f>
        <v>75.5225528258491</v>
      </c>
      <c r="H58" s="42" t="n">
        <f aca="false">INDEX(QH_qtc,M58)+N58*(INDEX(QH_qtc,M58+1)-INDEX(QH_qtc,M58))</f>
        <v>31.092683561745</v>
      </c>
      <c r="I58" s="43" t="n">
        <f aca="false">IF($F$4=2,0,INDEX(QH_qsc,M58)+N58*(INDEX(QH_qsc,M58+1)-INDEX(QH_qsc,M58)))</f>
        <v>83.716452337512</v>
      </c>
      <c r="J58" s="40" t="n">
        <f aca="false">H58+I58</f>
        <v>114.809135899257</v>
      </c>
      <c r="K58" s="23" t="n">
        <f aca="false">INDEX(QH_V,M58)+N58*(INDEX(QH_V,M58+1)-INDEX(QH_V,M58))</f>
        <v>41.7561490388407</v>
      </c>
      <c r="L58" s="40" t="n">
        <f aca="false">K58*1000000/dt_s+J58/2</f>
        <v>11656.3348565165</v>
      </c>
      <c r="M58" s="44" t="n">
        <f aca="false">MATCH(F58,INDEX(QH_f,0,$F$4),1)</f>
        <v>46</v>
      </c>
      <c r="N58" s="45" t="n">
        <f aca="false">(F58-INDEX(QH_f,M58,$F$4))/(INDEX(QH_f,M58+1,$F$4)-INDEX(QH_f,M58,$F$4))</f>
        <v>0.225528258491103</v>
      </c>
    </row>
    <row r="59" customFormat="false" ht="15" hidden="false" customHeight="false" outlineLevel="0" collapsed="false">
      <c r="A59" s="14" t="n">
        <v>43</v>
      </c>
      <c r="B59" s="40" t="n">
        <f aca="false">IFERROR(INDEX(Lu_Q,MATCH(A59,Lu_t,0),$C$4),0)</f>
        <v>0</v>
      </c>
      <c r="C59" s="40" t="n">
        <f aca="false">(B58+B59)/2</f>
        <v>0</v>
      </c>
      <c r="D59" s="40" t="n">
        <f aca="false">L58</f>
        <v>11656.3348565165</v>
      </c>
      <c r="E59" s="40" t="n">
        <f aca="false">J58</f>
        <v>114.809135899257</v>
      </c>
      <c r="F59" s="40" t="n">
        <f aca="false">D59+C59-E59</f>
        <v>11541.5257206172</v>
      </c>
      <c r="G59" s="41" t="n">
        <f aca="false">INDEX(QH_Z,M59)+N59*(INDEX(QH_Z,M59+1)-INDEX(QH_Z,M59))</f>
        <v>75.4619240331419</v>
      </c>
      <c r="H59" s="42" t="n">
        <f aca="false">INDEX(QH_qtc,M59)+N59*(INDEX(QH_qtc,M59+1)-INDEX(QH_qtc,M59))</f>
        <v>27.8027165212488</v>
      </c>
      <c r="I59" s="43" t="n">
        <f aca="false">IF($F$4=2,0,INDEX(QH_qsc,M59)+N59*(INDEX(QH_qsc,M59+1)-INDEX(QH_qsc,M59)))</f>
        <v>82.1986065695047</v>
      </c>
      <c r="J59" s="40" t="n">
        <f aca="false">H59+I59</f>
        <v>110.001323090754</v>
      </c>
      <c r="K59" s="23" t="n">
        <f aca="false">INDEX(QH_V,M59)+N59*(INDEX(QH_V,M59+1)-INDEX(QH_V,M59))</f>
        <v>41.3514902126587</v>
      </c>
      <c r="L59" s="40" t="n">
        <f aca="false">K59*1000000/dt_s+J59/2</f>
        <v>11541.5257206172</v>
      </c>
      <c r="M59" s="44" t="n">
        <f aca="false">MATCH(F59,INDEX(QH_f,0,$F$4),1)</f>
        <v>45</v>
      </c>
      <c r="N59" s="45" t="n">
        <f aca="false">(F59-INDEX(QH_f,M59,$F$4))/(INDEX(QH_f,M59+1,$F$4)-INDEX(QH_f,M59,$F$4))</f>
        <v>0.61924033141889</v>
      </c>
    </row>
    <row r="60" customFormat="false" ht="15" hidden="false" customHeight="false" outlineLevel="0" collapsed="false">
      <c r="A60" s="14" t="n">
        <v>44</v>
      </c>
      <c r="B60" s="40" t="n">
        <f aca="false">IFERROR(INDEX(Lu_Q,MATCH(A60,Lu_t,0),$C$4),0)</f>
        <v>0</v>
      </c>
      <c r="C60" s="40" t="n">
        <f aca="false">(B59+B60)/2</f>
        <v>0</v>
      </c>
      <c r="D60" s="40" t="n">
        <f aca="false">L59</f>
        <v>11541.5257206172</v>
      </c>
      <c r="E60" s="40" t="n">
        <f aca="false">J59</f>
        <v>110.001323090754</v>
      </c>
      <c r="F60" s="40" t="n">
        <f aca="false">D60+C60-E60</f>
        <v>11431.5243975265</v>
      </c>
      <c r="G60" s="41" t="n">
        <f aca="false">INDEX(QH_Z,M60)+N60*(INDEX(QH_Z,M60+1)-INDEX(QH_Z,M60))</f>
        <v>75.4036761868276</v>
      </c>
      <c r="H60" s="42" t="n">
        <f aca="false">INDEX(QH_qtc,M60)+N60*(INDEX(QH_qtc,M60+1)-INDEX(QH_qtc,M60))</f>
        <v>24.707795389134</v>
      </c>
      <c r="I60" s="43" t="n">
        <f aca="false">IF($F$4=2,0,INDEX(QH_qsc,M60)+N60*(INDEX(QH_qsc,M60+1)-INDEX(QH_qsc,M60)))</f>
        <v>80.7431930537096</v>
      </c>
      <c r="J60" s="40" t="n">
        <f aca="false">H60+I60</f>
        <v>105.450988442844</v>
      </c>
      <c r="K60" s="23" t="n">
        <f aca="false">INDEX(QH_V,M60)+N60*(INDEX(QH_V,M60+1)-INDEX(QH_V,M60))</f>
        <v>40.9636760518982</v>
      </c>
      <c r="L60" s="40" t="n">
        <f aca="false">K60*1000000/dt_s+J60/2</f>
        <v>11431.5243975265</v>
      </c>
      <c r="M60" s="44" t="n">
        <f aca="false">MATCH(F60,INDEX(QH_f,0,$F$4),1)</f>
        <v>45</v>
      </c>
      <c r="N60" s="45" t="n">
        <f aca="false">(F60-INDEX(QH_f,M60,$F$4))/(INDEX(QH_f,M60+1,$F$4)-INDEX(QH_f,M60,$F$4))</f>
        <v>0.0367618682760586</v>
      </c>
    </row>
    <row r="61" customFormat="false" ht="15" hidden="false" customHeight="false" outlineLevel="0" collapsed="false">
      <c r="A61" s="14" t="n">
        <v>45</v>
      </c>
      <c r="B61" s="40" t="n">
        <f aca="false">IFERROR(INDEX(Lu_Q,MATCH(A61,Lu_t,0),$C$4),0)</f>
        <v>0</v>
      </c>
      <c r="C61" s="40" t="n">
        <f aca="false">(B60+B61)/2</f>
        <v>0</v>
      </c>
      <c r="D61" s="40" t="n">
        <f aca="false">L60</f>
        <v>11431.5243975265</v>
      </c>
      <c r="E61" s="40" t="n">
        <f aca="false">J60</f>
        <v>105.450988442844</v>
      </c>
      <c r="F61" s="40" t="n">
        <f aca="false">D61+C61-E61</f>
        <v>11326.0734090836</v>
      </c>
      <c r="G61" s="41" t="n">
        <f aca="false">INDEX(QH_Z,M61)+N61*(INDEX(QH_Z,M61+1)-INDEX(QH_Z,M61))</f>
        <v>75.3474495388506</v>
      </c>
      <c r="H61" s="42" t="n">
        <f aca="false">INDEX(QH_qtc,M61)+N61*(INDEX(QH_qtc,M61+1)-INDEX(QH_qtc,M61))</f>
        <v>21.8950943648598</v>
      </c>
      <c r="I61" s="43" t="n">
        <f aca="false">IF($F$4=2,0,INDEX(QH_qsc,M61)+N61*(INDEX(QH_qsc,M61+1)-INDEX(QH_qsc,M61)))</f>
        <v>79.3454738259072</v>
      </c>
      <c r="J61" s="40" t="n">
        <f aca="false">H61+I61</f>
        <v>101.240568190767</v>
      </c>
      <c r="K61" s="23" t="n">
        <f aca="false">INDEX(QH_V,M61)+N61*(INDEX(QH_V,M61+1)-INDEX(QH_V,M61))</f>
        <v>40.5916312499577</v>
      </c>
      <c r="L61" s="40" t="n">
        <f aca="false">K61*1000000/dt_s+J61/2</f>
        <v>11326.0734090836</v>
      </c>
      <c r="M61" s="44" t="n">
        <f aca="false">MATCH(F61,INDEX(QH_f,0,$F$4),1)</f>
        <v>44</v>
      </c>
      <c r="N61" s="45" t="n">
        <f aca="false">(F61-INDEX(QH_f,M61,$F$4))/(INDEX(QH_f,M61+1,$F$4)-INDEX(QH_f,M61,$F$4))</f>
        <v>0.474495388505782</v>
      </c>
    </row>
    <row r="62" customFormat="false" ht="15" hidden="false" customHeight="false" outlineLevel="0" collapsed="false">
      <c r="A62" s="14" t="n">
        <v>46</v>
      </c>
      <c r="B62" s="40" t="n">
        <f aca="false">IFERROR(INDEX(Lu_Q,MATCH(A62,Lu_t,0),$C$4),0)</f>
        <v>0</v>
      </c>
      <c r="C62" s="40" t="n">
        <f aca="false">(B61+B62)/2</f>
        <v>0</v>
      </c>
      <c r="D62" s="40" t="n">
        <f aca="false">L61</f>
        <v>11326.0734090836</v>
      </c>
      <c r="E62" s="40" t="n">
        <f aca="false">J61</f>
        <v>101.240568190767</v>
      </c>
      <c r="F62" s="40" t="n">
        <f aca="false">D62+C62-E62</f>
        <v>11224.8328408929</v>
      </c>
      <c r="G62" s="41" t="n">
        <f aca="false">INDEX(QH_Z,M62)+N62*(INDEX(QH_Z,M62+1)-INDEX(QH_Z,M62))</f>
        <v>75.2933917990335</v>
      </c>
      <c r="H62" s="42" t="n">
        <f aca="false">INDEX(QH_qtc,M62)+N62*(INDEX(QH_qtc,M62+1)-INDEX(QH_qtc,M62))</f>
        <v>19.2269571945147</v>
      </c>
      <c r="I62" s="43" t="n">
        <f aca="false">IF($F$4=2,0,INDEX(QH_qsc,M62)+N62*(INDEX(QH_qsc,M62+1)-INDEX(QH_qsc,M62)))</f>
        <v>78.0031025634672</v>
      </c>
      <c r="J62" s="40" t="n">
        <f aca="false">H62+I62</f>
        <v>97.2300597579819</v>
      </c>
      <c r="K62" s="23" t="n">
        <f aca="false">INDEX(QH_V,M62)+N62*(INDEX(QH_V,M62+1)-INDEX(QH_V,M62))</f>
        <v>40.23438411965</v>
      </c>
      <c r="L62" s="40" t="n">
        <f aca="false">K62*1000000/dt_s+J62/2</f>
        <v>11224.8328408929</v>
      </c>
      <c r="M62" s="44" t="n">
        <f aca="false">MATCH(F62,INDEX(QH_f,0,$F$4),1)</f>
        <v>43</v>
      </c>
      <c r="N62" s="45" t="n">
        <f aca="false">(F62-INDEX(QH_f,M62,$F$4))/(INDEX(QH_f,M62+1,$F$4)-INDEX(QH_f,M62,$F$4))</f>
        <v>0.933917990334841</v>
      </c>
    </row>
    <row r="63" customFormat="false" ht="15" hidden="false" customHeight="false" outlineLevel="0" collapsed="false">
      <c r="A63" s="14" t="n">
        <v>47</v>
      </c>
      <c r="B63" s="40" t="n">
        <f aca="false">IFERROR(INDEX(Lu_Q,MATCH(A63,Lu_t,0),$C$4),0)</f>
        <v>0</v>
      </c>
      <c r="C63" s="40" t="n">
        <f aca="false">(B62+B63)/2</f>
        <v>0</v>
      </c>
      <c r="D63" s="40" t="n">
        <f aca="false">L62</f>
        <v>11224.8328408929</v>
      </c>
      <c r="E63" s="40" t="n">
        <f aca="false">J62</f>
        <v>97.2300597579819</v>
      </c>
      <c r="F63" s="40" t="n">
        <f aca="false">D63+C63-E63</f>
        <v>11127.6027811349</v>
      </c>
      <c r="G63" s="41" t="n">
        <f aca="false">INDEX(QH_Z,M63)+N63*(INDEX(QH_Z,M63+1)-INDEX(QH_Z,M63))</f>
        <v>75.2411293001015</v>
      </c>
      <c r="H63" s="42" t="n">
        <f aca="false">INDEX(QH_qtc,M63)+N63*(INDEX(QH_qtc,M63+1)-INDEX(QH_qtc,M63))</f>
        <v>16.8161684156165</v>
      </c>
      <c r="I63" s="43" t="n">
        <f aca="false">IF($F$4=2,0,INDEX(QH_qsc,M63)+N63*(INDEX(QH_qsc,M63+1)-INDEX(QH_qsc,M63)))</f>
        <v>76.7118929283274</v>
      </c>
      <c r="J63" s="40" t="n">
        <f aca="false">H63+I63</f>
        <v>93.5280613439438</v>
      </c>
      <c r="K63" s="23" t="n">
        <f aca="false">INDEX(QH_V,M63)+N63*(INDEX(QH_V,M63+1)-INDEX(QH_V,M63))</f>
        <v>39.8910195016665</v>
      </c>
      <c r="L63" s="40" t="n">
        <f aca="false">K63*1000000/dt_s+J63/2</f>
        <v>11127.6027811349</v>
      </c>
      <c r="M63" s="44" t="n">
        <f aca="false">MATCH(F63,INDEX(QH_f,0,$F$4),1)</f>
        <v>43</v>
      </c>
      <c r="N63" s="45" t="n">
        <f aca="false">(F63-INDEX(QH_f,M63,$F$4))/(INDEX(QH_f,M63+1,$F$4)-INDEX(QH_f,M63,$F$4))</f>
        <v>0.411293001014476</v>
      </c>
    </row>
    <row r="64" customFormat="false" ht="15" hidden="false" customHeight="false" outlineLevel="0" collapsed="false">
      <c r="A64" s="14" t="n">
        <v>48</v>
      </c>
      <c r="B64" s="40" t="n">
        <f aca="false">IFERROR(INDEX(Lu_Q,MATCH(A64,Lu_t,0),$C$4),0)</f>
        <v>0</v>
      </c>
      <c r="C64" s="40" t="n">
        <f aca="false">(B63+B64)/2</f>
        <v>0</v>
      </c>
      <c r="D64" s="40" t="n">
        <f aca="false">L63</f>
        <v>11127.6027811349</v>
      </c>
      <c r="E64" s="40" t="n">
        <f aca="false">J63</f>
        <v>93.5280613439438</v>
      </c>
      <c r="F64" s="40" t="n">
        <f aca="false">D64+C64-E64</f>
        <v>11034.0747197909</v>
      </c>
      <c r="G64" s="41" t="n">
        <f aca="false">INDEX(QH_Z,M64)+N64*(INDEX(QH_Z,M64+1)-INDEX(QH_Z,M64))</f>
        <v>75.1907855561</v>
      </c>
      <c r="H64" s="42" t="n">
        <f aca="false">INDEX(QH_qtc,M64)+N64*(INDEX(QH_qtc,M64+1)-INDEX(QH_qtc,M64))</f>
        <v>14.5318890175859</v>
      </c>
      <c r="I64" s="43" t="n">
        <f aca="false">IF($F$4=2,0,INDEX(QH_qsc,M64)+N64*(INDEX(QH_qsc,M64+1)-INDEX(QH_qsc,M64)))</f>
        <v>75.4694732818336</v>
      </c>
      <c r="J64" s="40" t="n">
        <f aca="false">H64+I64</f>
        <v>90.0013622994195</v>
      </c>
      <c r="K64" s="23" t="n">
        <f aca="false">INDEX(QH_V,M64)+N64*(INDEX(QH_V,M64+1)-INDEX(QH_V,M64))</f>
        <v>39.5606665391085</v>
      </c>
      <c r="L64" s="40" t="n">
        <f aca="false">K64*1000000/dt_s+J64/2</f>
        <v>11034.074719791</v>
      </c>
      <c r="M64" s="44" t="n">
        <f aca="false">MATCH(F64,INDEX(QH_f,0,$F$4),1)</f>
        <v>42</v>
      </c>
      <c r="N64" s="45" t="n">
        <f aca="false">(F64-INDEX(QH_f,M64,$F$4))/(INDEX(QH_f,M64+1,$F$4)-INDEX(QH_f,M64,$F$4))</f>
        <v>0.907855560999767</v>
      </c>
    </row>
  </sheetData>
  <mergeCells count="12">
    <mergeCell ref="A3:B3"/>
    <mergeCell ref="D3:E3"/>
    <mergeCell ref="F3:G3"/>
    <mergeCell ref="A4:B4"/>
    <mergeCell ref="D4:E4"/>
    <mergeCell ref="A6:E6"/>
    <mergeCell ref="A7:E7"/>
    <mergeCell ref="A8:E8"/>
    <mergeCell ref="A9:E9"/>
    <mergeCell ref="A10:E10"/>
    <mergeCell ref="A11:E11"/>
    <mergeCell ref="A12:E12"/>
  </mergeCells>
  <conditionalFormatting sqref="A16:N64">
    <cfRule type="expression" priority="2" aboveAverage="0" equalAverage="0" bottom="0" percent="0" rank="0" text="" dxfId="0">
      <formula>$G16=MAX($G$16:$G$64)</formula>
    </cfRule>
  </conditionalFormatting>
  <dataValidations count="2">
    <dataValidation allowBlank="false" errorStyle="stop" operator="between" showDropDown="false" showErrorMessage="false" showInputMessage="false" sqref="C3" type="list">
      <formula1>"1,0.2"</formula1>
      <formula2>0</formula2>
    </dataValidation>
    <dataValidation allowBlank="false" errorStyle="stop" operator="between" showDropDown="false" showErrorMessage="false" showInputMessage="false" sqref="F3" type="list">
      <formula1>"Hai tràn,Kẹt van"</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N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5" topLeftCell="B16" activePane="bottomRight" state="frozen"/>
      <selection pane="topLeft" activeCell="A1" activeCellId="0" sqref="A1"/>
      <selection pane="topRight" activeCell="B1" activeCellId="0" sqref="B1"/>
      <selection pane="bottomLeft" activeCell="A16" activeCellId="0" sqref="A1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11"/>
    <col collapsed="false" customWidth="true" hidden="false" outlineLevel="0" max="4" min="4" style="0" width="12"/>
    <col collapsed="false" customWidth="true" hidden="false" outlineLevel="0" max="5" min="5" style="0" width="11"/>
    <col collapsed="false" customWidth="true" hidden="false" outlineLevel="0" max="10" min="6" style="0" width="12"/>
    <col collapsed="false" customWidth="true" hidden="false" outlineLevel="0" max="11" min="11" style="0" width="11"/>
    <col collapsed="false" customWidth="true" hidden="false" outlineLevel="0" max="12" min="12" style="0" width="12"/>
    <col collapsed="false" customWidth="true" hidden="false" outlineLevel="0" max="14" min="13" style="0" width="10"/>
  </cols>
  <sheetData>
    <row r="1" customFormat="false" ht="17.35" hidden="false" customHeight="false" outlineLevel="0" collapsed="false">
      <c r="A1" s="6" t="s">
        <v>98</v>
      </c>
    </row>
    <row r="3" customFormat="false" ht="15" hidden="false" customHeight="false" outlineLevel="0" collapsed="false">
      <c r="A3" s="10" t="s">
        <v>99</v>
      </c>
      <c r="B3" s="10"/>
      <c r="C3" s="33" t="n">
        <v>1</v>
      </c>
      <c r="D3" s="10" t="s">
        <v>100</v>
      </c>
      <c r="E3" s="10"/>
      <c r="F3" s="34" t="s">
        <v>125</v>
      </c>
      <c r="G3" s="34"/>
      <c r="H3" s="7" t="s">
        <v>102</v>
      </c>
    </row>
    <row r="4" customFormat="false" ht="15" hidden="false" customHeight="false" outlineLevel="0" collapsed="false">
      <c r="A4" s="13" t="s">
        <v>103</v>
      </c>
      <c r="B4" s="13"/>
      <c r="C4" s="35" t="n">
        <f aca="false">MATCH(C3,Lu_P,0)</f>
        <v>1</v>
      </c>
      <c r="D4" s="13" t="s">
        <v>104</v>
      </c>
      <c r="E4" s="13"/>
      <c r="F4" s="35" t="n">
        <f aca="false">IF(F3="Kẹt van",2,1)</f>
        <v>2</v>
      </c>
    </row>
    <row r="5" customFormat="false" ht="15" hidden="false" customHeight="false" outlineLevel="0" collapsed="false">
      <c r="H5" s="7" t="s">
        <v>105</v>
      </c>
    </row>
    <row r="6" customFormat="false" ht="15" hidden="false" customHeight="false" outlineLevel="0" collapsed="false">
      <c r="A6" s="10" t="s">
        <v>106</v>
      </c>
      <c r="B6" s="10"/>
      <c r="C6" s="10"/>
      <c r="D6" s="10"/>
      <c r="E6" s="10"/>
      <c r="F6" s="21" t="n">
        <f aca="false">MAX(G16:G64)</f>
        <v>78.2048023895375</v>
      </c>
      <c r="H6" s="7" t="s">
        <v>107</v>
      </c>
    </row>
    <row r="7" customFormat="false" ht="15" hidden="false" customHeight="false" outlineLevel="0" collapsed="false">
      <c r="A7" s="10" t="s">
        <v>108</v>
      </c>
      <c r="B7" s="10"/>
      <c r="C7" s="10"/>
      <c r="D7" s="10"/>
      <c r="E7" s="10"/>
      <c r="F7" s="36" t="n">
        <f aca="false">INDEX(A16:A64,MATCH(MAX(G16:G64),G16:G64,0))</f>
        <v>17</v>
      </c>
    </row>
    <row r="8" customFormat="false" ht="15" hidden="false" customHeight="false" outlineLevel="0" collapsed="false">
      <c r="A8" s="10" t="s">
        <v>109</v>
      </c>
      <c r="B8" s="10"/>
      <c r="C8" s="10"/>
      <c r="D8" s="10"/>
      <c r="E8" s="10"/>
      <c r="F8" s="37" t="n">
        <f aca="false">MAX(J16:J64)</f>
        <v>243.076117997252</v>
      </c>
    </row>
    <row r="9" customFormat="false" ht="15" hidden="false" customHeight="false" outlineLevel="0" collapsed="false">
      <c r="A9" s="10" t="s">
        <v>110</v>
      </c>
      <c r="B9" s="10"/>
      <c r="C9" s="10"/>
      <c r="D9" s="10"/>
      <c r="E9" s="10"/>
      <c r="F9" s="37" t="n">
        <f aca="false">INDEX(H16:H64,MATCH(MAX(G16:G64),G16:G64,0))</f>
        <v>243.076117997252</v>
      </c>
      <c r="G9" s="37" t="n">
        <f aca="false">INDEX(I16:I64,MATCH(MAX(G16:G64),G16:G64,0))</f>
        <v>0</v>
      </c>
    </row>
    <row r="10" customFormat="false" ht="15" hidden="false" customHeight="false" outlineLevel="0" collapsed="false">
      <c r="A10" s="10" t="s">
        <v>111</v>
      </c>
      <c r="B10" s="10"/>
      <c r="C10" s="10"/>
      <c r="D10" s="10"/>
      <c r="E10" s="10"/>
      <c r="F10" s="21" t="n">
        <f aca="false">F6-TC_Z</f>
        <v>3.50480238953746</v>
      </c>
      <c r="G10" s="21" t="n">
        <f aca="false">F6-SC_Z</f>
        <v>7.20480238953746</v>
      </c>
    </row>
    <row r="11" customFormat="false" ht="15" hidden="false" customHeight="false" outlineLevel="0" collapsed="false">
      <c r="A11" s="10" t="s">
        <v>112</v>
      </c>
      <c r="B11" s="10"/>
      <c r="C11" s="10"/>
      <c r="D11" s="10"/>
      <c r="E11" s="10"/>
      <c r="F11" s="38" t="n">
        <f aca="false">INDEX(K16:K64,MATCH(MAX(G16:G64),G16:G64,0))-K16</f>
        <v>25.0243112118812</v>
      </c>
    </row>
    <row r="12" customFormat="false" ht="15" hidden="false" customHeight="false" outlineLevel="0" collapsed="false">
      <c r="A12" s="10" t="s">
        <v>113</v>
      </c>
      <c r="B12" s="10"/>
      <c r="C12" s="10"/>
      <c r="D12" s="10"/>
      <c r="E12" s="10"/>
      <c r="F12" s="39" t="n">
        <f aca="false">SUMPRODUCT((B16:B63+B17:B64)/2)*dt_s/1000000-SUMPRODUCT((J16:J63+J17:J64)/2)*dt_s/1000000-(K64-K16)</f>
        <v>6.03961325396085E-014</v>
      </c>
    </row>
    <row r="15" customFormat="false" ht="45" hidden="false" customHeight="true" outlineLevel="0" collapsed="false">
      <c r="A15" s="9" t="s">
        <v>72</v>
      </c>
      <c r="B15" s="9" t="s">
        <v>114</v>
      </c>
      <c r="C15" s="9" t="s">
        <v>115</v>
      </c>
      <c r="D15" s="9" t="s">
        <v>116</v>
      </c>
      <c r="E15" s="9" t="s">
        <v>117</v>
      </c>
      <c r="F15" s="9" t="s">
        <v>118</v>
      </c>
      <c r="G15" s="9" t="s">
        <v>119</v>
      </c>
      <c r="H15" s="9" t="s">
        <v>90</v>
      </c>
      <c r="I15" s="9" t="s">
        <v>93</v>
      </c>
      <c r="J15" s="9" t="s">
        <v>120</v>
      </c>
      <c r="K15" s="9" t="s">
        <v>121</v>
      </c>
      <c r="L15" s="9" t="s">
        <v>122</v>
      </c>
      <c r="M15" s="9" t="s">
        <v>123</v>
      </c>
      <c r="N15" s="9" t="s">
        <v>124</v>
      </c>
    </row>
    <row r="16" customFormat="false" ht="15" hidden="false" customHeight="false" outlineLevel="0" collapsed="false">
      <c r="A16" s="14" t="n">
        <v>0</v>
      </c>
      <c r="B16" s="40" t="n">
        <f aca="false">IFERROR(INDEX(Lu_Q,MATCH(A16,Lu_t,0),$C$4),0)</f>
        <v>2</v>
      </c>
      <c r="C16" s="40"/>
      <c r="D16" s="40"/>
      <c r="E16" s="40"/>
      <c r="F16" s="40"/>
      <c r="G16" s="41" t="n">
        <f aca="false">Z0</f>
        <v>74.7</v>
      </c>
      <c r="H16" s="42" t="n">
        <f aca="false">INDEX(QH_qtc,M16)+N16*(INDEX(QH_qtc,M16+1)-INDEX(QH_qtc,M16))</f>
        <v>0</v>
      </c>
      <c r="I16" s="43" t="n">
        <f aca="false">IF($F$4=2,0,INDEX(QH_qsc,M16)+N16*(INDEX(QH_qsc,M16+1)-INDEX(QH_qsc,M16)))</f>
        <v>0</v>
      </c>
      <c r="J16" s="40" t="n">
        <f aca="false">H16+I16</f>
        <v>0</v>
      </c>
      <c r="K16" s="23" t="n">
        <f aca="false">INDEX(QH_V,M16)+N16*(INDEX(QH_V,M16+1)-INDEX(QH_V,M16))</f>
        <v>36.4117</v>
      </c>
      <c r="L16" s="40" t="n">
        <f aca="false">K16*1000000/dt_s+J16/2</f>
        <v>10114.3611111111</v>
      </c>
      <c r="M16" s="44" t="n">
        <f aca="false">MATCH(G16,QH_Z,1)</f>
        <v>38</v>
      </c>
      <c r="N16" s="45" t="n">
        <f aca="false">(G16-INDEX(QH_Z,M16))/(INDEX(QH_Z,M16+1)-INDEX(QH_Z,M16))</f>
        <v>0</v>
      </c>
    </row>
    <row r="17" customFormat="false" ht="15" hidden="false" customHeight="false" outlineLevel="0" collapsed="false">
      <c r="A17" s="14" t="n">
        <v>1</v>
      </c>
      <c r="B17" s="40" t="n">
        <f aca="false">IFERROR(INDEX(Lu_Q,MATCH(A17,Lu_t,0),$C$4),0)</f>
        <v>2</v>
      </c>
      <c r="C17" s="40" t="n">
        <f aca="false">(B16+B17)/2</f>
        <v>2</v>
      </c>
      <c r="D17" s="40" t="n">
        <f aca="false">L16</f>
        <v>10114.3611111111</v>
      </c>
      <c r="E17" s="40" t="n">
        <f aca="false">J16</f>
        <v>0</v>
      </c>
      <c r="F17" s="40" t="n">
        <f aca="false">D17+C17-E17</f>
        <v>10116.3611111111</v>
      </c>
      <c r="G17" s="41" t="n">
        <f aca="false">INDEX(QH_Z,M17)+N17*(INDEX(QH_Z,M17+1)-INDEX(QH_Z,M17))</f>
        <v>74.701139346992</v>
      </c>
      <c r="H17" s="42" t="n">
        <f aca="false">INDEX(QH_qtc,M17)+N17*(INDEX(QH_qtc,M17+1)-INDEX(QH_qtc,M17))</f>
        <v>0.015450380866394</v>
      </c>
      <c r="I17" s="43" t="n">
        <f aca="false">IF($F$4=2,0,INDEX(QH_qsc,M17)+N17*(INDEX(QH_qsc,M17+1)-INDEX(QH_qsc,M17)))</f>
        <v>0</v>
      </c>
      <c r="J17" s="40" t="n">
        <f aca="false">H17+I17</f>
        <v>0.015450380866394</v>
      </c>
      <c r="K17" s="23" t="n">
        <f aca="false">INDEX(QH_V,M17)+N17*(INDEX(QH_V,M17+1)-INDEX(QH_V,M17))</f>
        <v>36.4188721893145</v>
      </c>
      <c r="L17" s="40" t="n">
        <f aca="false">K17*1000000/dt_s+J17/2</f>
        <v>10116.3611111111</v>
      </c>
      <c r="M17" s="44" t="n">
        <f aca="false">MATCH(F17,INDEX(QH_f,0,$F$4),1)</f>
        <v>38</v>
      </c>
      <c r="N17" s="45" t="n">
        <f aca="false">(F17-INDEX(QH_f,M17,$F$4))/(INDEX(QH_f,M17+1,$F$4)-INDEX(QH_f,M17,$F$4))</f>
        <v>0.0113934699196836</v>
      </c>
    </row>
    <row r="18" customFormat="false" ht="15" hidden="false" customHeight="false" outlineLevel="0" collapsed="false">
      <c r="A18" s="14" t="n">
        <v>2</v>
      </c>
      <c r="B18" s="40" t="n">
        <f aca="false">IFERROR(INDEX(Lu_Q,MATCH(A18,Lu_t,0),$C$4),0)</f>
        <v>50</v>
      </c>
      <c r="C18" s="40" t="n">
        <f aca="false">(B17+B18)/2</f>
        <v>26</v>
      </c>
      <c r="D18" s="40" t="n">
        <f aca="false">L17</f>
        <v>10116.3611111111</v>
      </c>
      <c r="E18" s="40" t="n">
        <f aca="false">J17</f>
        <v>0.015450380866394</v>
      </c>
      <c r="F18" s="40" t="n">
        <f aca="false">D18+C18-E18</f>
        <v>10142.3456607302</v>
      </c>
      <c r="G18" s="41" t="n">
        <f aca="false">INDEX(QH_Z,M18)+N18*(INDEX(QH_Z,M18+1)-INDEX(QH_Z,M18))</f>
        <v>74.7159420562151</v>
      </c>
      <c r="H18" s="42" t="n">
        <f aca="false">INDEX(QH_qtc,M18)+N18*(INDEX(QH_qtc,M18+1)-INDEX(QH_qtc,M18))</f>
        <v>0.216185974995059</v>
      </c>
      <c r="I18" s="43" t="n">
        <f aca="false">IF($F$4=2,0,INDEX(QH_qsc,M18)+N18*(INDEX(QH_qsc,M18+1)-INDEX(QH_qsc,M18)))</f>
        <v>0</v>
      </c>
      <c r="J18" s="40" t="n">
        <f aca="false">H18+I18</f>
        <v>0.216185974995059</v>
      </c>
      <c r="K18" s="23" t="n">
        <f aca="false">INDEX(QH_V,M18)+N18*(INDEX(QH_V,M18+1)-INDEX(QH_V,M18))</f>
        <v>36.5120552438739</v>
      </c>
      <c r="L18" s="40" t="n">
        <f aca="false">K18*1000000/dt_s+J18/2</f>
        <v>10142.3456607302</v>
      </c>
      <c r="M18" s="44" t="n">
        <f aca="false">MATCH(F18,INDEX(QH_f,0,$F$4),1)</f>
        <v>38</v>
      </c>
      <c r="N18" s="45" t="n">
        <f aca="false">(F18-INDEX(QH_f,M18,$F$4))/(INDEX(QH_f,M18+1,$F$4)-INDEX(QH_f,M18,$F$4))</f>
        <v>0.159420562150746</v>
      </c>
    </row>
    <row r="19" customFormat="false" ht="15" hidden="false" customHeight="false" outlineLevel="0" collapsed="false">
      <c r="A19" s="14" t="n">
        <v>3</v>
      </c>
      <c r="B19" s="40" t="n">
        <f aca="false">IFERROR(INDEX(Lu_Q,MATCH(A19,Lu_t,0),$C$4),0)</f>
        <v>207</v>
      </c>
      <c r="C19" s="40" t="n">
        <f aca="false">(B18+B19)/2</f>
        <v>128.5</v>
      </c>
      <c r="D19" s="40" t="n">
        <f aca="false">L18</f>
        <v>10142.3456607302</v>
      </c>
      <c r="E19" s="40" t="n">
        <f aca="false">J18</f>
        <v>0.216185974995059</v>
      </c>
      <c r="F19" s="40" t="n">
        <f aca="false">D19+C19-E19</f>
        <v>10270.6294747553</v>
      </c>
      <c r="G19" s="41" t="n">
        <f aca="false">INDEX(QH_Z,M19)+N19*(INDEX(QH_Z,M19+1)-INDEX(QH_Z,M19))</f>
        <v>74.7890219450289</v>
      </c>
      <c r="H19" s="42" t="n">
        <f aca="false">INDEX(QH_qtc,M19)+N19*(INDEX(QH_qtc,M19+1)-INDEX(QH_qtc,M19))</f>
        <v>1.20720286783505</v>
      </c>
      <c r="I19" s="43" t="n">
        <f aca="false">IF($F$4=2,0,INDEX(QH_qsc,M19)+N19*(INDEX(QH_qsc,M19+1)-INDEX(QH_qsc,M19)))</f>
        <v>0</v>
      </c>
      <c r="J19" s="40" t="n">
        <f aca="false">H19+I19</f>
        <v>1.20720286783505</v>
      </c>
      <c r="K19" s="23" t="n">
        <f aca="false">INDEX(QH_V,M19)+N19*(INDEX(QH_V,M19+1)-INDEX(QH_V,M19))</f>
        <v>36.9720931439568</v>
      </c>
      <c r="L19" s="40" t="n">
        <f aca="false">K19*1000000/dt_s+J19/2</f>
        <v>10270.6294747553</v>
      </c>
      <c r="M19" s="44" t="n">
        <f aca="false">MATCH(F19,INDEX(QH_f,0,$F$4),1)</f>
        <v>38</v>
      </c>
      <c r="N19" s="45" t="n">
        <f aca="false">(F19-INDEX(QH_f,M19,$F$4))/(INDEX(QH_f,M19+1,$F$4)-INDEX(QH_f,M19,$F$4))</f>
        <v>0.89021945028883</v>
      </c>
    </row>
    <row r="20" customFormat="false" ht="15" hidden="false" customHeight="false" outlineLevel="0" collapsed="false">
      <c r="A20" s="14" t="n">
        <v>4</v>
      </c>
      <c r="B20" s="40" t="n">
        <f aca="false">IFERROR(INDEX(Lu_Q,MATCH(A20,Lu_t,0),$C$4),0)</f>
        <v>437</v>
      </c>
      <c r="C20" s="40" t="n">
        <f aca="false">(B19+B20)/2</f>
        <v>322</v>
      </c>
      <c r="D20" s="40" t="n">
        <f aca="false">L19</f>
        <v>10270.6294747553</v>
      </c>
      <c r="E20" s="40" t="n">
        <f aca="false">J19</f>
        <v>1.20720286783505</v>
      </c>
      <c r="F20" s="40" t="n">
        <f aca="false">D20+C20-E20</f>
        <v>10591.4222718874</v>
      </c>
      <c r="G20" s="41" t="n">
        <f aca="false">INDEX(QH_Z,M20)+N20*(INDEX(QH_Z,M20+1)-INDEX(QH_Z,M20))</f>
        <v>74.9686212059506</v>
      </c>
      <c r="H20" s="42" t="n">
        <f aca="false">INDEX(QH_qtc,M20)+N20*(INDEX(QH_qtc,M20+1)-INDEX(QH_qtc,M20))</f>
        <v>5.99538230559741</v>
      </c>
      <c r="I20" s="43" t="n">
        <f aca="false">IF($F$4=2,0,INDEX(QH_qsc,M20)+N20*(INDEX(QH_qsc,M20+1)-INDEX(QH_qsc,M20)))</f>
        <v>0</v>
      </c>
      <c r="J20" s="40" t="n">
        <f aca="false">H20+I20</f>
        <v>5.99538230559741</v>
      </c>
      <c r="K20" s="23" t="n">
        <f aca="false">INDEX(QH_V,M20)+N20*(INDEX(QH_V,M20+1)-INDEX(QH_V,M20))</f>
        <v>38.1183284906446</v>
      </c>
      <c r="L20" s="40" t="n">
        <f aca="false">K20*1000000/dt_s+J20/2</f>
        <v>10591.4222718874</v>
      </c>
      <c r="M20" s="44" t="n">
        <f aca="false">MATCH(F20,INDEX(QH_f,0,$F$4),1)</f>
        <v>40</v>
      </c>
      <c r="N20" s="45" t="n">
        <f aca="false">(F20-INDEX(QH_f,M20,$F$4))/(INDEX(QH_f,M20+1,$F$4)-INDEX(QH_f,M20,$F$4))</f>
        <v>0.686212059506158</v>
      </c>
    </row>
    <row r="21" customFormat="false" ht="15" hidden="false" customHeight="false" outlineLevel="0" collapsed="false">
      <c r="A21" s="14" t="n">
        <v>5</v>
      </c>
      <c r="B21" s="40" t="n">
        <f aca="false">IFERROR(INDEX(Lu_Q,MATCH(A21,Lu_t,0),$C$4),0)</f>
        <v>657</v>
      </c>
      <c r="C21" s="40" t="n">
        <f aca="false">(B20+B21)/2</f>
        <v>547</v>
      </c>
      <c r="D21" s="40" t="n">
        <f aca="false">L20</f>
        <v>10591.4222718874</v>
      </c>
      <c r="E21" s="40" t="n">
        <f aca="false">J20</f>
        <v>5.99538230559741</v>
      </c>
      <c r="F21" s="40" t="n">
        <f aca="false">D21+C21-E21</f>
        <v>11132.4268895818</v>
      </c>
      <c r="G21" s="41" t="n">
        <f aca="false">INDEX(QH_Z,M21)+N21*(INDEX(QH_Z,M21+1)-INDEX(QH_Z,M21))</f>
        <v>75.2644943185723</v>
      </c>
      <c r="H21" s="42" t="n">
        <f aca="false">INDEX(QH_qtc,M21)+N21*(INDEX(QH_qtc,M21+1)-INDEX(QH_qtc,M21))</f>
        <v>17.8939608193328</v>
      </c>
      <c r="I21" s="43" t="n">
        <f aca="false">IF($F$4=2,0,INDEX(QH_qsc,M21)+N21*(INDEX(QH_qsc,M21+1)-INDEX(QH_qsc,M21)))</f>
        <v>0</v>
      </c>
      <c r="J21" s="40" t="n">
        <f aca="false">H21+I21</f>
        <v>17.8939608193328</v>
      </c>
      <c r="K21" s="23" t="n">
        <f aca="false">INDEX(QH_V,M21)+N21*(INDEX(QH_V,M21+1)-INDEX(QH_V,M21))</f>
        <v>40.0445276730197</v>
      </c>
      <c r="L21" s="40" t="n">
        <f aca="false">K21*1000000/dt_s+J21/2</f>
        <v>11132.4268895818</v>
      </c>
      <c r="M21" s="44" t="n">
        <f aca="false">MATCH(F21,INDEX(QH_f,0,$F$4),1)</f>
        <v>43</v>
      </c>
      <c r="N21" s="45" t="n">
        <f aca="false">(F21-INDEX(QH_f,M21,$F$4))/(INDEX(QH_f,M21+1,$F$4)-INDEX(QH_f,M21,$F$4))</f>
        <v>0.644943185722601</v>
      </c>
    </row>
    <row r="22" customFormat="false" ht="15" hidden="false" customHeight="false" outlineLevel="0" collapsed="false">
      <c r="A22" s="14" t="n">
        <v>6</v>
      </c>
      <c r="B22" s="40" t="n">
        <f aca="false">IFERROR(INDEX(Lu_Q,MATCH(A22,Lu_t,0),$C$4),0)</f>
        <v>816</v>
      </c>
      <c r="C22" s="40" t="n">
        <f aca="false">(B21+B22)/2</f>
        <v>736.5</v>
      </c>
      <c r="D22" s="40" t="n">
        <f aca="false">L21</f>
        <v>11132.4268895818</v>
      </c>
      <c r="E22" s="40" t="n">
        <f aca="false">J21</f>
        <v>17.8939608193328</v>
      </c>
      <c r="F22" s="40" t="n">
        <f aca="false">D22+C22-E22</f>
        <v>11851.0329287625</v>
      </c>
      <c r="G22" s="41" t="n">
        <f aca="false">INDEX(QH_Z,M22)+N22*(INDEX(QH_Z,M22+1)-INDEX(QH_Z,M22))</f>
        <v>75.6473896833575</v>
      </c>
      <c r="H22" s="42" t="n">
        <f aca="false">INDEX(QH_qtc,M22)+N22*(INDEX(QH_qtc,M22+1)-INDEX(QH_qtc,M22))</f>
        <v>38.237633119706</v>
      </c>
      <c r="I22" s="43" t="n">
        <f aca="false">IF($F$4=2,0,INDEX(QH_qsc,M22)+N22*(INDEX(QH_qsc,M22+1)-INDEX(QH_qsc,M22)))</f>
        <v>0</v>
      </c>
      <c r="J22" s="40" t="n">
        <f aca="false">H22+I22</f>
        <v>38.237633119706</v>
      </c>
      <c r="K22" s="23" t="n">
        <f aca="false">INDEX(QH_V,M22)+N22*(INDEX(QH_V,M22+1)-INDEX(QH_V,M22))</f>
        <v>42.5948908039295</v>
      </c>
      <c r="L22" s="40" t="n">
        <f aca="false">K22*1000000/dt_s+J22/2</f>
        <v>11851.0329287625</v>
      </c>
      <c r="M22" s="44" t="n">
        <f aca="false">MATCH(F22,INDEX(QH_f,0,$F$4),1)</f>
        <v>47</v>
      </c>
      <c r="N22" s="45" t="n">
        <f aca="false">(F22-INDEX(QH_f,M22,$F$4))/(INDEX(QH_f,M22+1,$F$4)-INDEX(QH_f,M22,$F$4))</f>
        <v>0.473896833574692</v>
      </c>
    </row>
    <row r="23" customFormat="false" ht="15" hidden="false" customHeight="false" outlineLevel="0" collapsed="false">
      <c r="A23" s="14" t="n">
        <v>7</v>
      </c>
      <c r="B23" s="40" t="n">
        <f aca="false">IFERROR(INDEX(Lu_Q,MATCH(A23,Lu_t,0),$C$4),0)</f>
        <v>898</v>
      </c>
      <c r="C23" s="40" t="n">
        <f aca="false">(B22+B23)/2</f>
        <v>857</v>
      </c>
      <c r="D23" s="40" t="n">
        <f aca="false">L22</f>
        <v>11851.0329287625</v>
      </c>
      <c r="E23" s="40" t="n">
        <f aca="false">J22</f>
        <v>38.237633119706</v>
      </c>
      <c r="F23" s="40" t="n">
        <f aca="false">D23+C23-E23</f>
        <v>12669.7952956428</v>
      </c>
      <c r="G23" s="41" t="n">
        <f aca="false">INDEX(QH_Z,M23)+N23*(INDEX(QH_Z,M23+1)-INDEX(QH_Z,M23))</f>
        <v>76.0712744854281</v>
      </c>
      <c r="H23" s="42" t="n">
        <f aca="false">INDEX(QH_qtc,M23)+N23*(INDEX(QH_qtc,M23+1)-INDEX(QH_qtc,M23))</f>
        <v>65.3818070691551</v>
      </c>
      <c r="I23" s="43" t="n">
        <f aca="false">IF($F$4=2,0,INDEX(QH_qsc,M23)+N23*(INDEX(QH_qsc,M23+1)-INDEX(QH_qsc,M23)))</f>
        <v>0</v>
      </c>
      <c r="J23" s="40" t="n">
        <f aca="false">H23+I23</f>
        <v>65.3818070691551</v>
      </c>
      <c r="K23" s="23" t="n">
        <f aca="false">INDEX(QH_V,M23)+N23*(INDEX(QH_V,M23+1)-INDEX(QH_V,M23))</f>
        <v>45.4935758115895</v>
      </c>
      <c r="L23" s="40" t="n">
        <f aca="false">K23*1000000/dt_s+J23/2</f>
        <v>12669.7952956428</v>
      </c>
      <c r="M23" s="44" t="n">
        <f aca="false">MATCH(F23,INDEX(QH_f,0,$F$4),1)</f>
        <v>51</v>
      </c>
      <c r="N23" s="45" t="n">
        <f aca="false">(F23-INDEX(QH_f,M23,$F$4))/(INDEX(QH_f,M23+1,$F$4)-INDEX(QH_f,M23,$F$4))</f>
        <v>0.712744854280927</v>
      </c>
    </row>
    <row r="24" customFormat="false" ht="15" hidden="false" customHeight="false" outlineLevel="0" collapsed="false">
      <c r="A24" s="14" t="n">
        <v>8</v>
      </c>
      <c r="B24" s="40" t="n">
        <f aca="false">IFERROR(INDEX(Lu_Q,MATCH(A24,Lu_t,0),$C$4),0)</f>
        <v>914</v>
      </c>
      <c r="C24" s="40" t="n">
        <f aca="false">(B23+B24)/2</f>
        <v>906</v>
      </c>
      <c r="D24" s="40" t="n">
        <f aca="false">L23</f>
        <v>12669.7952956428</v>
      </c>
      <c r="E24" s="40" t="n">
        <f aca="false">J23</f>
        <v>65.3818070691551</v>
      </c>
      <c r="F24" s="40" t="n">
        <f aca="false">D24+C24-E24</f>
        <v>13510.4134885736</v>
      </c>
      <c r="G24" s="41" t="n">
        <f aca="false">INDEX(QH_Z,M24)+N24*(INDEX(QH_Z,M24+1)-INDEX(QH_Z,M24))</f>
        <v>76.4932857075707</v>
      </c>
      <c r="H24" s="42" t="n">
        <f aca="false">INDEX(QH_qtc,M24)+N24*(INDEX(QH_qtc,M24+1)-INDEX(QH_qtc,M24))</f>
        <v>96.0154957909195</v>
      </c>
      <c r="I24" s="43" t="n">
        <f aca="false">IF($F$4=2,0,INDEX(QH_qsc,M24)+N24*(INDEX(QH_qsc,M24+1)-INDEX(QH_qsc,M24)))</f>
        <v>0</v>
      </c>
      <c r="J24" s="40" t="n">
        <f aca="false">H24+I24</f>
        <v>96.0154957909195</v>
      </c>
      <c r="K24" s="23" t="n">
        <f aca="false">INDEX(QH_V,M24)+N24*(INDEX(QH_V,M24+1)-INDEX(QH_V,M24))</f>
        <v>48.4646606664414</v>
      </c>
      <c r="L24" s="40" t="n">
        <f aca="false">K24*1000000/dt_s+J24/2</f>
        <v>13510.4134885736</v>
      </c>
      <c r="M24" s="44" t="n">
        <f aca="false">MATCH(F24,INDEX(QH_f,0,$F$4),1)</f>
        <v>55</v>
      </c>
      <c r="N24" s="45" t="n">
        <f aca="false">(F24-INDEX(QH_f,M24,$F$4))/(INDEX(QH_f,M24+1,$F$4)-INDEX(QH_f,M24,$F$4))</f>
        <v>0.932857075707192</v>
      </c>
    </row>
    <row r="25" customFormat="false" ht="15" hidden="false" customHeight="false" outlineLevel="0" collapsed="false">
      <c r="A25" s="14" t="n">
        <v>9</v>
      </c>
      <c r="B25" s="40" t="n">
        <f aca="false">IFERROR(INDEX(Lu_Q,MATCH(A25,Lu_t,0),$C$4),0)</f>
        <v>879</v>
      </c>
      <c r="C25" s="40" t="n">
        <f aca="false">(B24+B25)/2</f>
        <v>896.5</v>
      </c>
      <c r="D25" s="40" t="n">
        <f aca="false">L24</f>
        <v>13510.4134885736</v>
      </c>
      <c r="E25" s="40" t="n">
        <f aca="false">J24</f>
        <v>96.0154957909195</v>
      </c>
      <c r="F25" s="40" t="n">
        <f aca="false">D25+C25-E25</f>
        <v>14310.8979927827</v>
      </c>
      <c r="G25" s="41" t="n">
        <f aca="false">INDEX(QH_Z,M25)+N25*(INDEX(QH_Z,M25+1)-INDEX(QH_Z,M25))</f>
        <v>76.8834026433125</v>
      </c>
      <c r="H25" s="42" t="n">
        <f aca="false">INDEX(QH_qtc,M25)+N25*(INDEX(QH_qtc,M25+1)-INDEX(QH_qtc,M25))</f>
        <v>126.838006529791</v>
      </c>
      <c r="I25" s="43" t="n">
        <f aca="false">IF($F$4=2,0,INDEX(QH_qsc,M25)+N25*(INDEX(QH_qsc,M25+1)-INDEX(QH_qsc,M25)))</f>
        <v>0</v>
      </c>
      <c r="J25" s="40" t="n">
        <f aca="false">H25+I25</f>
        <v>126.838006529791</v>
      </c>
      <c r="K25" s="23" t="n">
        <f aca="false">INDEX(QH_V,M25)+N25*(INDEX(QH_V,M25+1)-INDEX(QH_V,M25))</f>
        <v>51.2909243622641</v>
      </c>
      <c r="L25" s="40" t="n">
        <f aca="false">K25*1000000/dt_s+J25/2</f>
        <v>14310.8979927827</v>
      </c>
      <c r="M25" s="44" t="n">
        <f aca="false">MATCH(F25,INDEX(QH_f,0,$F$4),1)</f>
        <v>59</v>
      </c>
      <c r="N25" s="45" t="n">
        <f aca="false">(F25-INDEX(QH_f,M25,$F$4))/(INDEX(QH_f,M25+1,$F$4)-INDEX(QH_f,M25,$F$4))</f>
        <v>0.834026433125001</v>
      </c>
    </row>
    <row r="26" customFormat="false" ht="15" hidden="false" customHeight="false" outlineLevel="0" collapsed="false">
      <c r="A26" s="14" t="n">
        <v>10</v>
      </c>
      <c r="B26" s="40" t="n">
        <f aca="false">IFERROR(INDEX(Lu_Q,MATCH(A26,Lu_t,0),$C$4),0)</f>
        <v>812</v>
      </c>
      <c r="C26" s="40" t="n">
        <f aca="false">(B25+B26)/2</f>
        <v>845.5</v>
      </c>
      <c r="D26" s="40" t="n">
        <f aca="false">L25</f>
        <v>14310.8979927827</v>
      </c>
      <c r="E26" s="40" t="n">
        <f aca="false">J25</f>
        <v>126.838006529791</v>
      </c>
      <c r="F26" s="40" t="n">
        <f aca="false">D26+C26-E26</f>
        <v>15029.5599862529</v>
      </c>
      <c r="G26" s="41" t="n">
        <f aca="false">INDEX(QH_Z,M26)+N26*(INDEX(QH_Z,M26+1)-INDEX(QH_Z,M26))</f>
        <v>77.2247824308013</v>
      </c>
      <c r="H26" s="42" t="n">
        <f aca="false">INDEX(QH_qtc,M26)+N26*(INDEX(QH_qtc,M26+1)-INDEX(QH_qtc,M26))</f>
        <v>155.37011258532</v>
      </c>
      <c r="I26" s="43" t="n">
        <f aca="false">IF($F$4=2,0,INDEX(QH_qsc,M26)+N26*(INDEX(QH_qsc,M26+1)-INDEX(QH_qsc,M26)))</f>
        <v>0</v>
      </c>
      <c r="J26" s="40" t="n">
        <f aca="false">H26+I26</f>
        <v>155.37011258532</v>
      </c>
      <c r="K26" s="23" t="n">
        <f aca="false">INDEX(QH_V,M26)+N26*(INDEX(QH_V,M26+1)-INDEX(QH_V,M26))</f>
        <v>53.8267497478569</v>
      </c>
      <c r="L26" s="40" t="n">
        <f aca="false">K26*1000000/dt_s+J26/2</f>
        <v>15029.5599862529</v>
      </c>
      <c r="M26" s="44" t="n">
        <f aca="false">MATCH(F26,INDEX(QH_f,0,$F$4),1)</f>
        <v>63</v>
      </c>
      <c r="N26" s="45" t="n">
        <f aca="false">(F26-INDEX(QH_f,M26,$F$4))/(INDEX(QH_f,M26+1,$F$4)-INDEX(QH_f,M26,$F$4))</f>
        <v>0.247824308013111</v>
      </c>
    </row>
    <row r="27" customFormat="false" ht="15" hidden="false" customHeight="false" outlineLevel="0" collapsed="false">
      <c r="A27" s="14" t="n">
        <v>11</v>
      </c>
      <c r="B27" s="40" t="n">
        <f aca="false">IFERROR(INDEX(Lu_Q,MATCH(A27,Lu_t,0),$C$4),0)</f>
        <v>727</v>
      </c>
      <c r="C27" s="40" t="n">
        <f aca="false">(B26+B27)/2</f>
        <v>769.5</v>
      </c>
      <c r="D27" s="40" t="n">
        <f aca="false">L26</f>
        <v>15029.5599862529</v>
      </c>
      <c r="E27" s="40" t="n">
        <f aca="false">J26</f>
        <v>155.37011258532</v>
      </c>
      <c r="F27" s="40" t="n">
        <f aca="false">D27+C27-E27</f>
        <v>15643.6898736676</v>
      </c>
      <c r="G27" s="41" t="n">
        <f aca="false">INDEX(QH_Z,M27)+N27*(INDEX(QH_Z,M27+1)-INDEX(QH_Z,M27))</f>
        <v>77.5103210456594</v>
      </c>
      <c r="H27" s="42" t="n">
        <f aca="false">INDEX(QH_qtc,M27)+N27*(INDEX(QH_qtc,M27+1)-INDEX(QH_qtc,M27))</f>
        <v>180.145974453468</v>
      </c>
      <c r="I27" s="43" t="n">
        <f aca="false">IF($F$4=2,0,INDEX(QH_qsc,M27)+N27*(INDEX(QH_qsc,M27+1)-INDEX(QH_qsc,M27)))</f>
        <v>0</v>
      </c>
      <c r="J27" s="40" t="n">
        <f aca="false">H27+I27</f>
        <v>180.145974453468</v>
      </c>
      <c r="K27" s="23" t="n">
        <f aca="false">INDEX(QH_V,M27)+N27*(INDEX(QH_V,M27+1)-INDEX(QH_V,M27))</f>
        <v>55.9930207911871</v>
      </c>
      <c r="L27" s="40" t="n">
        <f aca="false">K27*1000000/dt_s+J27/2</f>
        <v>15643.6898736676</v>
      </c>
      <c r="M27" s="44" t="n">
        <f aca="false">MATCH(F27,INDEX(QH_f,0,$F$4),1)</f>
        <v>66</v>
      </c>
      <c r="N27" s="45" t="n">
        <f aca="false">(F27-INDEX(QH_f,M27,$F$4))/(INDEX(QH_f,M27+1,$F$4)-INDEX(QH_f,M27,$F$4))</f>
        <v>0.103210456594051</v>
      </c>
    </row>
    <row r="28" customFormat="false" ht="15" hidden="false" customHeight="false" outlineLevel="0" collapsed="false">
      <c r="A28" s="14" t="n">
        <v>12</v>
      </c>
      <c r="B28" s="40" t="n">
        <f aca="false">IFERROR(INDEX(Lu_Q,MATCH(A28,Lu_t,0),$C$4),0)</f>
        <v>636</v>
      </c>
      <c r="C28" s="40" t="n">
        <f aca="false">(B27+B28)/2</f>
        <v>681.5</v>
      </c>
      <c r="D28" s="40" t="n">
        <f aca="false">L27</f>
        <v>15643.6898736676</v>
      </c>
      <c r="E28" s="40" t="n">
        <f aca="false">J27</f>
        <v>180.145974453468</v>
      </c>
      <c r="F28" s="40" t="n">
        <f aca="false">D28+C28-E28</f>
        <v>16145.0438992141</v>
      </c>
      <c r="G28" s="41" t="n">
        <f aca="false">INDEX(QH_Z,M28)+N28*(INDEX(QH_Z,M28+1)-INDEX(QH_Z,M28))</f>
        <v>77.7393505828882</v>
      </c>
      <c r="H28" s="42" t="n">
        <f aca="false">INDEX(QH_qtc,M28)+N28*(INDEX(QH_qtc,M28+1)-INDEX(QH_qtc,M28))</f>
        <v>200.534514357358</v>
      </c>
      <c r="I28" s="43" t="n">
        <f aca="false">IF($F$4=2,0,INDEX(QH_qsc,M28)+N28*(INDEX(QH_qsc,M28+1)-INDEX(QH_qsc,M28)))</f>
        <v>0</v>
      </c>
      <c r="J28" s="40" t="n">
        <f aca="false">H28+I28</f>
        <v>200.534514357358</v>
      </c>
      <c r="K28" s="23" t="n">
        <f aca="false">INDEX(QH_V,M28)+N28*(INDEX(QH_V,M28+1)-INDEX(QH_V,M28))</f>
        <v>57.7611959113276</v>
      </c>
      <c r="L28" s="40" t="n">
        <f aca="false">K28*1000000/dt_s+J28/2</f>
        <v>16145.0438992141</v>
      </c>
      <c r="M28" s="44" t="n">
        <f aca="false">MATCH(F28,INDEX(QH_f,0,$F$4),1)</f>
        <v>68</v>
      </c>
      <c r="N28" s="45" t="n">
        <f aca="false">(F28-INDEX(QH_f,M28,$F$4))/(INDEX(QH_f,M28+1,$F$4)-INDEX(QH_f,M28,$F$4))</f>
        <v>0.393505828882194</v>
      </c>
    </row>
    <row r="29" customFormat="false" ht="15" hidden="false" customHeight="false" outlineLevel="0" collapsed="false">
      <c r="A29" s="14" t="n">
        <v>13</v>
      </c>
      <c r="B29" s="40" t="n">
        <f aca="false">IFERROR(INDEX(Lu_Q,MATCH(A29,Lu_t,0),$C$4),0)</f>
        <v>547</v>
      </c>
      <c r="C29" s="40" t="n">
        <f aca="false">(B28+B29)/2</f>
        <v>591.5</v>
      </c>
      <c r="D29" s="40" t="n">
        <f aca="false">L28</f>
        <v>16145.0438992141</v>
      </c>
      <c r="E29" s="40" t="n">
        <f aca="false">J28</f>
        <v>200.534514357358</v>
      </c>
      <c r="F29" s="40" t="n">
        <f aca="false">D29+C29-E29</f>
        <v>16536.0093848568</v>
      </c>
      <c r="G29" s="41" t="n">
        <f aca="false">INDEX(QH_Z,M29)+N29*(INDEX(QH_Z,M29+1)-INDEX(QH_Z,M29))</f>
        <v>77.9156521866667</v>
      </c>
      <c r="H29" s="42" t="n">
        <f aca="false">INDEX(QH_qtc,M29)+N29*(INDEX(QH_qtc,M29+1)-INDEX(QH_qtc,M29))</f>
        <v>216.485622061645</v>
      </c>
      <c r="I29" s="43" t="n">
        <f aca="false">IF($F$4=2,0,INDEX(QH_qsc,M29)+N29*(INDEX(QH_qsc,M29+1)-INDEX(QH_qsc,M29)))</f>
        <v>0</v>
      </c>
      <c r="J29" s="40" t="n">
        <f aca="false">H29+I29</f>
        <v>216.485622061645</v>
      </c>
      <c r="K29" s="23" t="n">
        <f aca="false">INDEX(QH_V,M29)+N29*(INDEX(QH_V,M29+1)-INDEX(QH_V,M29))</f>
        <v>59.1399596657734</v>
      </c>
      <c r="L29" s="40" t="n">
        <f aca="false">K29*1000000/dt_s+J29/2</f>
        <v>16536.0093848568</v>
      </c>
      <c r="M29" s="44" t="n">
        <f aca="false">MATCH(F29,INDEX(QH_f,0,$F$4),1)</f>
        <v>70</v>
      </c>
      <c r="N29" s="45" t="n">
        <f aca="false">(F29-INDEX(QH_f,M29,$F$4))/(INDEX(QH_f,M29+1,$F$4)-INDEX(QH_f,M29,$F$4))</f>
        <v>0.156521866666656</v>
      </c>
    </row>
    <row r="30" customFormat="false" ht="15" hidden="false" customHeight="false" outlineLevel="0" collapsed="false">
      <c r="A30" s="14" t="n">
        <v>14</v>
      </c>
      <c r="B30" s="40" t="n">
        <f aca="false">IFERROR(INDEX(Lu_Q,MATCH(A30,Lu_t,0),$C$4),0)</f>
        <v>461</v>
      </c>
      <c r="C30" s="40" t="n">
        <f aca="false">(B29+B30)/2</f>
        <v>504</v>
      </c>
      <c r="D30" s="40" t="n">
        <f aca="false">L29</f>
        <v>16536.0093848568</v>
      </c>
      <c r="E30" s="40" t="n">
        <f aca="false">J29</f>
        <v>216.485622061645</v>
      </c>
      <c r="F30" s="40" t="n">
        <f aca="false">D30+C30-E30</f>
        <v>16823.5237627951</v>
      </c>
      <c r="G30" s="41" t="n">
        <f aca="false">INDEX(QH_Z,M30)+N30*(INDEX(QH_Z,M30+1)-INDEX(QH_Z,M30))</f>
        <v>78.0439608684455</v>
      </c>
      <c r="H30" s="42" t="n">
        <f aca="false">INDEX(QH_qtc,M30)+N30*(INDEX(QH_qtc,M30+1)-INDEX(QH_qtc,M30))</f>
        <v>228.228941154988</v>
      </c>
      <c r="I30" s="43" t="n">
        <f aca="false">IF($F$4=2,0,INDEX(QH_qsc,M30)+N30*(INDEX(QH_qsc,M30+1)-INDEX(QH_qsc,M30)))</f>
        <v>0</v>
      </c>
      <c r="J30" s="40" t="n">
        <f aca="false">H30+I30</f>
        <v>228.228941154988</v>
      </c>
      <c r="K30" s="23" t="n">
        <f aca="false">INDEX(QH_V,M30)+N30*(INDEX(QH_V,M30+1)-INDEX(QH_V,M30))</f>
        <v>60.1538734519834</v>
      </c>
      <c r="L30" s="40" t="n">
        <f aca="false">K30*1000000/dt_s+J30/2</f>
        <v>16823.5237627951</v>
      </c>
      <c r="M30" s="44" t="n">
        <f aca="false">MATCH(F30,INDEX(QH_f,0,$F$4),1)</f>
        <v>71</v>
      </c>
      <c r="N30" s="45" t="n">
        <f aca="false">(F30-INDEX(QH_f,M30,$F$4))/(INDEX(QH_f,M30+1,$F$4)-INDEX(QH_f,M30,$F$4))</f>
        <v>0.439608684454937</v>
      </c>
    </row>
    <row r="31" customFormat="false" ht="15" hidden="false" customHeight="false" outlineLevel="0" collapsed="false">
      <c r="A31" s="14" t="n">
        <v>15</v>
      </c>
      <c r="B31" s="40" t="n">
        <f aca="false">IFERROR(INDEX(Lu_Q,MATCH(A31,Lu_t,0),$C$4),0)</f>
        <v>386</v>
      </c>
      <c r="C31" s="40" t="n">
        <f aca="false">(B30+B31)/2</f>
        <v>423.5</v>
      </c>
      <c r="D31" s="40" t="n">
        <f aca="false">L30</f>
        <v>16823.5237627951</v>
      </c>
      <c r="E31" s="40" t="n">
        <f aca="false">J30</f>
        <v>228.228941154988</v>
      </c>
      <c r="F31" s="40" t="n">
        <f aca="false">D31+C31-E31</f>
        <v>17018.7948216401</v>
      </c>
      <c r="G31" s="41" t="n">
        <f aca="false">INDEX(QH_Z,M31)+N31*(INDEX(QH_Z,M31+1)-INDEX(QH_Z,M31))</f>
        <v>78.1305324981421</v>
      </c>
      <c r="H31" s="42" t="n">
        <f aca="false">INDEX(QH_qtc,M31)+N31*(INDEX(QH_qtc,M31+1)-INDEX(QH_qtc,M31))</f>
        <v>236.204312636176</v>
      </c>
      <c r="I31" s="43" t="n">
        <f aca="false">IF($F$4=2,0,INDEX(QH_qsc,M31)+N31*(INDEX(QH_qsc,M31+1)-INDEX(QH_qsc,M31)))</f>
        <v>0</v>
      </c>
      <c r="J31" s="40" t="n">
        <f aca="false">H31+I31</f>
        <v>236.204312636176</v>
      </c>
      <c r="K31" s="23" t="n">
        <f aca="false">INDEX(QH_V,M31)+N31*(INDEX(QH_V,M31+1)-INDEX(QH_V,M31))</f>
        <v>60.8424935951593</v>
      </c>
      <c r="L31" s="40" t="n">
        <f aca="false">K31*1000000/dt_s+J31/2</f>
        <v>17018.7948216401</v>
      </c>
      <c r="M31" s="44" t="n">
        <f aca="false">MATCH(F31,INDEX(QH_f,0,$F$4),1)</f>
        <v>72</v>
      </c>
      <c r="N31" s="45" t="n">
        <f aca="false">(F31-INDEX(QH_f,M31,$F$4))/(INDEX(QH_f,M31+1,$F$4)-INDEX(QH_f,M31,$F$4))</f>
        <v>0.305324981421321</v>
      </c>
    </row>
    <row r="32" customFormat="false" ht="15" hidden="false" customHeight="false" outlineLevel="0" collapsed="false">
      <c r="A32" s="14" t="n">
        <v>16</v>
      </c>
      <c r="B32" s="40" t="n">
        <f aca="false">IFERROR(INDEX(Lu_Q,MATCH(A32,Lu_t,0),$C$4),0)</f>
        <v>321</v>
      </c>
      <c r="C32" s="40" t="n">
        <f aca="false">(B31+B32)/2</f>
        <v>353.5</v>
      </c>
      <c r="D32" s="40" t="n">
        <f aca="false">L31</f>
        <v>17018.7948216401</v>
      </c>
      <c r="E32" s="40" t="n">
        <f aca="false">J31</f>
        <v>236.204312636176</v>
      </c>
      <c r="F32" s="40" t="n">
        <f aca="false">D32+C32-E32</f>
        <v>17136.0905090039</v>
      </c>
      <c r="G32" s="41" t="n">
        <f aca="false">INDEX(QH_Z,M32)+N32*(INDEX(QH_Z,M32+1)-INDEX(QH_Z,M32))</f>
        <v>78.1823156019461</v>
      </c>
      <c r="H32" s="42" t="n">
        <f aca="false">INDEX(QH_qtc,M32)+N32*(INDEX(QH_qtc,M32+1)-INDEX(QH_qtc,M32))</f>
        <v>240.993780038306</v>
      </c>
      <c r="I32" s="43" t="n">
        <f aca="false">IF($F$4=2,0,INDEX(QH_qsc,M32)+N32*(INDEX(QH_qsc,M32+1)-INDEX(QH_qsc,M32)))</f>
        <v>0</v>
      </c>
      <c r="J32" s="40" t="n">
        <f aca="false">H32+I32</f>
        <v>240.993780038306</v>
      </c>
      <c r="K32" s="23" t="n">
        <f aca="false">INDEX(QH_V,M32)+N32*(INDEX(QH_V,M32+1)-INDEX(QH_V,M32))</f>
        <v>61.2561370283453</v>
      </c>
      <c r="L32" s="40" t="n">
        <f aca="false">K32*1000000/dt_s+J32/2</f>
        <v>17136.0905090039</v>
      </c>
      <c r="M32" s="44" t="n">
        <f aca="false">MATCH(F32,INDEX(QH_f,0,$F$4),1)</f>
        <v>72</v>
      </c>
      <c r="N32" s="45" t="n">
        <f aca="false">(F32-INDEX(QH_f,M32,$F$4))/(INDEX(QH_f,M32+1,$F$4)-INDEX(QH_f,M32,$F$4))</f>
        <v>0.823156019460742</v>
      </c>
    </row>
    <row r="33" customFormat="false" ht="15" hidden="false" customHeight="false" outlineLevel="0" collapsed="false">
      <c r="A33" s="14" t="n">
        <v>17</v>
      </c>
      <c r="B33" s="40" t="n">
        <f aca="false">IFERROR(INDEX(Lu_Q,MATCH(A33,Lu_t,0),$C$4),0)</f>
        <v>263</v>
      </c>
      <c r="C33" s="40" t="n">
        <f aca="false">(B32+B33)/2</f>
        <v>292</v>
      </c>
      <c r="D33" s="40" t="n">
        <f aca="false">L32</f>
        <v>17136.0905090039</v>
      </c>
      <c r="E33" s="40" t="n">
        <f aca="false">J32</f>
        <v>240.993780038306</v>
      </c>
      <c r="F33" s="40" t="n">
        <f aca="false">D33+C33-E33</f>
        <v>17187.0967289656</v>
      </c>
      <c r="G33" s="41" t="n">
        <f aca="false">INDEX(QH_Z,M33)+N33*(INDEX(QH_Z,M33+1)-INDEX(QH_Z,M33))</f>
        <v>78.2048023895375</v>
      </c>
      <c r="H33" s="42" t="n">
        <f aca="false">INDEX(QH_qtc,M33)+N33*(INDEX(QH_qtc,M33+1)-INDEX(QH_qtc,M33))</f>
        <v>243.076117997252</v>
      </c>
      <c r="I33" s="43" t="n">
        <f aca="false">IF($F$4=2,0,INDEX(QH_qsc,M33)+N33*(INDEX(QH_qsc,M33+1)-INDEX(QH_qsc,M33)))</f>
        <v>0</v>
      </c>
      <c r="J33" s="40" t="n">
        <f aca="false">H33+I33</f>
        <v>243.076117997252</v>
      </c>
      <c r="K33" s="23" t="n">
        <f aca="false">INDEX(QH_V,M33)+N33*(INDEX(QH_V,M33+1)-INDEX(QH_V,M33))</f>
        <v>61.4360112118813</v>
      </c>
      <c r="L33" s="40" t="n">
        <f aca="false">K33*1000000/dt_s+J33/2</f>
        <v>17187.0967289656</v>
      </c>
      <c r="M33" s="44" t="n">
        <f aca="false">MATCH(F33,INDEX(QH_f,0,$F$4),1)</f>
        <v>73</v>
      </c>
      <c r="N33" s="45" t="n">
        <f aca="false">(F33-INDEX(QH_f,M33,$F$4))/(INDEX(QH_f,M33+1,$F$4)-INDEX(QH_f,M33,$F$4))</f>
        <v>0.0480238953746648</v>
      </c>
    </row>
    <row r="34" customFormat="false" ht="15" hidden="false" customHeight="false" outlineLevel="0" collapsed="false">
      <c r="A34" s="14" t="n">
        <v>18</v>
      </c>
      <c r="B34" s="40" t="n">
        <f aca="false">IFERROR(INDEX(Lu_Q,MATCH(A34,Lu_t,0),$C$4),0)</f>
        <v>214</v>
      </c>
      <c r="C34" s="40" t="n">
        <f aca="false">(B33+B34)/2</f>
        <v>238.5</v>
      </c>
      <c r="D34" s="40" t="n">
        <f aca="false">L33</f>
        <v>17187.0967289656</v>
      </c>
      <c r="E34" s="40" t="n">
        <f aca="false">J33</f>
        <v>243.076117997252</v>
      </c>
      <c r="F34" s="40" t="n">
        <f aca="false">D34+C34-E34</f>
        <v>17182.5206109684</v>
      </c>
      <c r="G34" s="41" t="n">
        <f aca="false">INDEX(QH_Z,M34)+N34*(INDEX(QH_Z,M34+1)-INDEX(QH_Z,M34))</f>
        <v>78.2027951798682</v>
      </c>
      <c r="H34" s="42" t="n">
        <f aca="false">INDEX(QH_qtc,M34)+N34*(INDEX(QH_qtc,M34+1)-INDEX(QH_qtc,M34))</f>
        <v>242.889418525531</v>
      </c>
      <c r="I34" s="43" t="n">
        <f aca="false">IF($F$4=2,0,INDEX(QH_qsc,M34)+N34*(INDEX(QH_qsc,M34+1)-INDEX(QH_qsc,M34)))</f>
        <v>0</v>
      </c>
      <c r="J34" s="40" t="n">
        <f aca="false">H34+I34</f>
        <v>242.889418525531</v>
      </c>
      <c r="K34" s="23" t="n">
        <f aca="false">INDEX(QH_V,M34)+N34*(INDEX(QH_V,M34+1)-INDEX(QH_V,M34))</f>
        <v>61.4198732461402</v>
      </c>
      <c r="L34" s="40" t="n">
        <f aca="false">K34*1000000/dt_s+J34/2</f>
        <v>17182.5206109684</v>
      </c>
      <c r="M34" s="44" t="n">
        <f aca="false">MATCH(F34,INDEX(QH_f,0,$F$4),1)</f>
        <v>73</v>
      </c>
      <c r="N34" s="45" t="n">
        <f aca="false">(F34-INDEX(QH_f,M34,$F$4))/(INDEX(QH_f,M34+1,$F$4)-INDEX(QH_f,M34,$F$4))</f>
        <v>0.0279517986818711</v>
      </c>
    </row>
    <row r="35" customFormat="false" ht="15" hidden="false" customHeight="false" outlineLevel="0" collapsed="false">
      <c r="A35" s="14" t="n">
        <v>19</v>
      </c>
      <c r="B35" s="40" t="n">
        <f aca="false">IFERROR(INDEX(Lu_Q,MATCH(A35,Lu_t,0),$C$4),0)</f>
        <v>174</v>
      </c>
      <c r="C35" s="40" t="n">
        <f aca="false">(B34+B35)/2</f>
        <v>194</v>
      </c>
      <c r="D35" s="40" t="n">
        <f aca="false">L34</f>
        <v>17182.5206109684</v>
      </c>
      <c r="E35" s="40" t="n">
        <f aca="false">J34</f>
        <v>242.889418525531</v>
      </c>
      <c r="F35" s="40" t="n">
        <f aca="false">D35+C35-E35</f>
        <v>17133.6311924429</v>
      </c>
      <c r="G35" s="41" t="n">
        <f aca="false">INDEX(QH_Z,M35)+N35*(INDEX(QH_Z,M35+1)-INDEX(QH_Z,M35))</f>
        <v>78.1812298753722</v>
      </c>
      <c r="H35" s="42" t="n">
        <f aca="false">INDEX(QH_qtc,M35)+N35*(INDEX(QH_qtc,M35+1)-INDEX(QH_qtc,M35))</f>
        <v>240.89336017833</v>
      </c>
      <c r="I35" s="43" t="n">
        <f aca="false">IF($F$4=2,0,INDEX(QH_qsc,M35)+N35*(INDEX(QH_qsc,M35+1)-INDEX(QH_qsc,M35)))</f>
        <v>0</v>
      </c>
      <c r="J35" s="40" t="n">
        <f aca="false">H35+I35</f>
        <v>240.89336017833</v>
      </c>
      <c r="K35" s="23" t="n">
        <f aca="false">INDEX(QH_V,M35)+N35*(INDEX(QH_V,M35+1)-INDEX(QH_V,M35))</f>
        <v>61.2474642444733</v>
      </c>
      <c r="L35" s="40" t="n">
        <f aca="false">K35*1000000/dt_s+J35/2</f>
        <v>17133.6311924429</v>
      </c>
      <c r="M35" s="44" t="n">
        <f aca="false">MATCH(F35,INDEX(QH_f,0,$F$4),1)</f>
        <v>72</v>
      </c>
      <c r="N35" s="45" t="n">
        <f aca="false">(F35-INDEX(QH_f,M35,$F$4))/(INDEX(QH_f,M35+1,$F$4)-INDEX(QH_f,M35,$F$4))</f>
        <v>0.812298753722194</v>
      </c>
    </row>
    <row r="36" customFormat="false" ht="15" hidden="false" customHeight="false" outlineLevel="0" collapsed="false">
      <c r="A36" s="14" t="n">
        <v>20</v>
      </c>
      <c r="B36" s="40" t="n">
        <f aca="false">IFERROR(INDEX(Lu_Q,MATCH(A36,Lu_t,0),$C$4),0)</f>
        <v>141</v>
      </c>
      <c r="C36" s="40" t="n">
        <f aca="false">(B35+B36)/2</f>
        <v>157.5</v>
      </c>
      <c r="D36" s="40" t="n">
        <f aca="false">L35</f>
        <v>17133.6311924429</v>
      </c>
      <c r="E36" s="40" t="n">
        <f aca="false">J35</f>
        <v>240.89336017833</v>
      </c>
      <c r="F36" s="40" t="n">
        <f aca="false">D36+C36-E36</f>
        <v>17050.2378322645</v>
      </c>
      <c r="G36" s="41" t="n">
        <f aca="false">INDEX(QH_Z,M36)+N36*(INDEX(QH_Z,M36+1)-INDEX(QH_Z,M36))</f>
        <v>78.1444137986372</v>
      </c>
      <c r="H36" s="42" t="n">
        <f aca="false">INDEX(QH_qtc,M36)+N36*(INDEX(QH_qtc,M36+1)-INDEX(QH_qtc,M36))</f>
        <v>237.488207021341</v>
      </c>
      <c r="I36" s="43" t="n">
        <f aca="false">IF($F$4=2,0,INDEX(QH_qsc,M36)+N36*(INDEX(QH_qsc,M36+1)-INDEX(QH_qsc,M36)))</f>
        <v>0</v>
      </c>
      <c r="J36" s="40" t="n">
        <f aca="false">H36+I36</f>
        <v>237.488207021341</v>
      </c>
      <c r="K36" s="23" t="n">
        <f aca="false">INDEX(QH_V,M36)+N36*(INDEX(QH_V,M36+1)-INDEX(QH_V,M36))</f>
        <v>60.9533774235139</v>
      </c>
      <c r="L36" s="40" t="n">
        <f aca="false">K36*1000000/dt_s+J36/2</f>
        <v>17050.2378322645</v>
      </c>
      <c r="M36" s="44" t="n">
        <f aca="false">MATCH(F36,INDEX(QH_f,0,$F$4),1)</f>
        <v>72</v>
      </c>
      <c r="N36" s="45" t="n">
        <f aca="false">(F36-INDEX(QH_f,M36,$F$4))/(INDEX(QH_f,M36+1,$F$4)-INDEX(QH_f,M36,$F$4))</f>
        <v>0.444137986371915</v>
      </c>
    </row>
    <row r="37" customFormat="false" ht="15" hidden="false" customHeight="false" outlineLevel="0" collapsed="false">
      <c r="A37" s="14" t="n">
        <v>21</v>
      </c>
      <c r="B37" s="40" t="n">
        <f aca="false">IFERROR(INDEX(Lu_Q,MATCH(A37,Lu_t,0),$C$4),0)</f>
        <v>112</v>
      </c>
      <c r="C37" s="40" t="n">
        <f aca="false">(B36+B37)/2</f>
        <v>126.5</v>
      </c>
      <c r="D37" s="40" t="n">
        <f aca="false">L36</f>
        <v>17050.2378322645</v>
      </c>
      <c r="E37" s="40" t="n">
        <f aca="false">J36</f>
        <v>237.488207021341</v>
      </c>
      <c r="F37" s="40" t="n">
        <f aca="false">D37+C37-E37</f>
        <v>16939.2496252432</v>
      </c>
      <c r="G37" s="41" t="n">
        <f aca="false">INDEX(QH_Z,M37)+N37*(INDEX(QH_Z,M37+1)-INDEX(QH_Z,M37))</f>
        <v>78.095385285236</v>
      </c>
      <c r="H37" s="42" t="n">
        <f aca="false">INDEX(QH_qtc,M37)+N37*(INDEX(QH_qtc,M37+1)-INDEX(QH_qtc,M37))</f>
        <v>232.956126245888</v>
      </c>
      <c r="I37" s="43" t="n">
        <f aca="false">IF($F$4=2,0,INDEX(QH_qsc,M37)+N37*(INDEX(QH_qsc,M37+1)-INDEX(QH_qsc,M37)))</f>
        <v>0</v>
      </c>
      <c r="J37" s="40" t="n">
        <f aca="false">H37+I37</f>
        <v>232.956126245888</v>
      </c>
      <c r="K37" s="23" t="n">
        <f aca="false">INDEX(QH_V,M37)+N37*(INDEX(QH_V,M37+1)-INDEX(QH_V,M37))</f>
        <v>60.5619776236329</v>
      </c>
      <c r="L37" s="40" t="n">
        <f aca="false">K37*1000000/dt_s+J37/2</f>
        <v>16939.2496252432</v>
      </c>
      <c r="M37" s="44" t="n">
        <f aca="false">MATCH(F37,INDEX(QH_f,0,$F$4),1)</f>
        <v>71</v>
      </c>
      <c r="N37" s="45" t="n">
        <f aca="false">(F37-INDEX(QH_f,M37,$F$4))/(INDEX(QH_f,M37+1,$F$4)-INDEX(QH_f,M37,$F$4))</f>
        <v>0.953852852360014</v>
      </c>
    </row>
    <row r="38" customFormat="false" ht="15" hidden="false" customHeight="false" outlineLevel="0" collapsed="false">
      <c r="A38" s="14" t="n">
        <v>22</v>
      </c>
      <c r="B38" s="40" t="n">
        <f aca="false">IFERROR(INDEX(Lu_Q,MATCH(A38,Lu_t,0),$C$4),0)</f>
        <v>89</v>
      </c>
      <c r="C38" s="40" t="n">
        <f aca="false">(B37+B38)/2</f>
        <v>100.5</v>
      </c>
      <c r="D38" s="40" t="n">
        <f aca="false">L37</f>
        <v>16939.2496252432</v>
      </c>
      <c r="E38" s="40" t="n">
        <f aca="false">J37</f>
        <v>232.956126245888</v>
      </c>
      <c r="F38" s="40" t="n">
        <f aca="false">D38+C38-E38</f>
        <v>16806.7934989973</v>
      </c>
      <c r="G38" s="41" t="n">
        <f aca="false">INDEX(QH_Z,M38)+N38*(INDEX(QH_Z,M38+1)-INDEX(QH_Z,M38))</f>
        <v>78.0365265401082</v>
      </c>
      <c r="H38" s="42" t="n">
        <f aca="false">INDEX(QH_qtc,M38)+N38*(INDEX(QH_qtc,M38+1)-INDEX(QH_qtc,M38))</f>
        <v>227.545541161945</v>
      </c>
      <c r="I38" s="43" t="n">
        <f aca="false">IF($F$4=2,0,INDEX(QH_qsc,M38)+N38*(INDEX(QH_qsc,M38+1)-INDEX(QH_qsc,M38)))</f>
        <v>0</v>
      </c>
      <c r="J38" s="40" t="n">
        <f aca="false">H38+I38</f>
        <v>227.545541161945</v>
      </c>
      <c r="K38" s="23" t="n">
        <f aca="false">INDEX(QH_V,M38)+N38*(INDEX(QH_V,M38+1)-INDEX(QH_V,M38))</f>
        <v>60.0948746222988</v>
      </c>
      <c r="L38" s="40" t="n">
        <f aca="false">K38*1000000/dt_s+J38/2</f>
        <v>16806.7934989973</v>
      </c>
      <c r="M38" s="44" t="n">
        <f aca="false">MATCH(F38,INDEX(QH_f,0,$F$4),1)</f>
        <v>71</v>
      </c>
      <c r="N38" s="45" t="n">
        <f aca="false">(F38-INDEX(QH_f,M38,$F$4))/(INDEX(QH_f,M38+1,$F$4)-INDEX(QH_f,M38,$F$4))</f>
        <v>0.365265401082135</v>
      </c>
    </row>
    <row r="39" customFormat="false" ht="15" hidden="false" customHeight="false" outlineLevel="0" collapsed="false">
      <c r="A39" s="14" t="n">
        <v>23</v>
      </c>
      <c r="B39" s="40" t="n">
        <f aca="false">IFERROR(INDEX(Lu_Q,MATCH(A39,Lu_t,0),$C$4),0)</f>
        <v>71</v>
      </c>
      <c r="C39" s="40" t="n">
        <f aca="false">(B38+B39)/2</f>
        <v>80</v>
      </c>
      <c r="D39" s="40" t="n">
        <f aca="false">L38</f>
        <v>16806.7934989973</v>
      </c>
      <c r="E39" s="40" t="n">
        <f aca="false">J38</f>
        <v>227.545541161945</v>
      </c>
      <c r="F39" s="40" t="n">
        <f aca="false">D39+C39-E39</f>
        <v>16659.2479578354</v>
      </c>
      <c r="G39" s="41" t="n">
        <f aca="false">INDEX(QH_Z,M39)+N39*(INDEX(QH_Z,M39+1)-INDEX(QH_Z,M39))</f>
        <v>77.9707728469222</v>
      </c>
      <c r="H39" s="42" t="n">
        <f aca="false">INDEX(QH_qtc,M39)+N39*(INDEX(QH_qtc,M39+1)-INDEX(QH_qtc,M39))</f>
        <v>221.518964804994</v>
      </c>
      <c r="I39" s="43" t="n">
        <f aca="false">IF($F$4=2,0,INDEX(QH_qsc,M39)+N39*(INDEX(QH_qsc,M39+1)-INDEX(QH_qsc,M39)))</f>
        <v>0</v>
      </c>
      <c r="J39" s="40" t="n">
        <f aca="false">H39+I39</f>
        <v>221.518964804994</v>
      </c>
      <c r="K39" s="23" t="n">
        <f aca="false">INDEX(QH_V,M39)+N39*(INDEX(QH_V,M39+1)-INDEX(QH_V,M39))</f>
        <v>59.5745585115583</v>
      </c>
      <c r="L39" s="40" t="n">
        <f aca="false">K39*1000000/dt_s+J39/2</f>
        <v>16659.2479578354</v>
      </c>
      <c r="M39" s="44" t="n">
        <f aca="false">MATCH(F39,INDEX(QH_f,0,$F$4),1)</f>
        <v>70</v>
      </c>
      <c r="N39" s="45" t="n">
        <f aca="false">(F39-INDEX(QH_f,M39,$F$4))/(INDEX(QH_f,M39+1,$F$4)-INDEX(QH_f,M39,$F$4))</f>
        <v>0.707728469222246</v>
      </c>
    </row>
    <row r="40" customFormat="false" ht="15" hidden="false" customHeight="false" outlineLevel="0" collapsed="false">
      <c r="A40" s="14" t="n">
        <v>24</v>
      </c>
      <c r="B40" s="40" t="n">
        <f aca="false">IFERROR(INDEX(Lu_Q,MATCH(A40,Lu_t,0),$C$4),0)</f>
        <v>57</v>
      </c>
      <c r="C40" s="40" t="n">
        <f aca="false">(B39+B40)/2</f>
        <v>64</v>
      </c>
      <c r="D40" s="40" t="n">
        <f aca="false">L39</f>
        <v>16659.2479578354</v>
      </c>
      <c r="E40" s="40" t="n">
        <f aca="false">J39</f>
        <v>221.518964804994</v>
      </c>
      <c r="F40" s="40" t="n">
        <f aca="false">D40+C40-E40</f>
        <v>16501.7289930304</v>
      </c>
      <c r="G40" s="41" t="n">
        <f aca="false">INDEX(QH_Z,M40)+N40*(INDEX(QH_Z,M40+1)-INDEX(QH_Z,M40))</f>
        <v>77.9003196671022</v>
      </c>
      <c r="H40" s="42" t="n">
        <f aca="false">INDEX(QH_qtc,M40)+N40*(INDEX(QH_qtc,M40+1)-INDEX(QH_qtc,M40))</f>
        <v>215.085533134386</v>
      </c>
      <c r="I40" s="43" t="n">
        <f aca="false">IF($F$4=2,0,INDEX(QH_qsc,M40)+N40*(INDEX(QH_qsc,M40+1)-INDEX(QH_qsc,M40)))</f>
        <v>0</v>
      </c>
      <c r="J40" s="40" t="n">
        <f aca="false">H40+I40</f>
        <v>215.085533134386</v>
      </c>
      <c r="K40" s="23" t="n">
        <f aca="false">INDEX(QH_V,M40)+N40*(INDEX(QH_V,M40+1)-INDEX(QH_V,M40))</f>
        <v>59.0190704152674</v>
      </c>
      <c r="L40" s="40" t="n">
        <f aca="false">K40*1000000/dt_s+J40/2</f>
        <v>16501.7289930304</v>
      </c>
      <c r="M40" s="44" t="n">
        <f aca="false">MATCH(F40,INDEX(QH_f,0,$F$4),1)</f>
        <v>70</v>
      </c>
      <c r="N40" s="45" t="n">
        <f aca="false">(F40-INDEX(QH_f,M40,$F$4))/(INDEX(QH_f,M40+1,$F$4)-INDEX(QH_f,M40,$F$4))</f>
        <v>0.00319667102209554</v>
      </c>
    </row>
    <row r="41" customFormat="false" ht="15" hidden="false" customHeight="false" outlineLevel="0" collapsed="false">
      <c r="A41" s="14" t="n">
        <v>25</v>
      </c>
      <c r="B41" s="40" t="n">
        <f aca="false">IFERROR(INDEX(Lu_Q,MATCH(A41,Lu_t,0),$C$4),0)</f>
        <v>46</v>
      </c>
      <c r="C41" s="40" t="n">
        <f aca="false">(B40+B41)/2</f>
        <v>51.5</v>
      </c>
      <c r="D41" s="40" t="n">
        <f aca="false">L40</f>
        <v>16501.7289930304</v>
      </c>
      <c r="E41" s="40" t="n">
        <f aca="false">J40</f>
        <v>215.085533134386</v>
      </c>
      <c r="F41" s="40" t="n">
        <f aca="false">D41+C41-E41</f>
        <v>16338.143459896</v>
      </c>
      <c r="G41" s="41" t="n">
        <f aca="false">INDEX(QH_Z,M41)+N41*(INDEX(QH_Z,M41+1)-INDEX(QH_Z,M41))</f>
        <v>77.8266777690638</v>
      </c>
      <c r="H41" s="42" t="n">
        <f aca="false">INDEX(QH_qtc,M41)+N41*(INDEX(QH_qtc,M41+1)-INDEX(QH_qtc,M41))</f>
        <v>208.408973146753</v>
      </c>
      <c r="I41" s="43" t="n">
        <f aca="false">IF($F$4=2,0,INDEX(QH_qsc,M41)+N41*(INDEX(QH_qsc,M41+1)-INDEX(QH_qsc,M41)))</f>
        <v>0</v>
      </c>
      <c r="J41" s="40" t="n">
        <f aca="false">H41+I41</f>
        <v>208.408973146753</v>
      </c>
      <c r="K41" s="23" t="n">
        <f aca="false">INDEX(QH_V,M41)+N41*(INDEX(QH_V,M41+1)-INDEX(QH_V,M41))</f>
        <v>58.4421803039614</v>
      </c>
      <c r="L41" s="40" t="n">
        <f aca="false">K41*1000000/dt_s+J41/2</f>
        <v>16338.143459896</v>
      </c>
      <c r="M41" s="44" t="n">
        <f aca="false">MATCH(F41,INDEX(QH_f,0,$F$4),1)</f>
        <v>69</v>
      </c>
      <c r="N41" s="45" t="n">
        <f aca="false">(F41-INDEX(QH_f,M41,$F$4))/(INDEX(QH_f,M41+1,$F$4)-INDEX(QH_f,M41,$F$4))</f>
        <v>0.26677769063811</v>
      </c>
    </row>
    <row r="42" customFormat="false" ht="15" hidden="false" customHeight="false" outlineLevel="0" collapsed="false">
      <c r="A42" s="14" t="n">
        <v>26</v>
      </c>
      <c r="B42" s="40" t="n">
        <f aca="false">IFERROR(INDEX(Lu_Q,MATCH(A42,Lu_t,0),$C$4),0)</f>
        <v>36</v>
      </c>
      <c r="C42" s="40" t="n">
        <f aca="false">(B41+B42)/2</f>
        <v>41</v>
      </c>
      <c r="D42" s="40" t="n">
        <f aca="false">L41</f>
        <v>16338.143459896</v>
      </c>
      <c r="E42" s="40" t="n">
        <f aca="false">J41</f>
        <v>208.408973146753</v>
      </c>
      <c r="F42" s="40" t="n">
        <f aca="false">D42+C42-E42</f>
        <v>16170.7344867492</v>
      </c>
      <c r="G42" s="41" t="n">
        <f aca="false">INDEX(QH_Z,M42)+N42*(INDEX(QH_Z,M42+1)-INDEX(QH_Z,M42))</f>
        <v>77.7509922228687</v>
      </c>
      <c r="H42" s="42" t="n">
        <f aca="false">INDEX(QH_qtc,M42)+N42*(INDEX(QH_qtc,M42+1)-INDEX(QH_qtc,M42))</f>
        <v>201.581765456549</v>
      </c>
      <c r="I42" s="43" t="n">
        <f aca="false">IF($F$4=2,0,INDEX(QH_qsc,M42)+N42*(INDEX(QH_qsc,M42+1)-INDEX(QH_qsc,M42)))</f>
        <v>0</v>
      </c>
      <c r="J42" s="40" t="n">
        <f aca="false">H42+I42</f>
        <v>201.581765456549</v>
      </c>
      <c r="K42" s="23" t="n">
        <f aca="false">INDEX(QH_V,M42)+N42*(INDEX(QH_V,M42+1)-INDEX(QH_V,M42))</f>
        <v>57.8517969744754</v>
      </c>
      <c r="L42" s="40" t="n">
        <f aca="false">K42*1000000/dt_s+J42/2</f>
        <v>16170.7344867492</v>
      </c>
      <c r="M42" s="44" t="n">
        <f aca="false">MATCH(F42,INDEX(QH_f,0,$F$4),1)</f>
        <v>68</v>
      </c>
      <c r="N42" s="45" t="n">
        <f aca="false">(F42-INDEX(QH_f,M42,$F$4))/(INDEX(QH_f,M42+1,$F$4)-INDEX(QH_f,M42,$F$4))</f>
        <v>0.50992222868669</v>
      </c>
    </row>
    <row r="43" customFormat="false" ht="15" hidden="false" customHeight="false" outlineLevel="0" collapsed="false">
      <c r="A43" s="14" t="n">
        <v>27</v>
      </c>
      <c r="B43" s="40" t="n">
        <f aca="false">IFERROR(INDEX(Lu_Q,MATCH(A43,Lu_t,0),$C$4),0)</f>
        <v>29</v>
      </c>
      <c r="C43" s="40" t="n">
        <f aca="false">(B42+B43)/2</f>
        <v>32.5</v>
      </c>
      <c r="D43" s="40" t="n">
        <f aca="false">L42</f>
        <v>16170.7344867492</v>
      </c>
      <c r="E43" s="40" t="n">
        <f aca="false">J42</f>
        <v>201.581765456549</v>
      </c>
      <c r="F43" s="40" t="n">
        <f aca="false">D43+C43-E43</f>
        <v>16001.6527212927</v>
      </c>
      <c r="G43" s="41" t="n">
        <f aca="false">INDEX(QH_Z,M43)+N43*(INDEX(QH_Z,M43+1)-INDEX(QH_Z,M43))</f>
        <v>77.6742031531401</v>
      </c>
      <c r="H43" s="42" t="n">
        <f aca="false">INDEX(QH_qtc,M43)+N43*(INDEX(QH_qtc,M43+1)-INDEX(QH_qtc,M43))</f>
        <v>194.693398972575</v>
      </c>
      <c r="I43" s="43" t="n">
        <f aca="false">IF($F$4=2,0,INDEX(QH_qsc,M43)+N43*(INDEX(QH_qsc,M43+1)-INDEX(QH_qsc,M43)))</f>
        <v>0</v>
      </c>
      <c r="J43" s="40" t="n">
        <f aca="false">H43+I43</f>
        <v>194.693398972575</v>
      </c>
      <c r="K43" s="23" t="n">
        <f aca="false">INDEX(QH_V,M43)+N43*(INDEX(QH_V,M43+1)-INDEX(QH_V,M43))</f>
        <v>57.255501678503</v>
      </c>
      <c r="L43" s="40" t="n">
        <f aca="false">K43*1000000/dt_s+J43/2</f>
        <v>16001.6527212927</v>
      </c>
      <c r="M43" s="44" t="n">
        <f aca="false">MATCH(F43,INDEX(QH_f,0,$F$4),1)</f>
        <v>67</v>
      </c>
      <c r="N43" s="45" t="n">
        <f aca="false">(F43-INDEX(QH_f,M43,$F$4))/(INDEX(QH_f,M43+1,$F$4)-INDEX(QH_f,M43,$F$4))</f>
        <v>0.742031531401387</v>
      </c>
    </row>
    <row r="44" customFormat="false" ht="15" hidden="false" customHeight="false" outlineLevel="0" collapsed="false">
      <c r="A44" s="14" t="n">
        <v>28</v>
      </c>
      <c r="B44" s="40" t="n">
        <f aca="false">IFERROR(INDEX(Lu_Q,MATCH(A44,Lu_t,0),$C$4),0)</f>
        <v>23</v>
      </c>
      <c r="C44" s="40" t="n">
        <f aca="false">(B43+B44)/2</f>
        <v>26</v>
      </c>
      <c r="D44" s="40" t="n">
        <f aca="false">L43</f>
        <v>16001.6527212927</v>
      </c>
      <c r="E44" s="40" t="n">
        <f aca="false">J43</f>
        <v>194.693398972575</v>
      </c>
      <c r="F44" s="40" t="n">
        <f aca="false">D44+C44-E44</f>
        <v>15832.9593223201</v>
      </c>
      <c r="G44" s="41" t="n">
        <f aca="false">INDEX(QH_Z,M44)+N44*(INDEX(QH_Z,M44+1)-INDEX(QH_Z,M44))</f>
        <v>77.5972346063438</v>
      </c>
      <c r="H44" s="42" t="n">
        <f aca="false">INDEX(QH_qtc,M44)+N44*(INDEX(QH_qtc,M44+1)-INDEX(QH_qtc,M44))</f>
        <v>187.829536849463</v>
      </c>
      <c r="I44" s="43" t="n">
        <f aca="false">IF($F$4=2,0,INDEX(QH_qsc,M44)+N44*(INDEX(QH_qsc,M44+1)-INDEX(QH_qsc,M44)))</f>
        <v>0</v>
      </c>
      <c r="J44" s="40" t="n">
        <f aca="false">H44+I44</f>
        <v>187.829536849463</v>
      </c>
      <c r="K44" s="23" t="n">
        <f aca="false">INDEX(QH_V,M44)+N44*(INDEX(QH_V,M44+1)-INDEX(QH_V,M44))</f>
        <v>56.6605603940233</v>
      </c>
      <c r="L44" s="40" t="n">
        <f aca="false">K44*1000000/dt_s+J44/2</f>
        <v>15832.9593223201</v>
      </c>
      <c r="M44" s="44" t="n">
        <f aca="false">MATCH(F44,INDEX(QH_f,0,$F$4),1)</f>
        <v>66</v>
      </c>
      <c r="N44" s="45" t="n">
        <f aca="false">(F44-INDEX(QH_f,M44,$F$4))/(INDEX(QH_f,M44+1,$F$4)-INDEX(QH_f,M44,$F$4))</f>
        <v>0.972346063437746</v>
      </c>
    </row>
    <row r="45" customFormat="false" ht="15" hidden="false" customHeight="false" outlineLevel="0" collapsed="false">
      <c r="A45" s="14" t="n">
        <v>29</v>
      </c>
      <c r="B45" s="40" t="n">
        <f aca="false">IFERROR(INDEX(Lu_Q,MATCH(A45,Lu_t,0),$C$4),0)</f>
        <v>18</v>
      </c>
      <c r="C45" s="40" t="n">
        <f aca="false">(B44+B45)/2</f>
        <v>20.5</v>
      </c>
      <c r="D45" s="40" t="n">
        <f aca="false">L44</f>
        <v>15832.9593223201</v>
      </c>
      <c r="E45" s="40" t="n">
        <f aca="false">J44</f>
        <v>187.829536849463</v>
      </c>
      <c r="F45" s="40" t="n">
        <f aca="false">D45+C45-E45</f>
        <v>15665.6297854706</v>
      </c>
      <c r="G45" s="41" t="n">
        <f aca="false">INDEX(QH_Z,M45)+N45*(INDEX(QH_Z,M45+1)-INDEX(QH_Z,M45))</f>
        <v>77.52039597254</v>
      </c>
      <c r="H45" s="42" t="n">
        <f aca="false">INDEX(QH_qtc,M45)+N45*(INDEX(QH_qtc,M45+1)-INDEX(QH_qtc,M45))</f>
        <v>181.036644778243</v>
      </c>
      <c r="I45" s="43" t="n">
        <f aca="false">IF($F$4=2,0,INDEX(QH_qsc,M45)+N45*(INDEX(QH_qsc,M45+1)-INDEX(QH_qsc,M45)))</f>
        <v>0</v>
      </c>
      <c r="J45" s="40" t="n">
        <f aca="false">H45+I45</f>
        <v>181.036644778243</v>
      </c>
      <c r="K45" s="23" t="n">
        <f aca="false">INDEX(QH_V,M45)+N45*(INDEX(QH_V,M45+1)-INDEX(QH_V,M45))</f>
        <v>56.0704012670934</v>
      </c>
      <c r="L45" s="40" t="n">
        <f aca="false">K45*1000000/dt_s+J45/2</f>
        <v>15665.6297854706</v>
      </c>
      <c r="M45" s="44" t="n">
        <f aca="false">MATCH(F45,INDEX(QH_f,0,$F$4),1)</f>
        <v>66</v>
      </c>
      <c r="N45" s="45" t="n">
        <f aca="false">(F45-INDEX(QH_f,M45,$F$4))/(INDEX(QH_f,M45+1,$F$4)-INDEX(QH_f,M45,$F$4))</f>
        <v>0.203959725399968</v>
      </c>
    </row>
    <row r="46" customFormat="false" ht="15" hidden="false" customHeight="false" outlineLevel="0" collapsed="false">
      <c r="A46" s="14" t="n">
        <v>30</v>
      </c>
      <c r="B46" s="40" t="n">
        <f aca="false">IFERROR(INDEX(Lu_Q,MATCH(A46,Lu_t,0),$C$4),0)</f>
        <v>14</v>
      </c>
      <c r="C46" s="40" t="n">
        <f aca="false">(B45+B46)/2</f>
        <v>16</v>
      </c>
      <c r="D46" s="40" t="n">
        <f aca="false">L45</f>
        <v>15665.6297854706</v>
      </c>
      <c r="E46" s="40" t="n">
        <f aca="false">J45</f>
        <v>181.036644778243</v>
      </c>
      <c r="F46" s="40" t="n">
        <f aca="false">D46+C46-E46</f>
        <v>15500.5931406924</v>
      </c>
      <c r="G46" s="41" t="n">
        <f aca="false">INDEX(QH_Z,M46)+N46*(INDEX(QH_Z,M46+1)-INDEX(QH_Z,M46))</f>
        <v>77.4442365455038</v>
      </c>
      <c r="H46" s="42" t="n">
        <f aca="false">INDEX(QH_qtc,M46)+N46*(INDEX(QH_qtc,M46+1)-INDEX(QH_qtc,M46))</f>
        <v>174.351434761773</v>
      </c>
      <c r="I46" s="43" t="n">
        <f aca="false">IF($F$4=2,0,INDEX(QH_qsc,M46)+N46*(INDEX(QH_qsc,M46+1)-INDEX(QH_qsc,M46)))</f>
        <v>0</v>
      </c>
      <c r="J46" s="40" t="n">
        <f aca="false">H46+I46</f>
        <v>174.351434761773</v>
      </c>
      <c r="K46" s="23" t="n">
        <f aca="false">INDEX(QH_V,M46)+N46*(INDEX(QH_V,M46+1)-INDEX(QH_V,M46))</f>
        <v>55.4883027239214</v>
      </c>
      <c r="L46" s="40" t="n">
        <f aca="false">K46*1000000/dt_s+J46/2</f>
        <v>15500.5931406924</v>
      </c>
      <c r="M46" s="44" t="n">
        <f aca="false">MATCH(F46,INDEX(QH_f,0,$F$4),1)</f>
        <v>65</v>
      </c>
      <c r="N46" s="45" t="n">
        <f aca="false">(F46-INDEX(QH_f,M46,$F$4))/(INDEX(QH_f,M46+1,$F$4)-INDEX(QH_f,M46,$F$4))</f>
        <v>0.442365455038191</v>
      </c>
    </row>
    <row r="47" customFormat="false" ht="15" hidden="false" customHeight="false" outlineLevel="0" collapsed="false">
      <c r="A47" s="14" t="n">
        <v>31</v>
      </c>
      <c r="B47" s="40" t="n">
        <f aca="false">IFERROR(INDEX(Lu_Q,MATCH(A47,Lu_t,0),$C$4),0)</f>
        <v>11</v>
      </c>
      <c r="C47" s="40" t="n">
        <f aca="false">(B46+B47)/2</f>
        <v>12.5</v>
      </c>
      <c r="D47" s="40" t="n">
        <f aca="false">L46</f>
        <v>15500.5931406924</v>
      </c>
      <c r="E47" s="40" t="n">
        <f aca="false">J46</f>
        <v>174.351434761773</v>
      </c>
      <c r="F47" s="40" t="n">
        <f aca="false">D47+C47-E47</f>
        <v>15338.7417059306</v>
      </c>
      <c r="G47" s="41" t="n">
        <f aca="false">INDEX(QH_Z,M47)+N47*(INDEX(QH_Z,M47+1)-INDEX(QH_Z,M47))</f>
        <v>77.3692038812306</v>
      </c>
      <c r="H47" s="42" t="n">
        <f aca="false">INDEX(QH_qtc,M47)+N47*(INDEX(QH_qtc,M47+1)-INDEX(QH_qtc,M47))</f>
        <v>167.810293024402</v>
      </c>
      <c r="I47" s="43" t="n">
        <f aca="false">IF($F$4=2,0,INDEX(QH_qsc,M47)+N47*(INDEX(QH_qsc,M47+1)-INDEX(QH_qsc,M47)))</f>
        <v>0</v>
      </c>
      <c r="J47" s="40" t="n">
        <f aca="false">H47+I47</f>
        <v>167.810293024402</v>
      </c>
      <c r="K47" s="23" t="n">
        <f aca="false">INDEX(QH_V,M47)+N47*(INDEX(QH_V,M47+1)-INDEX(QH_V,M47))</f>
        <v>54.9174116139063</v>
      </c>
      <c r="L47" s="40" t="n">
        <f aca="false">K47*1000000/dt_s+J47/2</f>
        <v>15338.7417059306</v>
      </c>
      <c r="M47" s="44" t="n">
        <f aca="false">MATCH(F47,INDEX(QH_f,0,$F$4),1)</f>
        <v>64</v>
      </c>
      <c r="N47" s="45" t="n">
        <f aca="false">(F47-INDEX(QH_f,M47,$F$4))/(INDEX(QH_f,M47+1,$F$4)-INDEX(QH_f,M47,$F$4))</f>
        <v>0.692038812306226</v>
      </c>
    </row>
    <row r="48" customFormat="false" ht="15" hidden="false" customHeight="false" outlineLevel="0" collapsed="false">
      <c r="A48" s="14" t="n">
        <v>32</v>
      </c>
      <c r="B48" s="40" t="n">
        <f aca="false">IFERROR(INDEX(Lu_Q,MATCH(A48,Lu_t,0),$C$4),0)</f>
        <v>8</v>
      </c>
      <c r="C48" s="40" t="n">
        <f aca="false">(B47+B48)/2</f>
        <v>9.5</v>
      </c>
      <c r="D48" s="40" t="n">
        <f aca="false">L47</f>
        <v>15338.7417059306</v>
      </c>
      <c r="E48" s="40" t="n">
        <f aca="false">J47</f>
        <v>167.810293024402</v>
      </c>
      <c r="F48" s="40" t="n">
        <f aca="false">D48+C48-E48</f>
        <v>15180.4314129062</v>
      </c>
      <c r="G48" s="41" t="n">
        <f aca="false">INDEX(QH_Z,M48)+N48*(INDEX(QH_Z,M48+1)-INDEX(QH_Z,M48))</f>
        <v>77.2954876227723</v>
      </c>
      <c r="H48" s="42" t="n">
        <f aca="false">INDEX(QH_qtc,M48)+N48*(INDEX(QH_qtc,M48+1)-INDEX(QH_qtc,M48))</f>
        <v>161.427781135286</v>
      </c>
      <c r="I48" s="43" t="n">
        <f aca="false">IF($F$4=2,0,INDEX(QH_qsc,M48)+N48*(INDEX(QH_qsc,M48+1)-INDEX(QH_qsc,M48)))</f>
        <v>0</v>
      </c>
      <c r="J48" s="40" t="n">
        <f aca="false">H48+I48</f>
        <v>161.427781135286</v>
      </c>
      <c r="K48" s="23" t="n">
        <f aca="false">INDEX(QH_V,M48)+N48*(INDEX(QH_V,M48+1)-INDEX(QH_V,M48))</f>
        <v>54.3589830804189</v>
      </c>
      <c r="L48" s="40" t="n">
        <f aca="false">K48*1000000/dt_s+J48/2</f>
        <v>15180.4314129062</v>
      </c>
      <c r="M48" s="44" t="n">
        <f aca="false">MATCH(F48,INDEX(QH_f,0,$F$4),1)</f>
        <v>63</v>
      </c>
      <c r="N48" s="45" t="n">
        <f aca="false">(F48-INDEX(QH_f,M48,$F$4))/(INDEX(QH_f,M48+1,$F$4)-INDEX(QH_f,M48,$F$4))</f>
        <v>0.954876227723509</v>
      </c>
    </row>
    <row r="49" customFormat="false" ht="15" hidden="false" customHeight="false" outlineLevel="0" collapsed="false">
      <c r="A49" s="14" t="n">
        <v>33</v>
      </c>
      <c r="B49" s="40" t="n">
        <f aca="false">IFERROR(INDEX(Lu_Q,MATCH(A49,Lu_t,0),$C$4),0)</f>
        <v>7</v>
      </c>
      <c r="C49" s="40" t="n">
        <f aca="false">(B48+B49)/2</f>
        <v>7.5</v>
      </c>
      <c r="D49" s="40" t="n">
        <f aca="false">L48</f>
        <v>15180.4314129062</v>
      </c>
      <c r="E49" s="40" t="n">
        <f aca="false">J48</f>
        <v>161.427781135286</v>
      </c>
      <c r="F49" s="40" t="n">
        <f aca="false">D49+C49-E49</f>
        <v>15026.5036317709</v>
      </c>
      <c r="G49" s="41" t="n">
        <f aca="false">INDEX(QH_Z,M49)+N49*(INDEX(QH_Z,M49+1)-INDEX(QH_Z,M49))</f>
        <v>77.2233500844971</v>
      </c>
      <c r="H49" s="42" t="n">
        <f aca="false">INDEX(QH_qtc,M49)+N49*(INDEX(QH_qtc,M49+1)-INDEX(QH_qtc,M49))</f>
        <v>155.247396290832</v>
      </c>
      <c r="I49" s="43" t="n">
        <f aca="false">IF($F$4=2,0,INDEX(QH_qsc,M49)+N49*(INDEX(QH_qsc,M49+1)-INDEX(QH_qsc,M49)))</f>
        <v>0</v>
      </c>
      <c r="J49" s="40" t="n">
        <f aca="false">H49+I49</f>
        <v>155.247396290832</v>
      </c>
      <c r="K49" s="23" t="n">
        <f aca="false">INDEX(QH_V,M49)+N49*(INDEX(QH_V,M49+1)-INDEX(QH_V,M49))</f>
        <v>53.8159677610518</v>
      </c>
      <c r="L49" s="40" t="n">
        <f aca="false">K49*1000000/dt_s+J49/2</f>
        <v>15026.5036317709</v>
      </c>
      <c r="M49" s="44" t="n">
        <f aca="false">MATCH(F49,INDEX(QH_f,0,$F$4),1)</f>
        <v>63</v>
      </c>
      <c r="N49" s="45" t="n">
        <f aca="false">(F49-INDEX(QH_f,M49,$F$4))/(INDEX(QH_f,M49+1,$F$4)-INDEX(QH_f,M49,$F$4))</f>
        <v>0.233500844970884</v>
      </c>
    </row>
    <row r="50" customFormat="false" ht="15" hidden="false" customHeight="false" outlineLevel="0" collapsed="false">
      <c r="A50" s="14" t="n">
        <v>34</v>
      </c>
      <c r="B50" s="40" t="n">
        <f aca="false">IFERROR(INDEX(Lu_Q,MATCH(A50,Lu_t,0),$C$4),0)</f>
        <v>5</v>
      </c>
      <c r="C50" s="40" t="n">
        <f aca="false">(B49+B50)/2</f>
        <v>6</v>
      </c>
      <c r="D50" s="40" t="n">
        <f aca="false">L49</f>
        <v>15026.5036317709</v>
      </c>
      <c r="E50" s="40" t="n">
        <f aca="false">J49</f>
        <v>155.247396290832</v>
      </c>
      <c r="F50" s="40" t="n">
        <f aca="false">D50+C50-E50</f>
        <v>14877.2562354801</v>
      </c>
      <c r="G50" s="41" t="n">
        <f aca="false">INDEX(QH_Z,M50)+N50*(INDEX(QH_Z,M50+1)-INDEX(QH_Z,M50))</f>
        <v>77.1530832191599</v>
      </c>
      <c r="H50" s="42" t="n">
        <f aca="false">INDEX(QH_qtc,M50)+N50*(INDEX(QH_qtc,M50+1)-INDEX(QH_qtc,M50))</f>
        <v>149.27542204409</v>
      </c>
      <c r="I50" s="43" t="n">
        <f aca="false">IF($F$4=2,0,INDEX(QH_qsc,M50)+N50*(INDEX(QH_qsc,M50+1)-INDEX(QH_qsc,M50)))</f>
        <v>0</v>
      </c>
      <c r="J50" s="40" t="n">
        <f aca="false">H50+I50</f>
        <v>149.27542204409</v>
      </c>
      <c r="K50" s="23" t="n">
        <f aca="false">INDEX(QH_V,M50)+N50*(INDEX(QH_V,M50+1)-INDEX(QH_V,M50))</f>
        <v>53.289426688049</v>
      </c>
      <c r="L50" s="40" t="n">
        <f aca="false">K50*1000000/dt_s+J50/2</f>
        <v>14877.2562354801</v>
      </c>
      <c r="M50" s="44" t="n">
        <f aca="false">MATCH(F50,INDEX(QH_f,0,$F$4),1)</f>
        <v>62</v>
      </c>
      <c r="N50" s="45" t="n">
        <f aca="false">(F50-INDEX(QH_f,M50,$F$4))/(INDEX(QH_f,M50+1,$F$4)-INDEX(QH_f,M50,$F$4))</f>
        <v>0.53083219159899</v>
      </c>
    </row>
    <row r="51" customFormat="false" ht="15" hidden="false" customHeight="false" outlineLevel="0" collapsed="false">
      <c r="A51" s="14" t="n">
        <v>35</v>
      </c>
      <c r="B51" s="40" t="n">
        <f aca="false">IFERROR(INDEX(Lu_Q,MATCH(A51,Lu_t,0),$C$4),0)</f>
        <v>4</v>
      </c>
      <c r="C51" s="40" t="n">
        <f aca="false">(B50+B51)/2</f>
        <v>4.5</v>
      </c>
      <c r="D51" s="40" t="n">
        <f aca="false">L50</f>
        <v>14877.2562354801</v>
      </c>
      <c r="E51" s="40" t="n">
        <f aca="false">J50</f>
        <v>149.27542204409</v>
      </c>
      <c r="F51" s="40" t="n">
        <f aca="false">D51+C51-E51</f>
        <v>14732.480813436</v>
      </c>
      <c r="G51" s="41" t="n">
        <f aca="false">INDEX(QH_Z,M51)+N51*(INDEX(QH_Z,M51+1)-INDEX(QH_Z,M51))</f>
        <v>77.0846583883339</v>
      </c>
      <c r="H51" s="42" t="n">
        <f aca="false">INDEX(QH_qtc,M51)+N51*(INDEX(QH_qtc,M51+1)-INDEX(QH_qtc,M51))</f>
        <v>143.500036553406</v>
      </c>
      <c r="I51" s="43" t="n">
        <f aca="false">IF($F$4=2,0,INDEX(QH_qsc,M51)+N51*(INDEX(QH_qsc,M51+1)-INDEX(QH_qsc,M51)))</f>
        <v>0</v>
      </c>
      <c r="J51" s="40" t="n">
        <f aca="false">H51+I51</f>
        <v>143.500036553406</v>
      </c>
      <c r="K51" s="23" t="n">
        <f aca="false">INDEX(QH_V,M51)+N51*(INDEX(QH_V,M51+1)-INDEX(QH_V,M51))</f>
        <v>52.7786308625735</v>
      </c>
      <c r="L51" s="40" t="n">
        <f aca="false">K51*1000000/dt_s+J51/2</f>
        <v>14732.480813436</v>
      </c>
      <c r="M51" s="44" t="n">
        <f aca="false">MATCH(F51,INDEX(QH_f,0,$F$4),1)</f>
        <v>61</v>
      </c>
      <c r="N51" s="45" t="n">
        <f aca="false">(F51-INDEX(QH_f,M51,$F$4))/(INDEX(QH_f,M51+1,$F$4)-INDEX(QH_f,M51,$F$4))</f>
        <v>0.846583883339207</v>
      </c>
    </row>
    <row r="52" customFormat="false" ht="15" hidden="false" customHeight="false" outlineLevel="0" collapsed="false">
      <c r="A52" s="14" t="n">
        <v>36</v>
      </c>
      <c r="B52" s="40" t="n">
        <f aca="false">IFERROR(INDEX(Lu_Q,MATCH(A52,Lu_t,0),$C$4),0)</f>
        <v>3</v>
      </c>
      <c r="C52" s="40" t="n">
        <f aca="false">(B51+B52)/2</f>
        <v>3.5</v>
      </c>
      <c r="D52" s="40" t="n">
        <f aca="false">L51</f>
        <v>14732.480813436</v>
      </c>
      <c r="E52" s="40" t="n">
        <f aca="false">J51</f>
        <v>143.500036553406</v>
      </c>
      <c r="F52" s="40" t="n">
        <f aca="false">D52+C52-E52</f>
        <v>14592.4807768826</v>
      </c>
      <c r="G52" s="41" t="n">
        <f aca="false">INDEX(QH_Z,M52)+N52*(INDEX(QH_Z,M52+1)-INDEX(QH_Z,M52))</f>
        <v>77.0181316946533</v>
      </c>
      <c r="H52" s="42" t="n">
        <f aca="false">INDEX(QH_qtc,M52)+N52*(INDEX(QH_qtc,M52+1)-INDEX(QH_qtc,M52))</f>
        <v>137.94105451634</v>
      </c>
      <c r="I52" s="43" t="n">
        <f aca="false">IF($F$4=2,0,INDEX(QH_qsc,M52)+N52*(INDEX(QH_qsc,M52+1)-INDEX(QH_qsc,M52)))</f>
        <v>0</v>
      </c>
      <c r="J52" s="40" t="n">
        <f aca="false">H52+I52</f>
        <v>137.94105451634</v>
      </c>
      <c r="K52" s="23" t="n">
        <f aca="false">INDEX(QH_V,M52)+N52*(INDEX(QH_V,M52+1)-INDEX(QH_V,M52))</f>
        <v>52.284636898648</v>
      </c>
      <c r="L52" s="40" t="n">
        <f aca="false">K52*1000000/dt_s+J52/2</f>
        <v>14592.4807768826</v>
      </c>
      <c r="M52" s="44" t="n">
        <f aca="false">MATCH(F52,INDEX(QH_f,0,$F$4),1)</f>
        <v>61</v>
      </c>
      <c r="N52" s="45" t="n">
        <f aca="false">(F52-INDEX(QH_f,M52,$F$4))/(INDEX(QH_f,M52+1,$F$4)-INDEX(QH_f,M52,$F$4))</f>
        <v>0.181316946532844</v>
      </c>
    </row>
    <row r="53" customFormat="false" ht="15" hidden="false" customHeight="false" outlineLevel="0" collapsed="false">
      <c r="A53" s="14" t="n">
        <v>37</v>
      </c>
      <c r="B53" s="40" t="n">
        <f aca="false">IFERROR(INDEX(Lu_Q,MATCH(A53,Lu_t,0),$C$4),0)</f>
        <v>0</v>
      </c>
      <c r="C53" s="40" t="n">
        <f aca="false">(B52+B53)/2</f>
        <v>1.5</v>
      </c>
      <c r="D53" s="40" t="n">
        <f aca="false">L52</f>
        <v>14592.4807768826</v>
      </c>
      <c r="E53" s="40" t="n">
        <f aca="false">J52</f>
        <v>137.94105451634</v>
      </c>
      <c r="F53" s="40" t="n">
        <f aca="false">D53+C53-E53</f>
        <v>14456.0397223663</v>
      </c>
      <c r="G53" s="41" t="n">
        <f aca="false">INDEX(QH_Z,M53)+N53*(INDEX(QH_Z,M53+1)-INDEX(QH_Z,M53))</f>
        <v>76.9529697969962</v>
      </c>
      <c r="H53" s="42" t="n">
        <f aca="false">INDEX(QH_qtc,M53)+N53*(INDEX(QH_qtc,M53+1)-INDEX(QH_qtc,M53))</f>
        <v>132.550415372954</v>
      </c>
      <c r="I53" s="43" t="n">
        <f aca="false">IF($F$4=2,0,INDEX(QH_qsc,M53)+N53*(INDEX(QH_qsc,M53+1)-INDEX(QH_qsc,M53)))</f>
        <v>0</v>
      </c>
      <c r="J53" s="40" t="n">
        <f aca="false">H53+I53</f>
        <v>132.550415372954</v>
      </c>
      <c r="K53" s="23" t="n">
        <f aca="false">INDEX(QH_V,M53)+N53*(INDEX(QH_V,M53+1)-INDEX(QH_V,M53))</f>
        <v>51.8031522528472</v>
      </c>
      <c r="L53" s="40" t="n">
        <f aca="false">K53*1000000/dt_s+J53/2</f>
        <v>14456.0397223663</v>
      </c>
      <c r="M53" s="44" t="n">
        <f aca="false">MATCH(F53,INDEX(QH_f,0,$F$4),1)</f>
        <v>60</v>
      </c>
      <c r="N53" s="45" t="n">
        <f aca="false">(F53-INDEX(QH_f,M53,$F$4))/(INDEX(QH_f,M53+1,$F$4)-INDEX(QH_f,M53,$F$4))</f>
        <v>0.529697969962322</v>
      </c>
    </row>
    <row r="54" customFormat="false" ht="15" hidden="false" customHeight="false" outlineLevel="0" collapsed="false">
      <c r="A54" s="14" t="n">
        <v>38</v>
      </c>
      <c r="B54" s="40" t="n">
        <f aca="false">IFERROR(INDEX(Lu_Q,MATCH(A54,Lu_t,0),$C$4),0)</f>
        <v>0</v>
      </c>
      <c r="C54" s="40" t="n">
        <f aca="false">(B53+B54)/2</f>
        <v>0</v>
      </c>
      <c r="D54" s="40" t="n">
        <f aca="false">L53</f>
        <v>14456.0397223663</v>
      </c>
      <c r="E54" s="40" t="n">
        <f aca="false">J53</f>
        <v>132.550415372954</v>
      </c>
      <c r="F54" s="40" t="n">
        <f aca="false">D54+C54-E54</f>
        <v>14323.4893069933</v>
      </c>
      <c r="G54" s="41" t="n">
        <f aca="false">INDEX(QH_Z,M54)+N54*(INDEX(QH_Z,M54+1)-INDEX(QH_Z,M54))</f>
        <v>76.889469831152</v>
      </c>
      <c r="H54" s="42" t="n">
        <f aca="false">INDEX(QH_qtc,M54)+N54*(INDEX(QH_qtc,M54+1)-INDEX(QH_qtc,M54))</f>
        <v>127.330551104367</v>
      </c>
      <c r="I54" s="43" t="n">
        <f aca="false">IF($F$4=2,0,INDEX(QH_qsc,M54)+N54*(INDEX(QH_qsc,M54+1)-INDEX(QH_qsc,M54)))</f>
        <v>0</v>
      </c>
      <c r="J54" s="40" t="n">
        <f aca="false">H54+I54</f>
        <v>127.330551104367</v>
      </c>
      <c r="K54" s="23" t="n">
        <f aca="false">INDEX(QH_V,M54)+N54*(INDEX(QH_V,M54+1)-INDEX(QH_V,M54))</f>
        <v>51.3353665131881</v>
      </c>
      <c r="L54" s="40" t="n">
        <f aca="false">K54*1000000/dt_s+J54/2</f>
        <v>14323.4893069933</v>
      </c>
      <c r="M54" s="44" t="n">
        <f aca="false">MATCH(F54,INDEX(QH_f,0,$F$4),1)</f>
        <v>59</v>
      </c>
      <c r="N54" s="45" t="n">
        <f aca="false">(F54-INDEX(QH_f,M54,$F$4))/(INDEX(QH_f,M54+1,$F$4)-INDEX(QH_f,M54,$F$4))</f>
        <v>0.894698311519466</v>
      </c>
    </row>
    <row r="55" customFormat="false" ht="15" hidden="false" customHeight="false" outlineLevel="0" collapsed="false">
      <c r="A55" s="14" t="n">
        <v>39</v>
      </c>
      <c r="B55" s="40" t="n">
        <f aca="false">IFERROR(INDEX(Lu_Q,MATCH(A55,Lu_t,0),$C$4),0)</f>
        <v>0</v>
      </c>
      <c r="C55" s="40" t="n">
        <f aca="false">(B54+B55)/2</f>
        <v>0</v>
      </c>
      <c r="D55" s="40" t="n">
        <f aca="false">L54</f>
        <v>14323.4893069933</v>
      </c>
      <c r="E55" s="40" t="n">
        <f aca="false">J54</f>
        <v>127.330551104367</v>
      </c>
      <c r="F55" s="40" t="n">
        <f aca="false">D55+C55-E55</f>
        <v>14196.1587558889</v>
      </c>
      <c r="G55" s="41" t="n">
        <f aca="false">INDEX(QH_Z,M55)+N55*(INDEX(QH_Z,M55+1)-INDEX(QH_Z,M55))</f>
        <v>76.8281149671299</v>
      </c>
      <c r="H55" s="42" t="n">
        <f aca="false">INDEX(QH_qtc,M55)+N55*(INDEX(QH_qtc,M55+1)-INDEX(QH_qtc,M55))</f>
        <v>122.349659429738</v>
      </c>
      <c r="I55" s="43" t="n">
        <f aca="false">IF($F$4=2,0,INDEX(QH_qsc,M55)+N55*(INDEX(QH_qsc,M55+1)-INDEX(QH_qsc,M55)))</f>
        <v>0</v>
      </c>
      <c r="J55" s="40" t="n">
        <f aca="false">H55+I55</f>
        <v>122.349659429738</v>
      </c>
      <c r="K55" s="23" t="n">
        <f aca="false">INDEX(QH_V,M55)+N55*(INDEX(QH_V,M55+1)-INDEX(QH_V,M55))</f>
        <v>50.8859421342267</v>
      </c>
      <c r="L55" s="40" t="n">
        <f aca="false">K55*1000000/dt_s+J55/2</f>
        <v>14196.1587558889</v>
      </c>
      <c r="M55" s="44" t="n">
        <f aca="false">MATCH(F55,INDEX(QH_f,0,$F$4),1)</f>
        <v>59</v>
      </c>
      <c r="N55" s="45" t="n">
        <f aca="false">(F55-INDEX(QH_f,M55,$F$4))/(INDEX(QH_f,M55+1,$F$4)-INDEX(QH_f,M55,$F$4))</f>
        <v>0.281149671299192</v>
      </c>
    </row>
    <row r="56" customFormat="false" ht="15" hidden="false" customHeight="false" outlineLevel="0" collapsed="false">
      <c r="A56" s="14" t="n">
        <v>40</v>
      </c>
      <c r="B56" s="40" t="n">
        <f aca="false">IFERROR(INDEX(Lu_Q,MATCH(A56,Lu_t,0),$C$4),0)</f>
        <v>0</v>
      </c>
      <c r="C56" s="40" t="n">
        <f aca="false">(B55+B56)/2</f>
        <v>0</v>
      </c>
      <c r="D56" s="40" t="n">
        <f aca="false">L55</f>
        <v>14196.1587558889</v>
      </c>
      <c r="E56" s="40" t="n">
        <f aca="false">J55</f>
        <v>122.349659429738</v>
      </c>
      <c r="F56" s="40" t="n">
        <f aca="false">D56+C56-E56</f>
        <v>14073.8090964592</v>
      </c>
      <c r="G56" s="41" t="n">
        <f aca="false">INDEX(QH_Z,M56)+N56*(INDEX(QH_Z,M56+1)-INDEX(QH_Z,M56))</f>
        <v>76.7689426157628</v>
      </c>
      <c r="H56" s="42" t="n">
        <f aca="false">INDEX(QH_qtc,M56)+N56*(INDEX(QH_qtc,M56+1)-INDEX(QH_qtc,M56))</f>
        <v>117.586231988384</v>
      </c>
      <c r="I56" s="43" t="n">
        <f aca="false">IF($F$4=2,0,INDEX(QH_qsc,M56)+N56*(INDEX(QH_qsc,M56+1)-INDEX(QH_qsc,M56)))</f>
        <v>0</v>
      </c>
      <c r="J56" s="40" t="n">
        <f aca="false">H56+I56</f>
        <v>117.586231988384</v>
      </c>
      <c r="K56" s="23" t="n">
        <f aca="false">INDEX(QH_V,M56)+N56*(INDEX(QH_V,M56+1)-INDEX(QH_V,M56))</f>
        <v>50.454057529674</v>
      </c>
      <c r="L56" s="40" t="n">
        <f aca="false">K56*1000000/dt_s+J56/2</f>
        <v>14073.8090964592</v>
      </c>
      <c r="M56" s="44" t="n">
        <f aca="false">MATCH(F56,INDEX(QH_f,0,$F$4),1)</f>
        <v>58</v>
      </c>
      <c r="N56" s="45" t="n">
        <f aca="false">(F56-INDEX(QH_f,M56,$F$4))/(INDEX(QH_f,M56+1,$F$4)-INDEX(QH_f,M56,$F$4))</f>
        <v>0.689426157627543</v>
      </c>
    </row>
    <row r="57" customFormat="false" ht="15" hidden="false" customHeight="false" outlineLevel="0" collapsed="false">
      <c r="A57" s="14" t="n">
        <v>41</v>
      </c>
      <c r="B57" s="40" t="n">
        <f aca="false">IFERROR(INDEX(Lu_Q,MATCH(A57,Lu_t,0),$C$4),0)</f>
        <v>0</v>
      </c>
      <c r="C57" s="40" t="n">
        <f aca="false">(B56+B57)/2</f>
        <v>0</v>
      </c>
      <c r="D57" s="40" t="n">
        <f aca="false">L56</f>
        <v>14073.8090964592</v>
      </c>
      <c r="E57" s="40" t="n">
        <f aca="false">J56</f>
        <v>117.586231988384</v>
      </c>
      <c r="F57" s="40" t="n">
        <f aca="false">D57+C57-E57</f>
        <v>13956.2228644708</v>
      </c>
      <c r="G57" s="41" t="n">
        <f aca="false">INDEX(QH_Z,M57)+N57*(INDEX(QH_Z,M57+1)-INDEX(QH_Z,M57))</f>
        <v>76.7118834046704</v>
      </c>
      <c r="H57" s="42" t="n">
        <f aca="false">INDEX(QH_qtc,M57)+N57*(INDEX(QH_qtc,M57+1)-INDEX(QH_qtc,M57))</f>
        <v>113.028079509861</v>
      </c>
      <c r="I57" s="43" t="n">
        <f aca="false">IF($F$4=2,0,INDEX(QH_qsc,M57)+N57*(INDEX(QH_qsc,M57+1)-INDEX(QH_qsc,M57)))</f>
        <v>0</v>
      </c>
      <c r="J57" s="40" t="n">
        <f aca="false">H57+I57</f>
        <v>113.028079509861</v>
      </c>
      <c r="K57" s="23" t="n">
        <f aca="false">INDEX(QH_V,M57)+N57*(INDEX(QH_V,M57+1)-INDEX(QH_V,M57))</f>
        <v>50.0389517689772</v>
      </c>
      <c r="L57" s="40" t="n">
        <f aca="false">K57*1000000/dt_s+J57/2</f>
        <v>13956.2228644708</v>
      </c>
      <c r="M57" s="44" t="n">
        <f aca="false">MATCH(F57,INDEX(QH_f,0,$F$4),1)</f>
        <v>58</v>
      </c>
      <c r="N57" s="45" t="n">
        <f aca="false">(F57-INDEX(QH_f,M57,$F$4))/(INDEX(QH_f,M57+1,$F$4)-INDEX(QH_f,M57,$F$4))</f>
        <v>0.11883404670402</v>
      </c>
    </row>
    <row r="58" customFormat="false" ht="15" hidden="false" customHeight="false" outlineLevel="0" collapsed="false">
      <c r="A58" s="14" t="n">
        <v>42</v>
      </c>
      <c r="B58" s="40" t="n">
        <f aca="false">IFERROR(INDEX(Lu_Q,MATCH(A58,Lu_t,0),$C$4),0)</f>
        <v>0</v>
      </c>
      <c r="C58" s="40" t="n">
        <f aca="false">(B57+B58)/2</f>
        <v>0</v>
      </c>
      <c r="D58" s="40" t="n">
        <f aca="false">L57</f>
        <v>13956.2228644708</v>
      </c>
      <c r="E58" s="40" t="n">
        <f aca="false">J57</f>
        <v>113.028079509861</v>
      </c>
      <c r="F58" s="40" t="n">
        <f aca="false">D58+C58-E58</f>
        <v>13843.194784961</v>
      </c>
      <c r="G58" s="41" t="n">
        <f aca="false">INDEX(QH_Z,M58)+N58*(INDEX(QH_Z,M58+1)-INDEX(QH_Z,M58))</f>
        <v>76.6567300005546</v>
      </c>
      <c r="H58" s="42" t="n">
        <f aca="false">INDEX(QH_qtc,M58)+N58*(INDEX(QH_qtc,M58+1)-INDEX(QH_qtc,M58))</f>
        <v>108.681651029193</v>
      </c>
      <c r="I58" s="43" t="n">
        <f aca="false">IF($F$4=2,0,INDEX(QH_qsc,M58)+N58*(INDEX(QH_qsc,M58+1)-INDEX(QH_qsc,M58)))</f>
        <v>0</v>
      </c>
      <c r="J58" s="40" t="n">
        <f aca="false">H58+I58</f>
        <v>108.681651029193</v>
      </c>
      <c r="K58" s="23" t="n">
        <f aca="false">INDEX(QH_V,M58)+N58*(INDEX(QH_V,M58+1)-INDEX(QH_V,M58))</f>
        <v>49.6398742540069</v>
      </c>
      <c r="L58" s="40" t="n">
        <f aca="false">K58*1000000/dt_s+J58/2</f>
        <v>13843.194784961</v>
      </c>
      <c r="M58" s="44" t="n">
        <f aca="false">MATCH(F58,INDEX(QH_f,0,$F$4),1)</f>
        <v>57</v>
      </c>
      <c r="N58" s="45" t="n">
        <f aca="false">(F58-INDEX(QH_f,M58,$F$4))/(INDEX(QH_f,M58+1,$F$4)-INDEX(QH_f,M58,$F$4))</f>
        <v>0.56730000554589</v>
      </c>
    </row>
    <row r="59" customFormat="false" ht="15" hidden="false" customHeight="false" outlineLevel="0" collapsed="false">
      <c r="A59" s="14" t="n">
        <v>43</v>
      </c>
      <c r="B59" s="40" t="n">
        <f aca="false">IFERROR(INDEX(Lu_Q,MATCH(A59,Lu_t,0),$C$4),0)</f>
        <v>0</v>
      </c>
      <c r="C59" s="40" t="n">
        <f aca="false">(B58+B59)/2</f>
        <v>0</v>
      </c>
      <c r="D59" s="40" t="n">
        <f aca="false">L58</f>
        <v>13843.194784961</v>
      </c>
      <c r="E59" s="40" t="n">
        <f aca="false">J58</f>
        <v>108.681651029193</v>
      </c>
      <c r="F59" s="40" t="n">
        <f aca="false">D59+C59-E59</f>
        <v>13734.5131339318</v>
      </c>
      <c r="G59" s="41" t="n">
        <f aca="false">INDEX(QH_Z,M59)+N59*(INDEX(QH_Z,M59+1)-INDEX(QH_Z,M59))</f>
        <v>76.603616091508</v>
      </c>
      <c r="H59" s="42" t="n">
        <f aca="false">INDEX(QH_qtc,M59)+N59*(INDEX(QH_qtc,M59+1)-INDEX(QH_qtc,M59))</f>
        <v>104.51167833829</v>
      </c>
      <c r="I59" s="43" t="n">
        <f aca="false">IF($F$4=2,0,INDEX(QH_qsc,M59)+N59*(INDEX(QH_qsc,M59+1)-INDEX(QH_qsc,M59)))</f>
        <v>0</v>
      </c>
      <c r="J59" s="40" t="n">
        <f aca="false">H59+I59</f>
        <v>104.51167833829</v>
      </c>
      <c r="K59" s="23" t="n">
        <f aca="false">INDEX(QH_V,M59)+N59*(INDEX(QH_V,M59+1)-INDEX(QH_V,M59))</f>
        <v>49.2561262611454</v>
      </c>
      <c r="L59" s="40" t="n">
        <f aca="false">K59*1000000/dt_s+J59/2</f>
        <v>13734.5131339318</v>
      </c>
      <c r="M59" s="44" t="n">
        <f aca="false">MATCH(F59,INDEX(QH_f,0,$F$4),1)</f>
        <v>57</v>
      </c>
      <c r="N59" s="45" t="n">
        <f aca="false">(F59-INDEX(QH_f,M59,$F$4))/(INDEX(QH_f,M59+1,$F$4)-INDEX(QH_f,M59,$F$4))</f>
        <v>0.03616091508023</v>
      </c>
    </row>
    <row r="60" customFormat="false" ht="15" hidden="false" customHeight="false" outlineLevel="0" collapsed="false">
      <c r="A60" s="14" t="n">
        <v>44</v>
      </c>
      <c r="B60" s="40" t="n">
        <f aca="false">IFERROR(INDEX(Lu_Q,MATCH(A60,Lu_t,0),$C$4),0)</f>
        <v>0</v>
      </c>
      <c r="C60" s="40" t="n">
        <f aca="false">(B59+B60)/2</f>
        <v>0</v>
      </c>
      <c r="D60" s="40" t="n">
        <f aca="false">L59</f>
        <v>13734.5131339318</v>
      </c>
      <c r="E60" s="40" t="n">
        <f aca="false">J59</f>
        <v>104.51167833829</v>
      </c>
      <c r="F60" s="40" t="n">
        <f aca="false">D60+C60-E60</f>
        <v>13630.0014555935</v>
      </c>
      <c r="G60" s="41" t="n">
        <f aca="false">INDEX(QH_Z,M60)+N60*(INDEX(QH_Z,M60+1)-INDEX(QH_Z,M60))</f>
        <v>76.5521986159885</v>
      </c>
      <c r="H60" s="42" t="n">
        <f aca="false">INDEX(QH_qtc,M60)+N60*(INDEX(QH_qtc,M60+1)-INDEX(QH_qtc,M60))</f>
        <v>100.544539121636</v>
      </c>
      <c r="I60" s="43" t="n">
        <f aca="false">IF($F$4=2,0,INDEX(QH_qsc,M60)+N60*(INDEX(QH_qsc,M60+1)-INDEX(QH_qsc,M60)))</f>
        <v>0</v>
      </c>
      <c r="J60" s="40" t="n">
        <f aca="false">H60+I60</f>
        <v>100.544539121636</v>
      </c>
      <c r="K60" s="23" t="n">
        <f aca="false">INDEX(QH_V,M60)+N60*(INDEX(QH_V,M60+1)-INDEX(QH_V,M60))</f>
        <v>48.8870250697176</v>
      </c>
      <c r="L60" s="40" t="n">
        <f aca="false">K60*1000000/dt_s+J60/2</f>
        <v>13630.0014555935</v>
      </c>
      <c r="M60" s="44" t="n">
        <f aca="false">MATCH(F60,INDEX(QH_f,0,$F$4),1)</f>
        <v>56</v>
      </c>
      <c r="N60" s="45" t="n">
        <f aca="false">(F60-INDEX(QH_f,M60,$F$4))/(INDEX(QH_f,M60+1,$F$4)-INDEX(QH_f,M60,$F$4))</f>
        <v>0.521986159885138</v>
      </c>
    </row>
    <row r="61" customFormat="false" ht="15" hidden="false" customHeight="false" outlineLevel="0" collapsed="false">
      <c r="A61" s="14" t="n">
        <v>45</v>
      </c>
      <c r="B61" s="40" t="n">
        <f aca="false">IFERROR(INDEX(Lu_Q,MATCH(A61,Lu_t,0),$C$4),0)</f>
        <v>0</v>
      </c>
      <c r="C61" s="40" t="n">
        <f aca="false">(B60+B61)/2</f>
        <v>0</v>
      </c>
      <c r="D61" s="40" t="n">
        <f aca="false">L60</f>
        <v>13630.0014555935</v>
      </c>
      <c r="E61" s="40" t="n">
        <f aca="false">J60</f>
        <v>100.544539121636</v>
      </c>
      <c r="F61" s="40" t="n">
        <f aca="false">D61+C61-E61</f>
        <v>13529.4569164718</v>
      </c>
      <c r="G61" s="41" t="n">
        <f aca="false">INDEX(QH_Z,M61)+N61*(INDEX(QH_Z,M61+1)-INDEX(QH_Z,M61))</f>
        <v>76.5027078563494</v>
      </c>
      <c r="H61" s="42" t="n">
        <f aca="false">INDEX(QH_qtc,M61)+N61*(INDEX(QH_qtc,M61+1)-INDEX(QH_qtc,M61))</f>
        <v>96.7311277733075</v>
      </c>
      <c r="I61" s="43" t="n">
        <f aca="false">IF($F$4=2,0,INDEX(QH_qsc,M61)+N61*(INDEX(QH_qsc,M61+1)-INDEX(QH_qsc,M61)))</f>
        <v>0</v>
      </c>
      <c r="J61" s="40" t="n">
        <f aca="false">H61+I61</f>
        <v>96.7311277733075</v>
      </c>
      <c r="K61" s="23" t="n">
        <f aca="false">INDEX(QH_V,M61)+N61*(INDEX(QH_V,M61+1)-INDEX(QH_V,M61))</f>
        <v>48.5319288693067</v>
      </c>
      <c r="L61" s="40" t="n">
        <f aca="false">K61*1000000/dt_s+J61/2</f>
        <v>13529.4569164718</v>
      </c>
      <c r="M61" s="44" t="n">
        <f aca="false">MATCH(F61,INDEX(QH_f,0,$F$4),1)</f>
        <v>56</v>
      </c>
      <c r="N61" s="45" t="n">
        <f aca="false">(F61-INDEX(QH_f,M61,$F$4))/(INDEX(QH_f,M61+1,$F$4)-INDEX(QH_f,M61,$F$4))</f>
        <v>0.027078563493606</v>
      </c>
    </row>
    <row r="62" customFormat="false" ht="15" hidden="false" customHeight="false" outlineLevel="0" collapsed="false">
      <c r="A62" s="14" t="n">
        <v>46</v>
      </c>
      <c r="B62" s="40" t="n">
        <f aca="false">IFERROR(INDEX(Lu_Q,MATCH(A62,Lu_t,0),$C$4),0)</f>
        <v>0</v>
      </c>
      <c r="C62" s="40" t="n">
        <f aca="false">(B61+B62)/2</f>
        <v>0</v>
      </c>
      <c r="D62" s="40" t="n">
        <f aca="false">L61</f>
        <v>13529.4569164718</v>
      </c>
      <c r="E62" s="40" t="n">
        <f aca="false">J61</f>
        <v>96.7311277733075</v>
      </c>
      <c r="F62" s="40" t="n">
        <f aca="false">D62+C62-E62</f>
        <v>13432.7257886985</v>
      </c>
      <c r="G62" s="41" t="n">
        <f aca="false">INDEX(QH_Z,M62)+N62*(INDEX(QH_Z,M62+1)-INDEX(QH_Z,M62))</f>
        <v>76.4547677335976</v>
      </c>
      <c r="H62" s="42" t="n">
        <f aca="false">INDEX(QH_qtc,M62)+N62*(INDEX(QH_qtc,M62+1)-INDEX(QH_qtc,M62))</f>
        <v>93.1070763510137</v>
      </c>
      <c r="I62" s="43" t="n">
        <f aca="false">IF($F$4=2,0,INDEX(QH_qsc,M62)+N62*(INDEX(QH_qsc,M62+1)-INDEX(QH_qsc,M62)))</f>
        <v>0</v>
      </c>
      <c r="J62" s="40" t="n">
        <f aca="false">H62+I62</f>
        <v>93.1070763510137</v>
      </c>
      <c r="K62" s="23" t="n">
        <f aca="false">INDEX(QH_V,M62)+N62*(INDEX(QH_V,M62+1)-INDEX(QH_V,M62))</f>
        <v>48.1902201018829</v>
      </c>
      <c r="L62" s="40" t="n">
        <f aca="false">K62*1000000/dt_s+J62/2</f>
        <v>13432.7257886985</v>
      </c>
      <c r="M62" s="44" t="n">
        <f aca="false">MATCH(F62,INDEX(QH_f,0,$F$4),1)</f>
        <v>55</v>
      </c>
      <c r="N62" s="45" t="n">
        <f aca="false">(F62-INDEX(QH_f,M62,$F$4))/(INDEX(QH_f,M62+1,$F$4)-INDEX(QH_f,M62,$F$4))</f>
        <v>0.547677335975941</v>
      </c>
    </row>
    <row r="63" customFormat="false" ht="15" hidden="false" customHeight="false" outlineLevel="0" collapsed="false">
      <c r="A63" s="14" t="n">
        <v>47</v>
      </c>
      <c r="B63" s="40" t="n">
        <f aca="false">IFERROR(INDEX(Lu_Q,MATCH(A63,Lu_t,0),$C$4),0)</f>
        <v>0</v>
      </c>
      <c r="C63" s="40" t="n">
        <f aca="false">(B62+B63)/2</f>
        <v>0</v>
      </c>
      <c r="D63" s="40" t="n">
        <f aca="false">L62</f>
        <v>13432.7257886985</v>
      </c>
      <c r="E63" s="40" t="n">
        <f aca="false">J62</f>
        <v>93.1070763510137</v>
      </c>
      <c r="F63" s="40" t="n">
        <f aca="false">D63+C63-E63</f>
        <v>13339.6187123475</v>
      </c>
      <c r="G63" s="41" t="n">
        <f aca="false">INDEX(QH_Z,M63)+N63*(INDEX(QH_Z,M63+1)-INDEX(QH_Z,M63))</f>
        <v>76.4086047509199</v>
      </c>
      <c r="H63" s="42" t="n">
        <f aca="false">INDEX(QH_qtc,M63)+N63*(INDEX(QH_qtc,M63+1)-INDEX(QH_qtc,M63))</f>
        <v>89.6213967480977</v>
      </c>
      <c r="I63" s="43" t="n">
        <f aca="false">IF($F$4=2,0,INDEX(QH_qsc,M63)+N63*(INDEX(QH_qsc,M63+1)-INDEX(QH_qsc,M63)))</f>
        <v>0</v>
      </c>
      <c r="J63" s="40" t="n">
        <f aca="false">H63+I63</f>
        <v>89.6213967480977</v>
      </c>
      <c r="K63" s="23" t="n">
        <f aca="false">INDEX(QH_V,M63)+N63*(INDEX(QH_V,M63+1)-INDEX(QH_V,M63))</f>
        <v>47.8613088503045</v>
      </c>
      <c r="L63" s="40" t="n">
        <f aca="false">K63*1000000/dt_s+J63/2</f>
        <v>13339.6187123475</v>
      </c>
      <c r="M63" s="44" t="n">
        <f aca="false">MATCH(F63,INDEX(QH_f,0,$F$4),1)</f>
        <v>55</v>
      </c>
      <c r="N63" s="45" t="n">
        <f aca="false">(F63-INDEX(QH_f,M63,$F$4))/(INDEX(QH_f,M63+1,$F$4)-INDEX(QH_f,M63,$F$4))</f>
        <v>0.0860475091992212</v>
      </c>
    </row>
    <row r="64" customFormat="false" ht="15" hidden="false" customHeight="false" outlineLevel="0" collapsed="false">
      <c r="A64" s="14" t="n">
        <v>48</v>
      </c>
      <c r="B64" s="40" t="n">
        <f aca="false">IFERROR(INDEX(Lu_Q,MATCH(A64,Lu_t,0),$C$4),0)</f>
        <v>0</v>
      </c>
      <c r="C64" s="40" t="n">
        <f aca="false">(B63+B64)/2</f>
        <v>0</v>
      </c>
      <c r="D64" s="40" t="n">
        <f aca="false">L63</f>
        <v>13339.6187123475</v>
      </c>
      <c r="E64" s="40" t="n">
        <f aca="false">J63</f>
        <v>89.6213967480977</v>
      </c>
      <c r="F64" s="40" t="n">
        <f aca="false">D64+C64-E64</f>
        <v>13249.9973155994</v>
      </c>
      <c r="G64" s="41" t="n">
        <f aca="false">INDEX(QH_Z,M64)+N64*(INDEX(QH_Z,M64+1)-INDEX(QH_Z,M64))</f>
        <v>76.3639067766139</v>
      </c>
      <c r="H64" s="42" t="n">
        <f aca="false">INDEX(QH_qtc,M64)+N64*(INDEX(QH_qtc,M64+1)-INDEX(QH_qtc,M64))</f>
        <v>86.3054953415178</v>
      </c>
      <c r="I64" s="43" t="n">
        <f aca="false">IF($F$4=2,0,INDEX(QH_qsc,M64)+N64*(INDEX(QH_qsc,M64+1)-INDEX(QH_qsc,M64)))</f>
        <v>0</v>
      </c>
      <c r="J64" s="40" t="n">
        <f aca="false">H64+I64</f>
        <v>86.3054953415178</v>
      </c>
      <c r="K64" s="23" t="n">
        <f aca="false">INDEX(QH_V,M64)+N64*(INDEX(QH_V,M64+1)-INDEX(QH_V,M64))</f>
        <v>47.5446404445432</v>
      </c>
      <c r="L64" s="40" t="n">
        <f aca="false">K64*1000000/dt_s+J64/2</f>
        <v>13249.9973155994</v>
      </c>
      <c r="M64" s="44" t="n">
        <f aca="false">MATCH(F64,INDEX(QH_f,0,$F$4),1)</f>
        <v>54</v>
      </c>
      <c r="N64" s="45" t="n">
        <f aca="false">(F64-INDEX(QH_f,M64,$F$4))/(INDEX(QH_f,M64+1,$F$4)-INDEX(QH_f,M64,$F$4))</f>
        <v>0.639067766138742</v>
      </c>
    </row>
  </sheetData>
  <mergeCells count="12">
    <mergeCell ref="A3:B3"/>
    <mergeCell ref="D3:E3"/>
    <mergeCell ref="F3:G3"/>
    <mergeCell ref="A4:B4"/>
    <mergeCell ref="D4:E4"/>
    <mergeCell ref="A6:E6"/>
    <mergeCell ref="A7:E7"/>
    <mergeCell ref="A8:E8"/>
    <mergeCell ref="A9:E9"/>
    <mergeCell ref="A10:E10"/>
    <mergeCell ref="A11:E11"/>
    <mergeCell ref="A12:E12"/>
  </mergeCells>
  <conditionalFormatting sqref="A16:N64">
    <cfRule type="expression" priority="2" aboveAverage="0" equalAverage="0" bottom="0" percent="0" rank="0" text="" dxfId="0">
      <formula>$G16=MAX($G$16:$G$64)</formula>
    </cfRule>
  </conditionalFormatting>
  <dataValidations count="2">
    <dataValidation allowBlank="false" errorStyle="stop" operator="between" showDropDown="false" showErrorMessage="false" showInputMessage="false" sqref="C3" type="list">
      <formula1>"1,0.2"</formula1>
      <formula2>0</formula2>
    </dataValidation>
    <dataValidation allowBlank="false" errorStyle="stop" operator="between" showDropDown="false" showErrorMessage="false" showInputMessage="false" sqref="F3" type="list">
      <formula1>"Hai tràn,Kẹt van"</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N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5" topLeftCell="B16" activePane="bottomRight" state="frozen"/>
      <selection pane="topLeft" activeCell="A1" activeCellId="0" sqref="A1"/>
      <selection pane="topRight" activeCell="B1" activeCellId="0" sqref="B1"/>
      <selection pane="bottomLeft" activeCell="A16" activeCellId="0" sqref="A1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11"/>
    <col collapsed="false" customWidth="true" hidden="false" outlineLevel="0" max="4" min="4" style="0" width="12"/>
    <col collapsed="false" customWidth="true" hidden="false" outlineLevel="0" max="5" min="5" style="0" width="11"/>
    <col collapsed="false" customWidth="true" hidden="false" outlineLevel="0" max="10" min="6" style="0" width="12"/>
    <col collapsed="false" customWidth="true" hidden="false" outlineLevel="0" max="11" min="11" style="0" width="11"/>
    <col collapsed="false" customWidth="true" hidden="false" outlineLevel="0" max="12" min="12" style="0" width="12"/>
    <col collapsed="false" customWidth="true" hidden="false" outlineLevel="0" max="14" min="13" style="0" width="10"/>
  </cols>
  <sheetData>
    <row r="1" customFormat="false" ht="17.35" hidden="false" customHeight="false" outlineLevel="0" collapsed="false">
      <c r="A1" s="6" t="s">
        <v>98</v>
      </c>
    </row>
    <row r="3" customFormat="false" ht="15" hidden="false" customHeight="false" outlineLevel="0" collapsed="false">
      <c r="A3" s="10" t="s">
        <v>99</v>
      </c>
      <c r="B3" s="10"/>
      <c r="C3" s="33" t="n">
        <v>0.2</v>
      </c>
      <c r="D3" s="10" t="s">
        <v>100</v>
      </c>
      <c r="E3" s="10"/>
      <c r="F3" s="34" t="s">
        <v>101</v>
      </c>
      <c r="G3" s="34"/>
      <c r="H3" s="7" t="s">
        <v>102</v>
      </c>
    </row>
    <row r="4" customFormat="false" ht="15" hidden="false" customHeight="false" outlineLevel="0" collapsed="false">
      <c r="A4" s="13" t="s">
        <v>103</v>
      </c>
      <c r="B4" s="13"/>
      <c r="C4" s="35" t="n">
        <f aca="false">MATCH(C3,Lu_P,0)</f>
        <v>2</v>
      </c>
      <c r="D4" s="13" t="s">
        <v>104</v>
      </c>
      <c r="E4" s="13"/>
      <c r="F4" s="35" t="n">
        <f aca="false">IF(F3="Kẹt van",2,1)</f>
        <v>1</v>
      </c>
    </row>
    <row r="5" customFormat="false" ht="15" hidden="false" customHeight="false" outlineLevel="0" collapsed="false">
      <c r="H5" s="7" t="s">
        <v>105</v>
      </c>
    </row>
    <row r="6" customFormat="false" ht="15" hidden="false" customHeight="false" outlineLevel="0" collapsed="false">
      <c r="A6" s="10" t="s">
        <v>106</v>
      </c>
      <c r="B6" s="10"/>
      <c r="C6" s="10"/>
      <c r="D6" s="10"/>
      <c r="E6" s="10"/>
      <c r="F6" s="21" t="n">
        <f aca="false">MAX(G16:G64)</f>
        <v>78.5143600647203</v>
      </c>
      <c r="H6" s="7" t="s">
        <v>107</v>
      </c>
    </row>
    <row r="7" customFormat="false" ht="15" hidden="false" customHeight="false" outlineLevel="0" collapsed="false">
      <c r="A7" s="10" t="s">
        <v>108</v>
      </c>
      <c r="B7" s="10"/>
      <c r="C7" s="10"/>
      <c r="D7" s="10"/>
      <c r="E7" s="10"/>
      <c r="F7" s="36" t="n">
        <f aca="false">INDEX(A16:A64,MATCH(MAX(G16:G64),G16:G64,0))</f>
        <v>15</v>
      </c>
    </row>
    <row r="8" customFormat="false" ht="15" hidden="false" customHeight="false" outlineLevel="0" collapsed="false">
      <c r="A8" s="10" t="s">
        <v>109</v>
      </c>
      <c r="B8" s="10"/>
      <c r="C8" s="10"/>
      <c r="D8" s="10"/>
      <c r="E8" s="10"/>
      <c r="F8" s="37" t="n">
        <f aca="false">MAX(J16:J64)</f>
        <v>434.126507161346</v>
      </c>
    </row>
    <row r="9" customFormat="false" ht="15" hidden="false" customHeight="false" outlineLevel="0" collapsed="false">
      <c r="A9" s="10" t="s">
        <v>110</v>
      </c>
      <c r="B9" s="10"/>
      <c r="C9" s="10"/>
      <c r="D9" s="10"/>
      <c r="E9" s="10"/>
      <c r="F9" s="37" t="n">
        <f aca="false">INDEX(H16:H64,MATCH(MAX(G16:G64),G16:G64,0))</f>
        <v>272.02921202443</v>
      </c>
      <c r="G9" s="37" t="n">
        <f aca="false">INDEX(I16:I64,MATCH(MAX(G16:G64),G16:G64,0))</f>
        <v>162.097295136917</v>
      </c>
    </row>
    <row r="10" customFormat="false" ht="15" hidden="false" customHeight="false" outlineLevel="0" collapsed="false">
      <c r="A10" s="10" t="s">
        <v>111</v>
      </c>
      <c r="B10" s="10"/>
      <c r="C10" s="10"/>
      <c r="D10" s="10"/>
      <c r="E10" s="10"/>
      <c r="F10" s="21" t="n">
        <f aca="false">F6-TC_Z</f>
        <v>3.81436006472029</v>
      </c>
      <c r="G10" s="21" t="n">
        <f aca="false">F6-SC_Z</f>
        <v>7.51436006472029</v>
      </c>
    </row>
    <row r="11" customFormat="false" ht="15" hidden="false" customHeight="false" outlineLevel="0" collapsed="false">
      <c r="A11" s="10" t="s">
        <v>112</v>
      </c>
      <c r="B11" s="10"/>
      <c r="C11" s="10"/>
      <c r="D11" s="10"/>
      <c r="E11" s="10"/>
      <c r="F11" s="38" t="n">
        <f aca="false">INDEX(K16:K64,MATCH(MAX(G16:G64),G16:G64,0))-K16</f>
        <v>27.5309950904475</v>
      </c>
    </row>
    <row r="12" customFormat="false" ht="15" hidden="false" customHeight="false" outlineLevel="0" collapsed="false">
      <c r="A12" s="10" t="s">
        <v>113</v>
      </c>
      <c r="B12" s="10"/>
      <c r="C12" s="10"/>
      <c r="D12" s="10"/>
      <c r="E12" s="10"/>
      <c r="F12" s="39" t="n">
        <f aca="false">SUMPRODUCT((B16:B63+B17:B64)/2)*dt_s/1000000-SUMPRODUCT((J16:J63+J17:J64)/2)*dt_s/1000000-(K64-K16)</f>
        <v>0</v>
      </c>
    </row>
    <row r="15" customFormat="false" ht="45" hidden="false" customHeight="true" outlineLevel="0" collapsed="false">
      <c r="A15" s="9" t="s">
        <v>72</v>
      </c>
      <c r="B15" s="9" t="s">
        <v>114</v>
      </c>
      <c r="C15" s="9" t="s">
        <v>115</v>
      </c>
      <c r="D15" s="9" t="s">
        <v>116</v>
      </c>
      <c r="E15" s="9" t="s">
        <v>117</v>
      </c>
      <c r="F15" s="9" t="s">
        <v>118</v>
      </c>
      <c r="G15" s="9" t="s">
        <v>119</v>
      </c>
      <c r="H15" s="9" t="s">
        <v>90</v>
      </c>
      <c r="I15" s="9" t="s">
        <v>93</v>
      </c>
      <c r="J15" s="9" t="s">
        <v>120</v>
      </c>
      <c r="K15" s="9" t="s">
        <v>121</v>
      </c>
      <c r="L15" s="9" t="s">
        <v>122</v>
      </c>
      <c r="M15" s="9" t="s">
        <v>123</v>
      </c>
      <c r="N15" s="9" t="s">
        <v>124</v>
      </c>
    </row>
    <row r="16" customFormat="false" ht="15" hidden="false" customHeight="false" outlineLevel="0" collapsed="false">
      <c r="A16" s="14" t="n">
        <v>0</v>
      </c>
      <c r="B16" s="40" t="n">
        <f aca="false">IFERROR(INDEX(Lu_Q,MATCH(A16,Lu_t,0),$C$4),0)</f>
        <v>4</v>
      </c>
      <c r="C16" s="40"/>
      <c r="D16" s="40"/>
      <c r="E16" s="40"/>
      <c r="F16" s="40"/>
      <c r="G16" s="41" t="n">
        <f aca="false">Z0</f>
        <v>74.7</v>
      </c>
      <c r="H16" s="42" t="n">
        <f aca="false">INDEX(QH_qtc,M16)+N16*(INDEX(QH_qtc,M16+1)-INDEX(QH_qtc,M16))</f>
        <v>0</v>
      </c>
      <c r="I16" s="43" t="n">
        <f aca="false">IF($F$4=2,0,INDEX(QH_qsc,M16)+N16*(INDEX(QH_qsc,M16+1)-INDEX(QH_qsc,M16)))</f>
        <v>63.5823321712985</v>
      </c>
      <c r="J16" s="40" t="n">
        <f aca="false">H16+I16</f>
        <v>63.5823321712985</v>
      </c>
      <c r="K16" s="23" t="n">
        <f aca="false">INDEX(QH_V,M16)+N16*(INDEX(QH_V,M16+1)-INDEX(QH_V,M16))</f>
        <v>36.4117</v>
      </c>
      <c r="L16" s="40" t="n">
        <f aca="false">K16*1000000/dt_s+J16/2</f>
        <v>10146.1522771968</v>
      </c>
      <c r="M16" s="44" t="n">
        <f aca="false">MATCH(G16,QH_Z,1)</f>
        <v>38</v>
      </c>
      <c r="N16" s="45" t="n">
        <f aca="false">(G16-INDEX(QH_Z,M16))/(INDEX(QH_Z,M16+1)-INDEX(QH_Z,M16))</f>
        <v>0</v>
      </c>
    </row>
    <row r="17" customFormat="false" ht="15" hidden="false" customHeight="false" outlineLevel="0" collapsed="false">
      <c r="A17" s="14" t="n">
        <v>1</v>
      </c>
      <c r="B17" s="40" t="n">
        <f aca="false">IFERROR(INDEX(Lu_Q,MATCH(A17,Lu_t,0),$C$4),0)</f>
        <v>4</v>
      </c>
      <c r="C17" s="40" t="n">
        <f aca="false">(B16+B17)/2</f>
        <v>4</v>
      </c>
      <c r="D17" s="40" t="n">
        <f aca="false">L16</f>
        <v>10146.1522771968</v>
      </c>
      <c r="E17" s="40" t="n">
        <f aca="false">J16</f>
        <v>63.5823321712985</v>
      </c>
      <c r="F17" s="40" t="n">
        <f aca="false">D17+C17-E17</f>
        <v>10086.5699450255</v>
      </c>
      <c r="G17" s="41" t="n">
        <f aca="false">INDEX(QH_Z,M17)+N17*(INDEX(QH_Z,M17+1)-INDEX(QH_Z,M17))</f>
        <v>74.6657990598171</v>
      </c>
      <c r="H17" s="42" t="n">
        <f aca="false">INDEX(QH_qtc,M17)+N17*(INDEX(QH_qtc,M17+1)-INDEX(QH_qtc,M17))</f>
        <v>0</v>
      </c>
      <c r="I17" s="43" t="n">
        <f aca="false">IF($F$4=2,0,INDEX(QH_qsc,M17)+N17*(INDEX(QH_qsc,M17+1)-INDEX(QH_qsc,M17)))</f>
        <v>62.77192138389</v>
      </c>
      <c r="J17" s="40" t="n">
        <f aca="false">H17+I17</f>
        <v>62.77192138389</v>
      </c>
      <c r="K17" s="23" t="n">
        <f aca="false">INDEX(QH_V,M17)+N17*(INDEX(QH_V,M17+1)-INDEX(QH_V,M17))</f>
        <v>36.1986623436007</v>
      </c>
      <c r="L17" s="40" t="n">
        <f aca="false">K17*1000000/dt_s+J17/2</f>
        <v>10086.5699450255</v>
      </c>
      <c r="M17" s="44" t="n">
        <f aca="false">MATCH(F17,INDEX(QH_f,0,$F$4),1)</f>
        <v>37</v>
      </c>
      <c r="N17" s="45" t="n">
        <f aca="false">(F17-INDEX(QH_f,M17,$F$4))/(INDEX(QH_f,M17+1,$F$4)-INDEX(QH_f,M17,$F$4))</f>
        <v>0.657990598170943</v>
      </c>
    </row>
    <row r="18" customFormat="false" ht="15" hidden="false" customHeight="false" outlineLevel="0" collapsed="false">
      <c r="A18" s="14" t="n">
        <v>2</v>
      </c>
      <c r="B18" s="40" t="n">
        <f aca="false">IFERROR(INDEX(Lu_Q,MATCH(A18,Lu_t,0),$C$4),0)</f>
        <v>84</v>
      </c>
      <c r="C18" s="40" t="n">
        <f aca="false">(B17+B18)/2</f>
        <v>44</v>
      </c>
      <c r="D18" s="40" t="n">
        <f aca="false">L17</f>
        <v>10086.5699450255</v>
      </c>
      <c r="E18" s="40" t="n">
        <f aca="false">J17</f>
        <v>62.77192138389</v>
      </c>
      <c r="F18" s="40" t="n">
        <f aca="false">D18+C18-E18</f>
        <v>10067.7980236416</v>
      </c>
      <c r="G18" s="41" t="n">
        <f aca="false">INDEX(QH_Z,M18)+N18*(INDEX(QH_Z,M18+1)-INDEX(QH_Z,M18))</f>
        <v>74.6550237622251</v>
      </c>
      <c r="H18" s="42" t="n">
        <f aca="false">INDEX(QH_qtc,M18)+N18*(INDEX(QH_qtc,M18+1)-INDEX(QH_qtc,M18))</f>
        <v>0</v>
      </c>
      <c r="I18" s="43" t="n">
        <f aca="false">IF($F$4=2,0,INDEX(QH_qsc,M18)+N18*(INDEX(QH_qsc,M18+1)-INDEX(QH_qsc,M18)))</f>
        <v>62.5165945607279</v>
      </c>
      <c r="J18" s="40" t="n">
        <f aca="false">H18+I18</f>
        <v>62.5165945607279</v>
      </c>
      <c r="K18" s="23" t="n">
        <f aca="false">INDEX(QH_V,M18)+N18*(INDEX(QH_V,M18+1)-INDEX(QH_V,M18))</f>
        <v>36.1315430149004</v>
      </c>
      <c r="L18" s="40" t="n">
        <f aca="false">K18*1000000/dt_s+J18/2</f>
        <v>10067.7980236416</v>
      </c>
      <c r="M18" s="44" t="n">
        <f aca="false">MATCH(F18,INDEX(QH_f,0,$F$4),1)</f>
        <v>37</v>
      </c>
      <c r="N18" s="45" t="n">
        <f aca="false">(F18-INDEX(QH_f,M18,$F$4))/(INDEX(QH_f,M18+1,$F$4)-INDEX(QH_f,M18,$F$4))</f>
        <v>0.550237622251373</v>
      </c>
    </row>
    <row r="19" customFormat="false" ht="15" hidden="false" customHeight="false" outlineLevel="0" collapsed="false">
      <c r="A19" s="14" t="n">
        <v>3</v>
      </c>
      <c r="B19" s="40" t="n">
        <f aca="false">IFERROR(INDEX(Lu_Q,MATCH(A19,Lu_t,0),$C$4),0)</f>
        <v>324</v>
      </c>
      <c r="C19" s="40" t="n">
        <f aca="false">(B18+B19)/2</f>
        <v>204</v>
      </c>
      <c r="D19" s="40" t="n">
        <f aca="false">L18</f>
        <v>10067.7980236416</v>
      </c>
      <c r="E19" s="40" t="n">
        <f aca="false">J18</f>
        <v>62.5165945607279</v>
      </c>
      <c r="F19" s="40" t="n">
        <f aca="false">D19+C19-E19</f>
        <v>10209.2814290809</v>
      </c>
      <c r="G19" s="41" t="n">
        <f aca="false">INDEX(QH_Z,M19)+N19*(INDEX(QH_Z,M19+1)-INDEX(QH_Z,M19))</f>
        <v>74.7357200112288</v>
      </c>
      <c r="H19" s="42" t="n">
        <f aca="false">INDEX(QH_qtc,M19)+N19*(INDEX(QH_qtc,M19+1)-INDEX(QH_qtc,M19))</f>
        <v>0.484389551143968</v>
      </c>
      <c r="I19" s="43" t="n">
        <f aca="false">IF($F$4=2,0,INDEX(QH_qsc,M19)+N19*(INDEX(QH_qsc,M19+1)-INDEX(QH_qsc,M19)))</f>
        <v>64.4354293409576</v>
      </c>
      <c r="J19" s="40" t="n">
        <f aca="false">H19+I19</f>
        <v>64.9198188921016</v>
      </c>
      <c r="K19" s="23" t="n">
        <f aca="false">INDEX(QH_V,M19)+N19*(INDEX(QH_V,M19+1)-INDEX(QH_V,M19))</f>
        <v>36.6365574706853</v>
      </c>
      <c r="L19" s="40" t="n">
        <f aca="false">K19*1000000/dt_s+J19/2</f>
        <v>10209.2814290809</v>
      </c>
      <c r="M19" s="44" t="n">
        <f aca="false">MATCH(F19,INDEX(QH_f,0,$F$4),1)</f>
        <v>38</v>
      </c>
      <c r="N19" s="45" t="n">
        <f aca="false">(F19-INDEX(QH_f,M19,$F$4))/(INDEX(QH_f,M19+1,$F$4)-INDEX(QH_f,M19,$F$4))</f>
        <v>0.357200112287968</v>
      </c>
    </row>
    <row r="20" customFormat="false" ht="15" hidden="false" customHeight="false" outlineLevel="0" collapsed="false">
      <c r="A20" s="14" t="n">
        <v>4</v>
      </c>
      <c r="B20" s="40" t="n">
        <f aca="false">IFERROR(INDEX(Lu_Q,MATCH(A20,Lu_t,0),$C$4),0)</f>
        <v>652</v>
      </c>
      <c r="C20" s="40" t="n">
        <f aca="false">(B19+B20)/2</f>
        <v>488</v>
      </c>
      <c r="D20" s="40" t="n">
        <f aca="false">L19</f>
        <v>10209.2814290809</v>
      </c>
      <c r="E20" s="40" t="n">
        <f aca="false">J19</f>
        <v>64.9198188921016</v>
      </c>
      <c r="F20" s="40" t="n">
        <f aca="false">D20+C20-E20</f>
        <v>10632.3616101888</v>
      </c>
      <c r="G20" s="41" t="n">
        <f aca="false">INDEX(QH_Z,M20)+N20*(INDEX(QH_Z,M20+1)-INDEX(QH_Z,M20))</f>
        <v>74.9718857522888</v>
      </c>
      <c r="H20" s="42" t="n">
        <f aca="false">INDEX(QH_qtc,M20)+N20*(INDEX(QH_qtc,M20+1)-INDEX(QH_qtc,M20))</f>
        <v>6.09886212956627</v>
      </c>
      <c r="I20" s="43" t="n">
        <f aca="false">IF($F$4=2,0,INDEX(QH_qsc,M20)+N20*(INDEX(QH_qsc,M20+1)-INDEX(QH_qsc,M20)))</f>
        <v>70.1189527144844</v>
      </c>
      <c r="J20" s="40" t="n">
        <f aca="false">H20+I20</f>
        <v>76.2178148440506</v>
      </c>
      <c r="K20" s="23" t="n">
        <f aca="false">INDEX(QH_V,M20)+N20*(INDEX(QH_V,M20+1)-INDEX(QH_V,M20))</f>
        <v>38.1393097299602</v>
      </c>
      <c r="L20" s="40" t="n">
        <f aca="false">K20*1000000/dt_s+J20/2</f>
        <v>10632.3616101888</v>
      </c>
      <c r="M20" s="44" t="n">
        <f aca="false">MATCH(F20,INDEX(QH_f,0,$F$4),1)</f>
        <v>40</v>
      </c>
      <c r="N20" s="45" t="n">
        <f aca="false">(F20-INDEX(QH_f,M20,$F$4))/(INDEX(QH_f,M20+1,$F$4)-INDEX(QH_f,M20,$F$4))</f>
        <v>0.718857522888122</v>
      </c>
    </row>
    <row r="21" customFormat="false" ht="15" hidden="false" customHeight="false" outlineLevel="0" collapsed="false">
      <c r="A21" s="14" t="n">
        <v>5</v>
      </c>
      <c r="B21" s="40" t="n">
        <f aca="false">IFERROR(INDEX(Lu_Q,MATCH(A21,Lu_t,0),$C$4),0)</f>
        <v>950</v>
      </c>
      <c r="C21" s="40" t="n">
        <f aca="false">(B20+B21)/2</f>
        <v>801</v>
      </c>
      <c r="D21" s="40" t="n">
        <f aca="false">L20</f>
        <v>10632.3616101888</v>
      </c>
      <c r="E21" s="40" t="n">
        <f aca="false">J20</f>
        <v>76.2178148440506</v>
      </c>
      <c r="F21" s="40" t="n">
        <f aca="false">D21+C21-E21</f>
        <v>11357.1437953447</v>
      </c>
      <c r="G21" s="41" t="n">
        <f aca="false">INDEX(QH_Z,M21)+N21*(INDEX(QH_Z,M21+1)-INDEX(QH_Z,M21))</f>
        <v>75.3640243851251</v>
      </c>
      <c r="H21" s="42" t="n">
        <f aca="false">INDEX(QH_qtc,M21)+N21*(INDEX(QH_qtc,M21+1)-INDEX(QH_qtc,M21))</f>
        <v>22.720634879754</v>
      </c>
      <c r="I21" s="43" t="n">
        <f aca="false">IF($F$4=2,0,INDEX(QH_qsc,M21)+N21*(INDEX(QH_qsc,M21+1)-INDEX(QH_qsc,M21)))</f>
        <v>79.7573540222799</v>
      </c>
      <c r="J21" s="40" t="n">
        <f aca="false">H21+I21</f>
        <v>102.477988902034</v>
      </c>
      <c r="K21" s="23" t="n">
        <f aca="false">INDEX(QH_V,M21)+N21*(INDEX(QH_V,M21+1)-INDEX(QH_V,M21))</f>
        <v>40.7012572832173</v>
      </c>
      <c r="L21" s="40" t="n">
        <f aca="false">K21*1000000/dt_s+J21/2</f>
        <v>11357.1437953447</v>
      </c>
      <c r="M21" s="44" t="n">
        <f aca="false">MATCH(F21,INDEX(QH_f,0,$F$4),1)</f>
        <v>44</v>
      </c>
      <c r="N21" s="45" t="n">
        <f aca="false">(F21-INDEX(QH_f,M21,$F$4))/(INDEX(QH_f,M21+1,$F$4)-INDEX(QH_f,M21,$F$4))</f>
        <v>0.640243851250732</v>
      </c>
    </row>
    <row r="22" customFormat="false" ht="15" hidden="false" customHeight="false" outlineLevel="0" collapsed="false">
      <c r="A22" s="14" t="n">
        <v>6</v>
      </c>
      <c r="B22" s="40" t="n">
        <f aca="false">IFERROR(INDEX(Lu_Q,MATCH(A22,Lu_t,0),$C$4),0)</f>
        <v>1150</v>
      </c>
      <c r="C22" s="40" t="n">
        <f aca="false">(B21+B22)/2</f>
        <v>1050</v>
      </c>
      <c r="D22" s="40" t="n">
        <f aca="false">L21</f>
        <v>11357.1437953447</v>
      </c>
      <c r="E22" s="40" t="n">
        <f aca="false">J21</f>
        <v>102.477988902034</v>
      </c>
      <c r="F22" s="40" t="n">
        <f aca="false">D22+C22-E22</f>
        <v>12304.6658064427</v>
      </c>
      <c r="G22" s="41" t="n">
        <f aca="false">INDEX(QH_Z,M22)+N22*(INDEX(QH_Z,M22+1)-INDEX(QH_Z,M22))</f>
        <v>75.8599294426409</v>
      </c>
      <c r="H22" s="42" t="n">
        <f aca="false">INDEX(QH_qtc,M22)+N22*(INDEX(QH_qtc,M22+1)-INDEX(QH_qtc,M22))</f>
        <v>51.3291298603837</v>
      </c>
      <c r="I22" s="43" t="n">
        <f aca="false">IF($F$4=2,0,INDEX(QH_qsc,M22)+N22*(INDEX(QH_qsc,M22+1)-INDEX(QH_qsc,M22)))</f>
        <v>92.2481435762473</v>
      </c>
      <c r="J22" s="40" t="n">
        <f aca="false">H22+I22</f>
        <v>143.577273436631</v>
      </c>
      <c r="K22" s="23" t="n">
        <f aca="false">INDEX(QH_V,M22)+N22*(INDEX(QH_V,M22+1)-INDEX(QH_V,M22))</f>
        <v>44.0383578110077</v>
      </c>
      <c r="L22" s="40" t="n">
        <f aca="false">K22*1000000/dt_s+J22/2</f>
        <v>12304.6658064427</v>
      </c>
      <c r="M22" s="44" t="n">
        <f aca="false">MATCH(F22,INDEX(QH_f,0,$F$4),1)</f>
        <v>49</v>
      </c>
      <c r="N22" s="45" t="n">
        <f aca="false">(F22-INDEX(QH_f,M22,$F$4))/(INDEX(QH_f,M22+1,$F$4)-INDEX(QH_f,M22,$F$4))</f>
        <v>0.599294426408604</v>
      </c>
    </row>
    <row r="23" customFormat="false" ht="15" hidden="false" customHeight="false" outlineLevel="0" collapsed="false">
      <c r="A23" s="14" t="n">
        <v>7</v>
      </c>
      <c r="B23" s="40" t="n">
        <f aca="false">IFERROR(INDEX(Lu_Q,MATCH(A23,Lu_t,0),$C$4),0)</f>
        <v>1239</v>
      </c>
      <c r="C23" s="40" t="n">
        <f aca="false">(B22+B23)/2</f>
        <v>1194.5</v>
      </c>
      <c r="D23" s="40" t="n">
        <f aca="false">L22</f>
        <v>12304.6658064427</v>
      </c>
      <c r="E23" s="40" t="n">
        <f aca="false">J22</f>
        <v>143.577273436631</v>
      </c>
      <c r="F23" s="40" t="n">
        <f aca="false">D23+C23-E23</f>
        <v>13355.588533006</v>
      </c>
      <c r="G23" s="41" t="n">
        <f aca="false">INDEX(QH_Z,M23)+N23*(INDEX(QH_Z,M23+1)-INDEX(QH_Z,M23))</f>
        <v>76.3901988833981</v>
      </c>
      <c r="H23" s="42" t="n">
        <f aca="false">INDEX(QH_qtc,M23)+N23*(INDEX(QH_qtc,M23+1)-INDEX(QH_qtc,M23))</f>
        <v>88.2476688743597</v>
      </c>
      <c r="I23" s="43" t="n">
        <f aca="false">IF($F$4=2,0,INDEX(QH_qsc,M23)+N23*(INDEX(QH_qsc,M23+1)-INDEX(QH_qsc,M23)))</f>
        <v>105.897674892578</v>
      </c>
      <c r="J23" s="40" t="n">
        <f aca="false">H23+I23</f>
        <v>194.145343766937</v>
      </c>
      <c r="K23" s="23" t="n">
        <f aca="false">INDEX(QH_V,M23)+N23*(INDEX(QH_V,M23+1)-INDEX(QH_V,M23))</f>
        <v>47.7306571000412</v>
      </c>
      <c r="L23" s="40" t="n">
        <f aca="false">K23*1000000/dt_s+J23/2</f>
        <v>13355.588533006</v>
      </c>
      <c r="M23" s="44" t="n">
        <f aca="false">MATCH(F23,INDEX(QH_f,0,$F$4),1)</f>
        <v>54</v>
      </c>
      <c r="N23" s="45" t="n">
        <f aca="false">(F23-INDEX(QH_f,M23,$F$4))/(INDEX(QH_f,M23+1,$F$4)-INDEX(QH_f,M23,$F$4))</f>
        <v>0.901988833980489</v>
      </c>
    </row>
    <row r="24" customFormat="false" ht="15" hidden="false" customHeight="false" outlineLevel="0" collapsed="false">
      <c r="A24" s="14" t="n">
        <v>8</v>
      </c>
      <c r="B24" s="40" t="n">
        <f aca="false">IFERROR(INDEX(Lu_Q,MATCH(A24,Lu_t,0),$C$4),0)</f>
        <v>1236</v>
      </c>
      <c r="C24" s="40" t="n">
        <f aca="false">(B23+B24)/2</f>
        <v>1237.5</v>
      </c>
      <c r="D24" s="40" t="n">
        <f aca="false">L23</f>
        <v>13355.588533006</v>
      </c>
      <c r="E24" s="40" t="n">
        <f aca="false">J23</f>
        <v>194.145343766937</v>
      </c>
      <c r="F24" s="40" t="n">
        <f aca="false">D24+C24-E24</f>
        <v>14398.9431892391</v>
      </c>
      <c r="G24" s="41" t="n">
        <f aca="false">INDEX(QH_Z,M24)+N24*(INDEX(QH_Z,M24+1)-INDEX(QH_Z,M24))</f>
        <v>76.8971196588953</v>
      </c>
      <c r="H24" s="42" t="n">
        <f aca="false">INDEX(QH_qtc,M24)+N24*(INDEX(QH_qtc,M24+1)-INDEX(QH_qtc,M24))</f>
        <v>127.951577064191</v>
      </c>
      <c r="I24" s="43" t="n">
        <f aca="false">IF($F$4=2,0,INDEX(QH_qsc,M24)+N24*(INDEX(QH_qsc,M24+1)-INDEX(QH_qsc,M24)))</f>
        <v>119.156189520636</v>
      </c>
      <c r="J24" s="40" t="n">
        <f aca="false">H24+I24</f>
        <v>247.107766584827</v>
      </c>
      <c r="K24" s="23" t="n">
        <f aca="false">INDEX(QH_V,M24)+N24*(INDEX(QH_V,M24+1)-INDEX(QH_V,M24))</f>
        <v>51.3914015014081</v>
      </c>
      <c r="L24" s="40" t="n">
        <f aca="false">K24*1000000/dt_s+J24/2</f>
        <v>14398.9431892391</v>
      </c>
      <c r="M24" s="44" t="n">
        <f aca="false">MATCH(F24,INDEX(QH_f,0,$F$4),1)</f>
        <v>59</v>
      </c>
      <c r="N24" s="45" t="n">
        <f aca="false">(F24-INDEX(QH_f,M24,$F$4))/(INDEX(QH_f,M24+1,$F$4)-INDEX(QH_f,M24,$F$4))</f>
        <v>0.971196588952915</v>
      </c>
    </row>
    <row r="25" customFormat="false" ht="15" hidden="false" customHeight="false" outlineLevel="0" collapsed="false">
      <c r="A25" s="14" t="n">
        <v>9</v>
      </c>
      <c r="B25" s="40" t="n">
        <f aca="false">IFERROR(INDEX(Lu_Q,MATCH(A25,Lu_t,0),$C$4),0)</f>
        <v>1168</v>
      </c>
      <c r="C25" s="40" t="n">
        <f aca="false">(B24+B25)/2</f>
        <v>1202</v>
      </c>
      <c r="D25" s="40" t="n">
        <f aca="false">L24</f>
        <v>14398.9431892391</v>
      </c>
      <c r="E25" s="40" t="n">
        <f aca="false">J24</f>
        <v>247.107766584827</v>
      </c>
      <c r="F25" s="40" t="n">
        <f aca="false">D25+C25-E25</f>
        <v>15353.8354226543</v>
      </c>
      <c r="G25" s="41" t="n">
        <f aca="false">INDEX(QH_Z,M25)+N25*(INDEX(QH_Z,M25+1)-INDEX(QH_Z,M25))</f>
        <v>77.3457404625878</v>
      </c>
      <c r="H25" s="42" t="n">
        <f aca="false">INDEX(QH_qtc,M25)+N25*(INDEX(QH_qtc,M25+1)-INDEX(QH_qtc,M25))</f>
        <v>165.777392047068</v>
      </c>
      <c r="I25" s="43" t="n">
        <f aca="false">IF($F$4=2,0,INDEX(QH_qsc,M25)+N25*(INDEX(QH_qsc,M25+1)-INDEX(QH_qsc,M25)))</f>
        <v>131.007844527209</v>
      </c>
      <c r="J25" s="40" t="n">
        <f aca="false">H25+I25</f>
        <v>296.785236574277</v>
      </c>
      <c r="K25" s="23" t="n">
        <f aca="false">INDEX(QH_V,M25)+N25*(INDEX(QH_V,M25+1)-INDEX(QH_V,M25))</f>
        <v>54.7395940957217</v>
      </c>
      <c r="L25" s="40" t="n">
        <f aca="false">K25*1000000/dt_s+J25/2</f>
        <v>15353.8354226543</v>
      </c>
      <c r="M25" s="44" t="n">
        <f aca="false">MATCH(F25,INDEX(QH_f,0,$F$4),1)</f>
        <v>64</v>
      </c>
      <c r="N25" s="45" t="n">
        <f aca="false">(F25-INDEX(QH_f,M25,$F$4))/(INDEX(QH_f,M25+1,$F$4)-INDEX(QH_f,M25,$F$4))</f>
        <v>0.457404625878028</v>
      </c>
    </row>
    <row r="26" customFormat="false" ht="15" hidden="false" customHeight="false" outlineLevel="0" collapsed="false">
      <c r="A26" s="14" t="n">
        <v>10</v>
      </c>
      <c r="B26" s="40" t="n">
        <f aca="false">IFERROR(INDEX(Lu_Q,MATCH(A26,Lu_t,0),$C$4),0)</f>
        <v>1062</v>
      </c>
      <c r="C26" s="40" t="n">
        <f aca="false">(B25+B26)/2</f>
        <v>1115</v>
      </c>
      <c r="D26" s="40" t="n">
        <f aca="false">L25</f>
        <v>15353.8354226543</v>
      </c>
      <c r="E26" s="40" t="n">
        <f aca="false">J25</f>
        <v>296.785236574277</v>
      </c>
      <c r="F26" s="40" t="n">
        <f aca="false">D26+C26-E26</f>
        <v>16172.05018608</v>
      </c>
      <c r="G26" s="41" t="n">
        <f aca="false">INDEX(QH_Z,M26)+N26*(INDEX(QH_Z,M26+1)-INDEX(QH_Z,M26))</f>
        <v>77.7196555070385</v>
      </c>
      <c r="H26" s="42" t="n">
        <f aca="false">INDEX(QH_qtc,M26)+N26*(INDEX(QH_qtc,M26+1)-INDEX(QH_qtc,M26))</f>
        <v>198.762797497281</v>
      </c>
      <c r="I26" s="43" t="n">
        <f aca="false">IF($F$4=2,0,INDEX(QH_qsc,M26)+N26*(INDEX(QH_qsc,M26+1)-INDEX(QH_qsc,M26)))</f>
        <v>140.938139370062</v>
      </c>
      <c r="J26" s="40" t="n">
        <f aca="false">H26+I26</f>
        <v>339.700936867343</v>
      </c>
      <c r="K26" s="23" t="n">
        <f aca="false">INDEX(QH_V,M26)+N26*(INDEX(QH_V,M26+1)-INDEX(QH_V,M26))</f>
        <v>57.6079189835268</v>
      </c>
      <c r="L26" s="40" t="n">
        <f aca="false">K26*1000000/dt_s+J26/2</f>
        <v>16172.05018608</v>
      </c>
      <c r="M26" s="44" t="n">
        <f aca="false">MATCH(F26,INDEX(QH_f,0,$F$4),1)</f>
        <v>68</v>
      </c>
      <c r="N26" s="45" t="n">
        <f aca="false">(F26-INDEX(QH_f,M26,$F$4))/(INDEX(QH_f,M26+1,$F$4)-INDEX(QH_f,M26,$F$4))</f>
        <v>0.196555070384512</v>
      </c>
    </row>
    <row r="27" customFormat="false" ht="15" hidden="false" customHeight="false" outlineLevel="0" collapsed="false">
      <c r="A27" s="14" t="n">
        <v>11</v>
      </c>
      <c r="B27" s="40" t="n">
        <f aca="false">IFERROR(INDEX(Lu_Q,MATCH(A27,Lu_t,0),$C$4),0)</f>
        <v>937</v>
      </c>
      <c r="C27" s="40" t="n">
        <f aca="false">(B26+B27)/2</f>
        <v>999.5</v>
      </c>
      <c r="D27" s="40" t="n">
        <f aca="false">L26</f>
        <v>16172.05018608</v>
      </c>
      <c r="E27" s="40" t="n">
        <f aca="false">J26</f>
        <v>339.700936867343</v>
      </c>
      <c r="F27" s="40" t="n">
        <f aca="false">D27+C27-E27</f>
        <v>16831.8492492127</v>
      </c>
      <c r="G27" s="41" t="n">
        <f aca="false">INDEX(QH_Z,M27)+N27*(INDEX(QH_Z,M27+1)-INDEX(QH_Z,M27))</f>
        <v>78.0146020978347</v>
      </c>
      <c r="H27" s="42" t="n">
        <f aca="false">INDEX(QH_qtc,M27)+N27*(INDEX(QH_qtc,M27+1)-INDEX(QH_qtc,M27))</f>
        <v>225.530138691479</v>
      </c>
      <c r="I27" s="43" t="n">
        <f aca="false">IF($F$4=2,0,INDEX(QH_qsc,M27)+N27*(INDEX(QH_qsc,M27+1)-INDEX(QH_qsc,M27)))</f>
        <v>148.789332836157</v>
      </c>
      <c r="J27" s="40" t="n">
        <f aca="false">H27+I27</f>
        <v>374.319471527636</v>
      </c>
      <c r="K27" s="23" t="n">
        <f aca="false">INDEX(QH_V,M27)+N27*(INDEX(QH_V,M27+1)-INDEX(QH_V,M27))</f>
        <v>59.9208822484158</v>
      </c>
      <c r="L27" s="40" t="n">
        <f aca="false">K27*1000000/dt_s+J27/2</f>
        <v>16831.8492492126</v>
      </c>
      <c r="M27" s="44" t="n">
        <f aca="false">MATCH(F27,INDEX(QH_f,0,$F$4),1)</f>
        <v>71</v>
      </c>
      <c r="N27" s="45" t="n">
        <f aca="false">(F27-INDEX(QH_f,M27,$F$4))/(INDEX(QH_f,M27+1,$F$4)-INDEX(QH_f,M27,$F$4))</f>
        <v>0.146020978346527</v>
      </c>
    </row>
    <row r="28" customFormat="false" ht="15" hidden="false" customHeight="false" outlineLevel="0" collapsed="false">
      <c r="A28" s="14" t="n">
        <v>12</v>
      </c>
      <c r="B28" s="40" t="n">
        <f aca="false">IFERROR(INDEX(Lu_Q,MATCH(A28,Lu_t,0),$C$4),0)</f>
        <v>808</v>
      </c>
      <c r="C28" s="40" t="n">
        <f aca="false">(B27+B28)/2</f>
        <v>872.5</v>
      </c>
      <c r="D28" s="40" t="n">
        <f aca="false">L27</f>
        <v>16831.8492492126</v>
      </c>
      <c r="E28" s="40" t="n">
        <f aca="false">J27</f>
        <v>374.319471527636</v>
      </c>
      <c r="F28" s="40" t="n">
        <f aca="false">D28+C28-E28</f>
        <v>17330.029777685</v>
      </c>
      <c r="G28" s="41" t="n">
        <f aca="false">INDEX(QH_Z,M28)+N28*(INDEX(QH_Z,M28+1)-INDEX(QH_Z,M28))</f>
        <v>78.2335860207002</v>
      </c>
      <c r="H28" s="42" t="n">
        <f aca="false">INDEX(QH_qtc,M28)+N28*(INDEX(QH_qtc,M28+1)-INDEX(QH_qtc,M28))</f>
        <v>245.753411164244</v>
      </c>
      <c r="I28" s="43" t="n">
        <f aca="false">IF($F$4=2,0,INDEX(QH_qsc,M28)+N28*(INDEX(QH_qsc,M28+1)-INDEX(QH_qsc,M28)))</f>
        <v>154.621918411321</v>
      </c>
      <c r="J28" s="40" t="n">
        <f aca="false">H28+I28</f>
        <v>400.375329575565</v>
      </c>
      <c r="K28" s="23" t="n">
        <f aca="false">INDEX(QH_V,M28)+N28*(INDEX(QH_V,M28+1)-INDEX(QH_V,M28))</f>
        <v>61.66743160643</v>
      </c>
      <c r="L28" s="40" t="n">
        <f aca="false">K28*1000000/dt_s+J28/2</f>
        <v>17330.029777685</v>
      </c>
      <c r="M28" s="44" t="n">
        <f aca="false">MATCH(F28,INDEX(QH_f,0,$F$4),1)</f>
        <v>73</v>
      </c>
      <c r="N28" s="45" t="n">
        <f aca="false">(F28-INDEX(QH_f,M28,$F$4))/(INDEX(QH_f,M28+1,$F$4)-INDEX(QH_f,M28,$F$4))</f>
        <v>0.335860207002501</v>
      </c>
    </row>
    <row r="29" customFormat="false" ht="15" hidden="false" customHeight="false" outlineLevel="0" collapsed="false">
      <c r="A29" s="14" t="n">
        <v>13</v>
      </c>
      <c r="B29" s="40" t="n">
        <f aca="false">IFERROR(INDEX(Lu_Q,MATCH(A29,Lu_t,0),$C$4),0)</f>
        <v>685</v>
      </c>
      <c r="C29" s="40" t="n">
        <f aca="false">(B28+B29)/2</f>
        <v>746.5</v>
      </c>
      <c r="D29" s="40" t="n">
        <f aca="false">L28</f>
        <v>17330.029777685</v>
      </c>
      <c r="E29" s="40" t="n">
        <f aca="false">J28</f>
        <v>400.375329575565</v>
      </c>
      <c r="F29" s="40" t="n">
        <f aca="false">D29+C29-E29</f>
        <v>17676.1544481094</v>
      </c>
      <c r="G29" s="41" t="n">
        <f aca="false">INDEX(QH_Z,M29)+N29*(INDEX(QH_Z,M29+1)-INDEX(QH_Z,M29))</f>
        <v>78.3839863154308</v>
      </c>
      <c r="H29" s="42" t="n">
        <f aca="false">INDEX(QH_qtc,M29)+N29*(INDEX(QH_qtc,M29+1)-INDEX(QH_qtc,M29))</f>
        <v>259.783315875463</v>
      </c>
      <c r="I29" s="43" t="n">
        <f aca="false">IF($F$4=2,0,INDEX(QH_qsc,M29)+N29*(INDEX(QH_qsc,M29+1)-INDEX(QH_qsc,M29)))</f>
        <v>158.62710008466</v>
      </c>
      <c r="J29" s="40" t="n">
        <f aca="false">H29+I29</f>
        <v>418.410415960123</v>
      </c>
      <c r="K29" s="23" t="n">
        <f aca="false">INDEX(QH_V,M29)+N29*(INDEX(QH_V,M29+1)-INDEX(QH_V,M29))</f>
        <v>62.8810172644658</v>
      </c>
      <c r="L29" s="40" t="n">
        <f aca="false">K29*1000000/dt_s+J29/2</f>
        <v>17676.1544481094</v>
      </c>
      <c r="M29" s="44" t="n">
        <f aca="false">MATCH(F29,INDEX(QH_f,0,$F$4),1)</f>
        <v>74</v>
      </c>
      <c r="N29" s="45" t="n">
        <f aca="false">(F29-INDEX(QH_f,M29,$F$4))/(INDEX(QH_f,M29+1,$F$4)-INDEX(QH_f,M29,$F$4))</f>
        <v>0.839863154307633</v>
      </c>
    </row>
    <row r="30" customFormat="false" ht="15" hidden="false" customHeight="false" outlineLevel="0" collapsed="false">
      <c r="A30" s="14" t="n">
        <v>14</v>
      </c>
      <c r="B30" s="40" t="n">
        <f aca="false">IFERROR(INDEX(Lu_Q,MATCH(A30,Lu_t,0),$C$4),0)</f>
        <v>572</v>
      </c>
      <c r="C30" s="40" t="n">
        <f aca="false">(B29+B30)/2</f>
        <v>628.5</v>
      </c>
      <c r="D30" s="40" t="n">
        <f aca="false">L29</f>
        <v>17676.1544481094</v>
      </c>
      <c r="E30" s="40" t="n">
        <f aca="false">J29</f>
        <v>418.410415960123</v>
      </c>
      <c r="F30" s="40" t="n">
        <f aca="false">D30+C30-E30</f>
        <v>17886.2440321493</v>
      </c>
      <c r="G30" s="41" t="n">
        <f aca="false">INDEX(QH_Z,M30)+N30*(INDEX(QH_Z,M30+1)-INDEX(QH_Z,M30))</f>
        <v>78.4745457587841</v>
      </c>
      <c r="H30" s="42" t="n">
        <f aca="false">INDEX(QH_qtc,M30)+N30*(INDEX(QH_qtc,M30+1)-INDEX(QH_qtc,M30))</f>
        <v>268.283300318832</v>
      </c>
      <c r="I30" s="43" t="n">
        <f aca="false">IF($F$4=2,0,INDEX(QH_qsc,M30)+N30*(INDEX(QH_qsc,M30+1)-INDEX(QH_qsc,M30)))</f>
        <v>161.037730903278</v>
      </c>
      <c r="J30" s="40" t="n">
        <f aca="false">H30+I30</f>
        <v>429.32103122211</v>
      </c>
      <c r="K30" s="23" t="n">
        <f aca="false">INDEX(QH_V,M30)+N30*(INDEX(QH_V,M30+1)-INDEX(QH_V,M30))</f>
        <v>63.6177006595378</v>
      </c>
      <c r="L30" s="40" t="n">
        <f aca="false">K30*1000000/dt_s+J30/2</f>
        <v>17886.2440321493</v>
      </c>
      <c r="M30" s="44" t="n">
        <f aca="false">MATCH(F30,INDEX(QH_f,0,$F$4),1)</f>
        <v>75</v>
      </c>
      <c r="N30" s="45" t="n">
        <f aca="false">(F30-INDEX(QH_f,M30,$F$4))/(INDEX(QH_f,M30+1,$F$4)-INDEX(QH_f,M30,$F$4))</f>
        <v>0.745457587841032</v>
      </c>
    </row>
    <row r="31" customFormat="false" ht="15" hidden="false" customHeight="false" outlineLevel="0" collapsed="false">
      <c r="A31" s="14" t="n">
        <v>15</v>
      </c>
      <c r="B31" s="40" t="n">
        <f aca="false">IFERROR(INDEX(Lu_Q,MATCH(A31,Lu_t,0),$C$4),0)</f>
        <v>472</v>
      </c>
      <c r="C31" s="40" t="n">
        <f aca="false">(B30+B31)/2</f>
        <v>522</v>
      </c>
      <c r="D31" s="40" t="n">
        <f aca="false">L30</f>
        <v>17886.2440321493</v>
      </c>
      <c r="E31" s="40" t="n">
        <f aca="false">J30</f>
        <v>429.32103122211</v>
      </c>
      <c r="F31" s="40" t="n">
        <f aca="false">D31+C31-E31</f>
        <v>17978.9230009272</v>
      </c>
      <c r="G31" s="41" t="n">
        <f aca="false">INDEX(QH_Z,M31)+N31*(INDEX(QH_Z,M31+1)-INDEX(QH_Z,M31))</f>
        <v>78.5143600647203</v>
      </c>
      <c r="H31" s="42" t="n">
        <f aca="false">INDEX(QH_qtc,M31)+N31*(INDEX(QH_qtc,M31+1)-INDEX(QH_qtc,M31))</f>
        <v>272.02921202443</v>
      </c>
      <c r="I31" s="43" t="n">
        <f aca="false">IF($F$4=2,0,INDEX(QH_qsc,M31)+N31*(INDEX(QH_qsc,M31+1)-INDEX(QH_qsc,M31)))</f>
        <v>162.097295136917</v>
      </c>
      <c r="J31" s="40" t="n">
        <f aca="false">H31+I31</f>
        <v>434.126507161346</v>
      </c>
      <c r="K31" s="23" t="n">
        <f aca="false">INDEX(QH_V,M31)+N31*(INDEX(QH_V,M31+1)-INDEX(QH_V,M31))</f>
        <v>63.9426950904475</v>
      </c>
      <c r="L31" s="40" t="n">
        <f aca="false">K31*1000000/dt_s+J31/2</f>
        <v>17978.9230009272</v>
      </c>
      <c r="M31" s="44" t="n">
        <f aca="false">MATCH(F31,INDEX(QH_f,0,$F$4),1)</f>
        <v>76</v>
      </c>
      <c r="N31" s="45" t="n">
        <f aca="false">(F31-INDEX(QH_f,M31,$F$4))/(INDEX(QH_f,M31+1,$F$4)-INDEX(QH_f,M31,$F$4))</f>
        <v>0.143600647202964</v>
      </c>
    </row>
    <row r="32" customFormat="false" ht="15" hidden="false" customHeight="false" outlineLevel="0" collapsed="false">
      <c r="A32" s="14" t="n">
        <v>16</v>
      </c>
      <c r="B32" s="40" t="n">
        <f aca="false">IFERROR(INDEX(Lu_Q,MATCH(A32,Lu_t,0),$C$4),0)</f>
        <v>387</v>
      </c>
      <c r="C32" s="40" t="n">
        <f aca="false">(B31+B32)/2</f>
        <v>429.5</v>
      </c>
      <c r="D32" s="40" t="n">
        <f aca="false">L31</f>
        <v>17978.9230009272</v>
      </c>
      <c r="E32" s="40" t="n">
        <f aca="false">J31</f>
        <v>434.126507161346</v>
      </c>
      <c r="F32" s="40" t="n">
        <f aca="false">D32+C32-E32</f>
        <v>17974.2964937659</v>
      </c>
      <c r="G32" s="41" t="n">
        <f aca="false">INDEX(QH_Z,M32)+N32*(INDEX(QH_Z,M32+1)-INDEX(QH_Z,M32))</f>
        <v>78.5123805053525</v>
      </c>
      <c r="H32" s="42" t="n">
        <f aca="false">INDEX(QH_qtc,M32)+N32*(INDEX(QH_qtc,M32+1)-INDEX(QH_qtc,M32))</f>
        <v>271.842455413305</v>
      </c>
      <c r="I32" s="43" t="n">
        <f aca="false">IF($F$4=2,0,INDEX(QH_qsc,M32)+N32*(INDEX(QH_qsc,M32+1)-INDEX(QH_qsc,M32)))</f>
        <v>162.044631080087</v>
      </c>
      <c r="J32" s="40" t="n">
        <f aca="false">H32+I32</f>
        <v>433.887086493392</v>
      </c>
      <c r="K32" s="23" t="n">
        <f aca="false">INDEX(QH_V,M32)+N32*(INDEX(QH_V,M32+1)-INDEX(QH_V,M32))</f>
        <v>63.926470621869</v>
      </c>
      <c r="L32" s="40" t="n">
        <f aca="false">K32*1000000/dt_s+J32/2</f>
        <v>17974.2964937659</v>
      </c>
      <c r="M32" s="44" t="n">
        <f aca="false">MATCH(F32,INDEX(QH_f,0,$F$4),1)</f>
        <v>76</v>
      </c>
      <c r="N32" s="45" t="n">
        <f aca="false">(F32-INDEX(QH_f,M32,$F$4))/(INDEX(QH_f,M32+1,$F$4)-INDEX(QH_f,M32,$F$4))</f>
        <v>0.123805053524919</v>
      </c>
    </row>
    <row r="33" customFormat="false" ht="15" hidden="false" customHeight="false" outlineLevel="0" collapsed="false">
      <c r="A33" s="14" t="n">
        <v>17</v>
      </c>
      <c r="B33" s="40" t="n">
        <f aca="false">IFERROR(INDEX(Lu_Q,MATCH(A33,Lu_t,0),$C$4),0)</f>
        <v>313</v>
      </c>
      <c r="C33" s="40" t="n">
        <f aca="false">(B32+B33)/2</f>
        <v>350</v>
      </c>
      <c r="D33" s="40" t="n">
        <f aca="false">L32</f>
        <v>17974.2964937659</v>
      </c>
      <c r="E33" s="40" t="n">
        <f aca="false">J32</f>
        <v>433.887086493392</v>
      </c>
      <c r="F33" s="40" t="n">
        <f aca="false">D33+C33-E33</f>
        <v>17890.4094072725</v>
      </c>
      <c r="G33" s="41" t="n">
        <f aca="false">INDEX(QH_Z,M33)+N33*(INDEX(QH_Z,M33+1)-INDEX(QH_Z,M33))</f>
        <v>78.4763392460491</v>
      </c>
      <c r="H33" s="42" t="n">
        <f aca="false">INDEX(QH_qtc,M33)+N33*(INDEX(QH_qtc,M33+1)-INDEX(QH_qtc,M33))</f>
        <v>268.451778796937</v>
      </c>
      <c r="I33" s="43" t="n">
        <f aca="false">IF($F$4=2,0,INDEX(QH_qsc,M33)+N33*(INDEX(QH_qsc,M33+1)-INDEX(QH_qsc,M33)))</f>
        <v>161.085469179222</v>
      </c>
      <c r="J33" s="40" t="n">
        <f aca="false">H33+I33</f>
        <v>429.537247976158</v>
      </c>
      <c r="K33" s="23" t="n">
        <f aca="false">INDEX(QH_V,M33)+N33*(INDEX(QH_V,M33+1)-INDEX(QH_V,M33))</f>
        <v>63.6323068198238</v>
      </c>
      <c r="L33" s="40" t="n">
        <f aca="false">K33*1000000/dt_s+J33/2</f>
        <v>17890.4094072725</v>
      </c>
      <c r="M33" s="44" t="n">
        <f aca="false">MATCH(F33,INDEX(QH_f,0,$F$4),1)</f>
        <v>75</v>
      </c>
      <c r="N33" s="45" t="n">
        <f aca="false">(F33-INDEX(QH_f,M33,$F$4))/(INDEX(QH_f,M33+1,$F$4)-INDEX(QH_f,M33,$F$4))</f>
        <v>0.763392460490932</v>
      </c>
    </row>
    <row r="34" customFormat="false" ht="15" hidden="false" customHeight="false" outlineLevel="0" collapsed="false">
      <c r="A34" s="14" t="n">
        <v>18</v>
      </c>
      <c r="B34" s="40" t="n">
        <f aca="false">IFERROR(INDEX(Lu_Q,MATCH(A34,Lu_t,0),$C$4),0)</f>
        <v>253</v>
      </c>
      <c r="C34" s="40" t="n">
        <f aca="false">(B33+B34)/2</f>
        <v>283</v>
      </c>
      <c r="D34" s="40" t="n">
        <f aca="false">L33</f>
        <v>17890.4094072725</v>
      </c>
      <c r="E34" s="40" t="n">
        <f aca="false">J33</f>
        <v>429.537247976158</v>
      </c>
      <c r="F34" s="40" t="n">
        <f aca="false">D34+C34-E34</f>
        <v>17743.8721592963</v>
      </c>
      <c r="G34" s="41" t="n">
        <f aca="false">INDEX(QH_Z,M34)+N34*(INDEX(QH_Z,M34+1)-INDEX(QH_Z,M34))</f>
        <v>78.4132446434452</v>
      </c>
      <c r="H34" s="42" t="n">
        <f aca="false">INDEX(QH_qtc,M34)+N34*(INDEX(QH_qtc,M34+1)-INDEX(QH_qtc,M34))</f>
        <v>262.524732181748</v>
      </c>
      <c r="I34" s="43" t="n">
        <f aca="false">IF($F$4=2,0,INDEX(QH_qsc,M34)+N34*(INDEX(QH_qsc,M34+1)-INDEX(QH_qsc,M34)))</f>
        <v>159.406044067899</v>
      </c>
      <c r="J34" s="40" t="n">
        <f aca="false">H34+I34</f>
        <v>421.930776249647</v>
      </c>
      <c r="K34" s="23" t="n">
        <f aca="false">INDEX(QH_V,M34)+N34*(INDEX(QH_V,M34+1)-INDEX(QH_V,M34))</f>
        <v>63.1184643762174</v>
      </c>
      <c r="L34" s="40" t="n">
        <f aca="false">K34*1000000/dt_s+J34/2</f>
        <v>17743.8721592963</v>
      </c>
      <c r="M34" s="44" t="n">
        <f aca="false">MATCH(F34,INDEX(QH_f,0,$F$4),1)</f>
        <v>75</v>
      </c>
      <c r="N34" s="45" t="n">
        <f aca="false">(F34-INDEX(QH_f,M34,$F$4))/(INDEX(QH_f,M34+1,$F$4)-INDEX(QH_f,M34,$F$4))</f>
        <v>0.132446434451535</v>
      </c>
    </row>
    <row r="35" customFormat="false" ht="15" hidden="false" customHeight="false" outlineLevel="0" collapsed="false">
      <c r="A35" s="14" t="n">
        <v>19</v>
      </c>
      <c r="B35" s="40" t="n">
        <f aca="false">IFERROR(INDEX(Lu_Q,MATCH(A35,Lu_t,0),$C$4),0)</f>
        <v>203</v>
      </c>
      <c r="C35" s="40" t="n">
        <f aca="false">(B34+B35)/2</f>
        <v>228</v>
      </c>
      <c r="D35" s="40" t="n">
        <f aca="false">L34</f>
        <v>17743.8721592963</v>
      </c>
      <c r="E35" s="40" t="n">
        <f aca="false">J34</f>
        <v>421.930776249647</v>
      </c>
      <c r="F35" s="40" t="n">
        <f aca="false">D35+C35-E35</f>
        <v>17549.9413830467</v>
      </c>
      <c r="G35" s="41" t="n">
        <f aca="false">INDEX(QH_Z,M35)+N35*(INDEX(QH_Z,M35+1)-INDEX(QH_Z,M35))</f>
        <v>78.3292974843209</v>
      </c>
      <c r="H35" s="42" t="n">
        <f aca="false">INDEX(QH_qtc,M35)+N35*(INDEX(QH_qtc,M35+1)-INDEX(QH_qtc,M35))</f>
        <v>254.670088904244</v>
      </c>
      <c r="I35" s="43" t="n">
        <f aca="false">IF($F$4=2,0,INDEX(QH_qsc,M35)+N35*(INDEX(QH_qsc,M35+1)-INDEX(QH_qsc,M35)))</f>
        <v>157.170875453169</v>
      </c>
      <c r="J35" s="40" t="n">
        <f aca="false">H35+I35</f>
        <v>411.840964357413</v>
      </c>
      <c r="K35" s="23" t="n">
        <f aca="false">INDEX(QH_V,M35)+N35*(INDEX(QH_V,M35+1)-INDEX(QH_V,M35))</f>
        <v>62.4384752431247</v>
      </c>
      <c r="L35" s="40" t="n">
        <f aca="false">K35*1000000/dt_s+J35/2</f>
        <v>17549.9413830467</v>
      </c>
      <c r="M35" s="44" t="n">
        <f aca="false">MATCH(F35,INDEX(QH_f,0,$F$4),1)</f>
        <v>74</v>
      </c>
      <c r="N35" s="45" t="n">
        <f aca="false">(F35-INDEX(QH_f,M35,$F$4))/(INDEX(QH_f,M35+1,$F$4)-INDEX(QH_f,M35,$F$4))</f>
        <v>0.292974843208922</v>
      </c>
    </row>
    <row r="36" customFormat="false" ht="15" hidden="false" customHeight="false" outlineLevel="0" collapsed="false">
      <c r="A36" s="14" t="n">
        <v>20</v>
      </c>
      <c r="B36" s="40" t="n">
        <f aca="false">IFERROR(INDEX(Lu_Q,MATCH(A36,Lu_t,0),$C$4),0)</f>
        <v>161</v>
      </c>
      <c r="C36" s="40" t="n">
        <f aca="false">(B35+B36)/2</f>
        <v>182</v>
      </c>
      <c r="D36" s="40" t="n">
        <f aca="false">L35</f>
        <v>17549.9413830467</v>
      </c>
      <c r="E36" s="40" t="n">
        <f aca="false">J35</f>
        <v>411.840964357413</v>
      </c>
      <c r="F36" s="40" t="n">
        <f aca="false">D36+C36-E36</f>
        <v>17320.1004186893</v>
      </c>
      <c r="G36" s="41" t="n">
        <f aca="false">INDEX(QH_Z,M36)+N36*(INDEX(QH_Z,M36+1)-INDEX(QH_Z,M36))</f>
        <v>78.2292560260225</v>
      </c>
      <c r="H36" s="42" t="n">
        <f aca="false">INDEX(QH_qtc,M36)+N36*(INDEX(QH_qtc,M36+1)-INDEX(QH_qtc,M36))</f>
        <v>245.350659159179</v>
      </c>
      <c r="I36" s="43" t="n">
        <f aca="false">IF($F$4=2,0,INDEX(QH_qsc,M36)+N36*(INDEX(QH_qsc,M36+1)-INDEX(QH_qsc,M36)))</f>
        <v>154.506595318838</v>
      </c>
      <c r="J36" s="40" t="n">
        <f aca="false">H36+I36</f>
        <v>399.857254478017</v>
      </c>
      <c r="K36" s="23" t="n">
        <f aca="false">INDEX(QH_V,M36)+N36*(INDEX(QH_V,M36+1)-INDEX(QH_V,M36))</f>
        <v>61.6326184492209</v>
      </c>
      <c r="L36" s="40" t="n">
        <f aca="false">K36*1000000/dt_s+J36/2</f>
        <v>17320.1004186893</v>
      </c>
      <c r="M36" s="44" t="n">
        <f aca="false">MATCH(F36,INDEX(QH_f,0,$F$4),1)</f>
        <v>73</v>
      </c>
      <c r="N36" s="45" t="n">
        <f aca="false">(F36-INDEX(QH_f,M36,$F$4))/(INDEX(QH_f,M36+1,$F$4)-INDEX(QH_f,M36,$F$4))</f>
        <v>0.292560260224967</v>
      </c>
    </row>
    <row r="37" customFormat="false" ht="15" hidden="false" customHeight="false" outlineLevel="0" collapsed="false">
      <c r="A37" s="14" t="n">
        <v>21</v>
      </c>
      <c r="B37" s="40" t="n">
        <f aca="false">IFERROR(INDEX(Lu_Q,MATCH(A37,Lu_t,0),$C$4),0)</f>
        <v>128</v>
      </c>
      <c r="C37" s="40" t="n">
        <f aca="false">(B36+B37)/2</f>
        <v>144.5</v>
      </c>
      <c r="D37" s="40" t="n">
        <f aca="false">L36</f>
        <v>17320.1004186893</v>
      </c>
      <c r="E37" s="40" t="n">
        <f aca="false">J36</f>
        <v>399.857254478017</v>
      </c>
      <c r="F37" s="40" t="n">
        <f aca="false">D37+C37-E37</f>
        <v>17064.7431642112</v>
      </c>
      <c r="G37" s="41" t="n">
        <f aca="false">INDEX(QH_Z,M37)+N37*(INDEX(QH_Z,M37+1)-INDEX(QH_Z,M37))</f>
        <v>78.1173699666755</v>
      </c>
      <c r="H37" s="42" t="n">
        <f aca="false">INDEX(QH_qtc,M37)+N37*(INDEX(QH_qtc,M37+1)-INDEX(QH_qtc,M37))</f>
        <v>234.986897866533</v>
      </c>
      <c r="I37" s="43" t="n">
        <f aca="false">IF($F$4=2,0,INDEX(QH_qsc,M37)+N37*(INDEX(QH_qsc,M37+1)-INDEX(QH_qsc,M37)))</f>
        <v>151.526489553762</v>
      </c>
      <c r="J37" s="40" t="n">
        <f aca="false">H37+I37</f>
        <v>386.513387420295</v>
      </c>
      <c r="K37" s="23" t="n">
        <f aca="false">INDEX(QH_V,M37)+N37*(INDEX(QH_V,M37+1)-INDEX(QH_V,M37))</f>
        <v>60.7373512938039</v>
      </c>
      <c r="L37" s="40" t="n">
        <f aca="false">K37*1000000/dt_s+J37/2</f>
        <v>17064.7431642112</v>
      </c>
      <c r="M37" s="44" t="n">
        <f aca="false">MATCH(F37,INDEX(QH_f,0,$F$4),1)</f>
        <v>72</v>
      </c>
      <c r="N37" s="45" t="n">
        <f aca="false">(F37-INDEX(QH_f,M37,$F$4))/(INDEX(QH_f,M37+1,$F$4)-INDEX(QH_f,M37,$F$4))</f>
        <v>0.173699666755079</v>
      </c>
    </row>
    <row r="38" customFormat="false" ht="15" hidden="false" customHeight="false" outlineLevel="0" collapsed="false">
      <c r="A38" s="14" t="n">
        <v>22</v>
      </c>
      <c r="B38" s="40" t="n">
        <f aca="false">IFERROR(INDEX(Lu_Q,MATCH(A38,Lu_t,0),$C$4),0)</f>
        <v>101</v>
      </c>
      <c r="C38" s="40" t="n">
        <f aca="false">(B37+B38)/2</f>
        <v>114.5</v>
      </c>
      <c r="D38" s="40" t="n">
        <f aca="false">L37</f>
        <v>17064.7431642112</v>
      </c>
      <c r="E38" s="40" t="n">
        <f aca="false">J37</f>
        <v>386.513387420295</v>
      </c>
      <c r="F38" s="40" t="n">
        <f aca="false">D38+C38-E38</f>
        <v>16792.7297767909</v>
      </c>
      <c r="G38" s="41" t="n">
        <f aca="false">INDEX(QH_Z,M38)+N38*(INDEX(QH_Z,M38+1)-INDEX(QH_Z,M38))</f>
        <v>77.9973036657321</v>
      </c>
      <c r="H38" s="42" t="n">
        <f aca="false">INDEX(QH_qtc,M38)+N38*(INDEX(QH_qtc,M38+1)-INDEX(QH_qtc,M38))</f>
        <v>223.94162635717</v>
      </c>
      <c r="I38" s="43" t="n">
        <f aca="false">IF($F$4=2,0,INDEX(QH_qsc,M38)+N38*(INDEX(QH_qsc,M38+1)-INDEX(QH_qsc,M38)))</f>
        <v>148.328620299931</v>
      </c>
      <c r="J38" s="40" t="n">
        <f aca="false">H38+I38</f>
        <v>372.270246657101</v>
      </c>
      <c r="K38" s="23" t="n">
        <f aca="false">INDEX(QH_V,M38)+N38*(INDEX(QH_V,M38+1)-INDEX(QH_V,M38))</f>
        <v>59.7837407524646</v>
      </c>
      <c r="L38" s="40" t="n">
        <f aca="false">K38*1000000/dt_s+J38/2</f>
        <v>16792.7297767909</v>
      </c>
      <c r="M38" s="44" t="n">
        <f aca="false">MATCH(F38,INDEX(QH_f,0,$F$4),1)</f>
        <v>70</v>
      </c>
      <c r="N38" s="45" t="n">
        <f aca="false">(F38-INDEX(QH_f,M38,$F$4))/(INDEX(QH_f,M38+1,$F$4)-INDEX(QH_f,M38,$F$4))</f>
        <v>0.973036657320839</v>
      </c>
    </row>
    <row r="39" customFormat="false" ht="15" hidden="false" customHeight="false" outlineLevel="0" collapsed="false">
      <c r="A39" s="14" t="n">
        <v>23</v>
      </c>
      <c r="B39" s="40" t="n">
        <f aca="false">IFERROR(INDEX(Lu_Q,MATCH(A39,Lu_t,0),$C$4),0)</f>
        <v>81</v>
      </c>
      <c r="C39" s="40" t="n">
        <f aca="false">(B38+B39)/2</f>
        <v>91</v>
      </c>
      <c r="D39" s="40" t="n">
        <f aca="false">L38</f>
        <v>16792.7297767909</v>
      </c>
      <c r="E39" s="40" t="n">
        <f aca="false">J38</f>
        <v>372.270246657101</v>
      </c>
      <c r="F39" s="40" t="n">
        <f aca="false">D39+C39-E39</f>
        <v>16511.4595301338</v>
      </c>
      <c r="G39" s="41" t="n">
        <f aca="false">INDEX(QH_Z,M39)+N39*(INDEX(QH_Z,M39+1)-INDEX(QH_Z,M39))</f>
        <v>77.8720651474031</v>
      </c>
      <c r="H39" s="42" t="n">
        <f aca="false">INDEX(QH_qtc,M39)+N39*(INDEX(QH_qtc,M39+1)-INDEX(QH_qtc,M39))</f>
        <v>212.523778092119</v>
      </c>
      <c r="I39" s="43" t="n">
        <f aca="false">IF($F$4=2,0,INDEX(QH_qsc,M39)+N39*(INDEX(QH_qsc,M39+1)-INDEX(QH_qsc,M39)))</f>
        <v>144.993986518629</v>
      </c>
      <c r="J39" s="40" t="n">
        <f aca="false">H39+I39</f>
        <v>357.517764610748</v>
      </c>
      <c r="K39" s="23" t="n">
        <f aca="false">INDEX(QH_V,M39)+N39*(INDEX(QH_V,M39+1)-INDEX(QH_V,M39))</f>
        <v>58.7977223321825</v>
      </c>
      <c r="L39" s="40" t="n">
        <f aca="false">K39*1000000/dt_s+J39/2</f>
        <v>16511.4595301338</v>
      </c>
      <c r="M39" s="44" t="n">
        <f aca="false">MATCH(F39,INDEX(QH_f,0,$F$4),1)</f>
        <v>69</v>
      </c>
      <c r="N39" s="45" t="n">
        <f aca="false">(F39-INDEX(QH_f,M39,$F$4))/(INDEX(QH_f,M39+1,$F$4)-INDEX(QH_f,M39,$F$4))</f>
        <v>0.720651474031346</v>
      </c>
    </row>
    <row r="40" customFormat="false" ht="15" hidden="false" customHeight="false" outlineLevel="0" collapsed="false">
      <c r="A40" s="14" t="n">
        <v>24</v>
      </c>
      <c r="B40" s="40" t="n">
        <f aca="false">IFERROR(INDEX(Lu_Q,MATCH(A40,Lu_t,0),$C$4),0)</f>
        <v>63</v>
      </c>
      <c r="C40" s="40" t="n">
        <f aca="false">(B39+B40)/2</f>
        <v>72</v>
      </c>
      <c r="D40" s="40" t="n">
        <f aca="false">L39</f>
        <v>16511.4595301338</v>
      </c>
      <c r="E40" s="40" t="n">
        <f aca="false">J39</f>
        <v>357.517764610748</v>
      </c>
      <c r="F40" s="40" t="n">
        <f aca="false">D40+C40-E40</f>
        <v>16225.9417655231</v>
      </c>
      <c r="G40" s="41" t="n">
        <f aca="false">INDEX(QH_Z,M40)+N40*(INDEX(QH_Z,M40+1)-INDEX(QH_Z,M40))</f>
        <v>77.7439300450288</v>
      </c>
      <c r="H40" s="42" t="n">
        <f aca="false">INDEX(QH_qtc,M40)+N40*(INDEX(QH_qtc,M40+1)-INDEX(QH_qtc,M40))</f>
        <v>200.946470642595</v>
      </c>
      <c r="I40" s="43" t="n">
        <f aca="false">IF($F$4=2,0,INDEX(QH_qsc,M40)+N40*(INDEX(QH_qsc,M40+1)-INDEX(QH_qsc,M40)))</f>
        <v>141.58396293885</v>
      </c>
      <c r="J40" s="40" t="n">
        <f aca="false">H40+I40</f>
        <v>342.530433581445</v>
      </c>
      <c r="K40" s="23" t="n">
        <f aca="false">INDEX(QH_V,M40)+N40*(INDEX(QH_V,M40+1)-INDEX(QH_V,M40))</f>
        <v>57.7968355754365</v>
      </c>
      <c r="L40" s="40" t="n">
        <f aca="false">K40*1000000/dt_s+J40/2</f>
        <v>16225.9417655231</v>
      </c>
      <c r="M40" s="44" t="n">
        <f aca="false">MATCH(F40,INDEX(QH_f,0,$F$4),1)</f>
        <v>68</v>
      </c>
      <c r="N40" s="45" t="n">
        <f aca="false">(F40-INDEX(QH_f,M40,$F$4))/(INDEX(QH_f,M40+1,$F$4)-INDEX(QH_f,M40,$F$4))</f>
        <v>0.439300450287875</v>
      </c>
    </row>
    <row r="41" customFormat="false" ht="15" hidden="false" customHeight="false" outlineLevel="0" collapsed="false">
      <c r="A41" s="14" t="n">
        <v>25</v>
      </c>
      <c r="B41" s="40" t="n">
        <f aca="false">IFERROR(INDEX(Lu_Q,MATCH(A41,Lu_t,0),$C$4),0)</f>
        <v>50</v>
      </c>
      <c r="C41" s="40" t="n">
        <f aca="false">(B40+B41)/2</f>
        <v>56.5</v>
      </c>
      <c r="D41" s="40" t="n">
        <f aca="false">L40</f>
        <v>16225.9417655231</v>
      </c>
      <c r="E41" s="40" t="n">
        <f aca="false">J40</f>
        <v>342.530433581445</v>
      </c>
      <c r="F41" s="40" t="n">
        <f aca="false">D41+C41-E41</f>
        <v>15939.9113319416</v>
      </c>
      <c r="G41" s="41" t="n">
        <f aca="false">INDEX(QH_Z,M41)+N41*(INDEX(QH_Z,M41+1)-INDEX(QH_Z,M41))</f>
        <v>77.6145323583213</v>
      </c>
      <c r="H41" s="42" t="n">
        <f aca="false">INDEX(QH_qtc,M41)+N41*(INDEX(QH_qtc,M41+1)-INDEX(QH_qtc,M41))</f>
        <v>189.370388356773</v>
      </c>
      <c r="I41" s="43" t="n">
        <f aca="false">IF($F$4=2,0,INDEX(QH_qsc,M41)+N41*(INDEX(QH_qsc,M41+1)-INDEX(QH_qsc,M41)))</f>
        <v>138.142870881246</v>
      </c>
      <c r="J41" s="40" t="n">
        <f aca="false">H41+I41</f>
        <v>327.51325923802</v>
      </c>
      <c r="K41" s="23" t="n">
        <f aca="false">INDEX(QH_V,M41)+N41*(INDEX(QH_V,M41+1)-INDEX(QH_V,M41))</f>
        <v>56.7941569283615</v>
      </c>
      <c r="L41" s="40" t="n">
        <f aca="false">K41*1000000/dt_s+J41/2</f>
        <v>15939.9113319416</v>
      </c>
      <c r="M41" s="44" t="n">
        <f aca="false">MATCH(F41,INDEX(QH_f,0,$F$4),1)</f>
        <v>67</v>
      </c>
      <c r="N41" s="45" t="n">
        <f aca="false">(F41-INDEX(QH_f,M41,$F$4))/(INDEX(QH_f,M41+1,$F$4)-INDEX(QH_f,M41,$F$4))</f>
        <v>0.145323583213523</v>
      </c>
    </row>
    <row r="42" customFormat="false" ht="15" hidden="false" customHeight="false" outlineLevel="0" collapsed="false">
      <c r="A42" s="14" t="n">
        <v>26</v>
      </c>
      <c r="B42" s="40" t="n">
        <f aca="false">IFERROR(INDEX(Lu_Q,MATCH(A42,Lu_t,0),$C$4),0)</f>
        <v>39</v>
      </c>
      <c r="C42" s="40" t="n">
        <f aca="false">(B41+B42)/2</f>
        <v>44.5</v>
      </c>
      <c r="D42" s="40" t="n">
        <f aca="false">L41</f>
        <v>15939.9113319416</v>
      </c>
      <c r="E42" s="40" t="n">
        <f aca="false">J41</f>
        <v>327.51325923802</v>
      </c>
      <c r="F42" s="40" t="n">
        <f aca="false">D42+C42-E42</f>
        <v>15656.8980727036</v>
      </c>
      <c r="G42" s="41" t="n">
        <f aca="false">INDEX(QH_Z,M42)+N42*(INDEX(QH_Z,M42+1)-INDEX(QH_Z,M42))</f>
        <v>77.4853580886957</v>
      </c>
      <c r="H42" s="42" t="n">
        <f aca="false">INDEX(QH_qtc,M42)+N42*(INDEX(QH_qtc,M42+1)-INDEX(QH_qtc,M42))</f>
        <v>177.951641267746</v>
      </c>
      <c r="I42" s="43" t="n">
        <f aca="false">IF($F$4=2,0,INDEX(QH_qsc,M42)+N42*(INDEX(QH_qsc,M42+1)-INDEX(QH_qsc,M42)))</f>
        <v>134.711427637335</v>
      </c>
      <c r="J42" s="40" t="n">
        <f aca="false">H42+I42</f>
        <v>312.663068905081</v>
      </c>
      <c r="K42" s="23" t="n">
        <f aca="false">INDEX(QH_V,M42)+N42*(INDEX(QH_V,M42+1)-INDEX(QH_V,M42))</f>
        <v>55.8020395377039</v>
      </c>
      <c r="L42" s="40" t="n">
        <f aca="false">K42*1000000/dt_s+J42/2</f>
        <v>15656.8980727036</v>
      </c>
      <c r="M42" s="44" t="n">
        <f aca="false">MATCH(F42,INDEX(QH_f,0,$F$4),1)</f>
        <v>65</v>
      </c>
      <c r="N42" s="45" t="n">
        <f aca="false">(F42-INDEX(QH_f,M42,$F$4))/(INDEX(QH_f,M42+1,$F$4)-INDEX(QH_f,M42,$F$4))</f>
        <v>0.853580886957083</v>
      </c>
    </row>
    <row r="43" customFormat="false" ht="15" hidden="false" customHeight="false" outlineLevel="0" collapsed="false">
      <c r="A43" s="14" t="n">
        <v>27</v>
      </c>
      <c r="B43" s="40" t="n">
        <f aca="false">IFERROR(INDEX(Lu_Q,MATCH(A43,Lu_t,0),$C$4),0)</f>
        <v>30</v>
      </c>
      <c r="C43" s="40" t="n">
        <f aca="false">(B42+B43)/2</f>
        <v>34.5</v>
      </c>
      <c r="D43" s="40" t="n">
        <f aca="false">L42</f>
        <v>15656.8980727036</v>
      </c>
      <c r="E43" s="40" t="n">
        <f aca="false">J42</f>
        <v>312.663068905081</v>
      </c>
      <c r="F43" s="40" t="n">
        <f aca="false">D43+C43-E43</f>
        <v>15378.7350037985</v>
      </c>
      <c r="G43" s="41" t="n">
        <f aca="false">INDEX(QH_Z,M43)+N43*(INDEX(QH_Z,M43+1)-INDEX(QH_Z,M43))</f>
        <v>77.3572589092867</v>
      </c>
      <c r="H43" s="42" t="n">
        <f aca="false">INDEX(QH_qtc,M43)+N43*(INDEX(QH_qtc,M43+1)-INDEX(QH_qtc,M43))</f>
        <v>166.775365185939</v>
      </c>
      <c r="I43" s="43" t="n">
        <f aca="false">IF($F$4=2,0,INDEX(QH_qsc,M43)+N43*(INDEX(QH_qsc,M43+1)-INDEX(QH_qsc,M43)))</f>
        <v>131.313173505903</v>
      </c>
      <c r="J43" s="40" t="n">
        <f aca="false">H43+I43</f>
        <v>298.088538691841</v>
      </c>
      <c r="K43" s="23" t="n">
        <f aca="false">INDEX(QH_V,M43)+N43*(INDEX(QH_V,M43+1)-INDEX(QH_V,M43))</f>
        <v>54.8268866440294</v>
      </c>
      <c r="L43" s="40" t="n">
        <f aca="false">K43*1000000/dt_s+J43/2</f>
        <v>15378.7350037985</v>
      </c>
      <c r="M43" s="44" t="n">
        <f aca="false">MATCH(F43,INDEX(QH_f,0,$F$4),1)</f>
        <v>64</v>
      </c>
      <c r="N43" s="45" t="n">
        <f aca="false">(F43-INDEX(QH_f,M43,$F$4))/(INDEX(QH_f,M43+1,$F$4)-INDEX(QH_f,M43,$F$4))</f>
        <v>0.572589092867229</v>
      </c>
    </row>
    <row r="44" customFormat="false" ht="15" hidden="false" customHeight="false" outlineLevel="0" collapsed="false">
      <c r="A44" s="14" t="n">
        <v>28</v>
      </c>
      <c r="B44" s="40" t="n">
        <f aca="false">IFERROR(INDEX(Lu_Q,MATCH(A44,Lu_t,0),$C$4),0)</f>
        <v>24</v>
      </c>
      <c r="C44" s="40" t="n">
        <f aca="false">(B43+B44)/2</f>
        <v>27</v>
      </c>
      <c r="D44" s="40" t="n">
        <f aca="false">L43</f>
        <v>15378.7350037985</v>
      </c>
      <c r="E44" s="40" t="n">
        <f aca="false">J43</f>
        <v>298.088538691841</v>
      </c>
      <c r="F44" s="40" t="n">
        <f aca="false">D44+C44-E44</f>
        <v>15107.6464651067</v>
      </c>
      <c r="G44" s="41" t="n">
        <f aca="false">INDEX(QH_Z,M44)+N44*(INDEX(QH_Z,M44+1)-INDEX(QH_Z,M44))</f>
        <v>77.231388903849</v>
      </c>
      <c r="H44" s="42" t="n">
        <f aca="false">INDEX(QH_qtc,M44)+N44*(INDEX(QH_qtc,M44+1)-INDEX(QH_qtc,M44))</f>
        <v>155.936122278405</v>
      </c>
      <c r="I44" s="43" t="n">
        <f aca="false">IF($F$4=2,0,INDEX(QH_qsc,M44)+N44*(INDEX(QH_qsc,M44+1)-INDEX(QH_qsc,M44)))</f>
        <v>127.979044755461</v>
      </c>
      <c r="J44" s="40" t="n">
        <f aca="false">H44+I44</f>
        <v>283.915167033866</v>
      </c>
      <c r="K44" s="23" t="n">
        <f aca="false">INDEX(QH_V,M44)+N44*(INDEX(QH_V,M44+1)-INDEX(QH_V,M44))</f>
        <v>53.8764799737232</v>
      </c>
      <c r="L44" s="40" t="n">
        <f aca="false">K44*1000000/dt_s+J44/2</f>
        <v>15107.6464651067</v>
      </c>
      <c r="M44" s="44" t="n">
        <f aca="false">MATCH(F44,INDEX(QH_f,0,$F$4),1)</f>
        <v>63</v>
      </c>
      <c r="N44" s="45" t="n">
        <f aca="false">(F44-INDEX(QH_f,M44,$F$4))/(INDEX(QH_f,M44+1,$F$4)-INDEX(QH_f,M44,$F$4))</f>
        <v>0.313889038489758</v>
      </c>
    </row>
    <row r="45" customFormat="false" ht="15" hidden="false" customHeight="false" outlineLevel="0" collapsed="false">
      <c r="A45" s="14" t="n">
        <v>29</v>
      </c>
      <c r="B45" s="40" t="n">
        <f aca="false">IFERROR(INDEX(Lu_Q,MATCH(A45,Lu_t,0),$C$4),0)</f>
        <v>18</v>
      </c>
      <c r="C45" s="40" t="n">
        <f aca="false">(B44+B45)/2</f>
        <v>21</v>
      </c>
      <c r="D45" s="40" t="n">
        <f aca="false">L44</f>
        <v>15107.6464651067</v>
      </c>
      <c r="E45" s="40" t="n">
        <f aca="false">J44</f>
        <v>283.915167033866</v>
      </c>
      <c r="F45" s="40" t="n">
        <f aca="false">D45+C45-E45</f>
        <v>14844.7312980728</v>
      </c>
      <c r="G45" s="41" t="n">
        <f aca="false">INDEX(QH_Z,M45)+N45*(INDEX(QH_Z,M45+1)-INDEX(QH_Z,M45))</f>
        <v>77.1083067689869</v>
      </c>
      <c r="H45" s="42" t="n">
        <f aca="false">INDEX(QH_qtc,M45)+N45*(INDEX(QH_qtc,M45+1)-INDEX(QH_qtc,M45))</f>
        <v>145.485143395447</v>
      </c>
      <c r="I45" s="43" t="n">
        <f aca="false">IF($F$4=2,0,INDEX(QH_qsc,M45)+N45*(INDEX(QH_qsc,M45+1)-INDEX(QH_qsc,M45)))</f>
        <v>124.724364788707</v>
      </c>
      <c r="J45" s="40" t="n">
        <f aca="false">H45+I45</f>
        <v>270.209508184154</v>
      </c>
      <c r="K45" s="23" t="n">
        <f aca="false">INDEX(QH_V,M45)+N45*(INDEX(QH_V,M45+1)-INDEX(QH_V,M45))</f>
        <v>52.9546555583307</v>
      </c>
      <c r="L45" s="40" t="n">
        <f aca="false">K45*1000000/dt_s+J45/2</f>
        <v>14844.7312980728</v>
      </c>
      <c r="M45" s="44" t="n">
        <f aca="false">MATCH(F45,INDEX(QH_f,0,$F$4),1)</f>
        <v>62</v>
      </c>
      <c r="N45" s="45" t="n">
        <f aca="false">(F45-INDEX(QH_f,M45,$F$4))/(INDEX(QH_f,M45+1,$F$4)-INDEX(QH_f,M45,$F$4))</f>
        <v>0.0830676898692978</v>
      </c>
    </row>
    <row r="46" customFormat="false" ht="15" hidden="false" customHeight="false" outlineLevel="0" collapsed="false">
      <c r="A46" s="14" t="n">
        <v>30</v>
      </c>
      <c r="B46" s="40" t="n">
        <f aca="false">IFERROR(INDEX(Lu_Q,MATCH(A46,Lu_t,0),$C$4),0)</f>
        <v>14</v>
      </c>
      <c r="C46" s="40" t="n">
        <f aca="false">(B45+B46)/2</f>
        <v>16</v>
      </c>
      <c r="D46" s="40" t="n">
        <f aca="false">L45</f>
        <v>14844.7312980728</v>
      </c>
      <c r="E46" s="40" t="n">
        <f aca="false">J45</f>
        <v>270.209508184154</v>
      </c>
      <c r="F46" s="40" t="n">
        <f aca="false">D46+C46-E46</f>
        <v>14590.5217898887</v>
      </c>
      <c r="G46" s="41" t="n">
        <f aca="false">INDEX(QH_Z,M46)+N46*(INDEX(QH_Z,M46+1)-INDEX(QH_Z,M46))</f>
        <v>76.9882380186135</v>
      </c>
      <c r="H46" s="42" t="n">
        <f aca="false">INDEX(QH_qtc,M46)+N46*(INDEX(QH_qtc,M46+1)-INDEX(QH_qtc,M46))</f>
        <v>135.45671396403</v>
      </c>
      <c r="I46" s="43" t="n">
        <f aca="false">IF($F$4=2,0,INDEX(QH_qsc,M46)+N46*(INDEX(QH_qsc,M46+1)-INDEX(QH_qsc,M46)))</f>
        <v>121.556095105415</v>
      </c>
      <c r="J46" s="40" t="n">
        <f aca="false">H46+I46</f>
        <v>257.012809069445</v>
      </c>
      <c r="K46" s="23" t="n">
        <f aca="false">INDEX(QH_V,M46)+N46*(INDEX(QH_V,M46+1)-INDEX(QH_V,M46))</f>
        <v>52.0632553872743</v>
      </c>
      <c r="L46" s="40" t="n">
        <f aca="false">K46*1000000/dt_s+J46/2</f>
        <v>14590.5217898887</v>
      </c>
      <c r="M46" s="44" t="n">
        <f aca="false">MATCH(F46,INDEX(QH_f,0,$F$4),1)</f>
        <v>60</v>
      </c>
      <c r="N46" s="45" t="n">
        <f aca="false">(F46-INDEX(QH_f,M46,$F$4))/(INDEX(QH_f,M46+1,$F$4)-INDEX(QH_f,M46,$F$4))</f>
        <v>0.882380186134591</v>
      </c>
    </row>
    <row r="47" customFormat="false" ht="15" hidden="false" customHeight="false" outlineLevel="0" collapsed="false">
      <c r="A47" s="14" t="n">
        <v>31</v>
      </c>
      <c r="B47" s="40" t="n">
        <f aca="false">IFERROR(INDEX(Lu_Q,MATCH(A47,Lu_t,0),$C$4),0)</f>
        <v>11</v>
      </c>
      <c r="C47" s="40" t="n">
        <f aca="false">(B46+B47)/2</f>
        <v>12.5</v>
      </c>
      <c r="D47" s="40" t="n">
        <f aca="false">L46</f>
        <v>14590.5217898887</v>
      </c>
      <c r="E47" s="40" t="n">
        <f aca="false">J46</f>
        <v>257.012809069445</v>
      </c>
      <c r="F47" s="40" t="n">
        <f aca="false">D47+C47-E47</f>
        <v>14346.0089808192</v>
      </c>
      <c r="G47" s="41" t="n">
        <f aca="false">INDEX(QH_Z,M47)+N47*(INDEX(QH_Z,M47+1)-INDEX(QH_Z,M47))</f>
        <v>76.8717735655619</v>
      </c>
      <c r="H47" s="42" t="n">
        <f aca="false">INDEX(QH_qtc,M47)+N47*(INDEX(QH_qtc,M47+1)-INDEX(QH_qtc,M47))</f>
        <v>125.893938321429</v>
      </c>
      <c r="I47" s="43" t="n">
        <f aca="false">IF($F$4=2,0,INDEX(QH_qsc,M47)+N47*(INDEX(QH_qsc,M47+1)-INDEX(QH_qsc,M47)))</f>
        <v>118.489930127631</v>
      </c>
      <c r="J47" s="40" t="n">
        <f aca="false">H47+I47</f>
        <v>244.38386844906</v>
      </c>
      <c r="K47" s="23" t="n">
        <f aca="false">INDEX(QH_V,M47)+N47*(INDEX(QH_V,M47+1)-INDEX(QH_V,M47))</f>
        <v>51.205741367741</v>
      </c>
      <c r="L47" s="40" t="n">
        <f aca="false">K47*1000000/dt_s+J47/2</f>
        <v>14346.0089808192</v>
      </c>
      <c r="M47" s="44" t="n">
        <f aca="false">MATCH(F47,INDEX(QH_f,0,$F$4),1)</f>
        <v>59</v>
      </c>
      <c r="N47" s="45" t="n">
        <f aca="false">(F47-INDEX(QH_f,M47,$F$4))/(INDEX(QH_f,M47+1,$F$4)-INDEX(QH_f,M47,$F$4))</f>
        <v>0.717735655619021</v>
      </c>
    </row>
    <row r="48" customFormat="false" ht="15" hidden="false" customHeight="false" outlineLevel="0" collapsed="false">
      <c r="A48" s="14" t="n">
        <v>32</v>
      </c>
      <c r="B48" s="40" t="n">
        <f aca="false">IFERROR(INDEX(Lu_Q,MATCH(A48,Lu_t,0),$C$4),0)</f>
        <v>9</v>
      </c>
      <c r="C48" s="40" t="n">
        <f aca="false">(B47+B48)/2</f>
        <v>10</v>
      </c>
      <c r="D48" s="40" t="n">
        <f aca="false">L47</f>
        <v>14346.0089808192</v>
      </c>
      <c r="E48" s="40" t="n">
        <f aca="false">J47</f>
        <v>244.38386844906</v>
      </c>
      <c r="F48" s="40" t="n">
        <f aca="false">D48+C48-E48</f>
        <v>14111.6251123702</v>
      </c>
      <c r="G48" s="41" t="n">
        <f aca="false">INDEX(QH_Z,M48)+N48*(INDEX(QH_Z,M48+1)-INDEX(QH_Z,M48))</f>
        <v>76.7592611346596</v>
      </c>
      <c r="H48" s="42" t="n">
        <f aca="false">INDEX(QH_qtc,M48)+N48*(INDEX(QH_qtc,M48+1)-INDEX(QH_qtc,M48))</f>
        <v>116.812830705027</v>
      </c>
      <c r="I48" s="43" t="n">
        <f aca="false">IF($F$4=2,0,INDEX(QH_qsc,M48)+N48*(INDEX(QH_qsc,M48+1)-INDEX(QH_qsc,M48)))</f>
        <v>115.534752563938</v>
      </c>
      <c r="J48" s="40" t="n">
        <f aca="false">H48+I48</f>
        <v>232.347583268965</v>
      </c>
      <c r="K48" s="23" t="n">
        <f aca="false">INDEX(QH_V,M48)+N48*(INDEX(QH_V,M48+1)-INDEX(QH_V,M48))</f>
        <v>50.3836247546485</v>
      </c>
      <c r="L48" s="40" t="n">
        <f aca="false">K48*1000000/dt_s+J48/2</f>
        <v>14111.6251123702</v>
      </c>
      <c r="M48" s="44" t="n">
        <f aca="false">MATCH(F48,INDEX(QH_f,0,$F$4),1)</f>
        <v>58</v>
      </c>
      <c r="N48" s="45" t="n">
        <f aca="false">(F48-INDEX(QH_f,M48,$F$4))/(INDEX(QH_f,M48+1,$F$4)-INDEX(QH_f,M48,$F$4))</f>
        <v>0.5926113465959</v>
      </c>
    </row>
    <row r="49" customFormat="false" ht="15" hidden="false" customHeight="false" outlineLevel="0" collapsed="false">
      <c r="A49" s="14" t="n">
        <v>33</v>
      </c>
      <c r="B49" s="40" t="n">
        <f aca="false">IFERROR(INDEX(Lu_Q,MATCH(A49,Lu_t,0),$C$4),0)</f>
        <v>7</v>
      </c>
      <c r="C49" s="40" t="n">
        <f aca="false">(B48+B49)/2</f>
        <v>8</v>
      </c>
      <c r="D49" s="40" t="n">
        <f aca="false">L48</f>
        <v>14111.6251123702</v>
      </c>
      <c r="E49" s="40" t="n">
        <f aca="false">J48</f>
        <v>232.347583268965</v>
      </c>
      <c r="F49" s="40" t="n">
        <f aca="false">D49+C49-E49</f>
        <v>13887.2775291012</v>
      </c>
      <c r="G49" s="41" t="n">
        <f aca="false">INDEX(QH_Z,M49)+N49*(INDEX(QH_Z,M49+1)-INDEX(QH_Z,M49))</f>
        <v>76.6507369398344</v>
      </c>
      <c r="H49" s="42" t="n">
        <f aca="false">INDEX(QH_qtc,M49)+N49*(INDEX(QH_qtc,M49+1)-INDEX(QH_qtc,M49))</f>
        <v>108.211135866845</v>
      </c>
      <c r="I49" s="43" t="n">
        <f aca="false">IF($F$4=2,0,INDEX(QH_qsc,M49)+N49*(INDEX(QH_qsc,M49+1)-INDEX(QH_qsc,M49)))</f>
        <v>112.691483277949</v>
      </c>
      <c r="J49" s="40" t="n">
        <f aca="false">H49+I49</f>
        <v>220.902619144794</v>
      </c>
      <c r="K49" s="23" t="n">
        <f aca="false">INDEX(QH_V,M49)+N49*(INDEX(QH_V,M49+1)-INDEX(QH_V,M49))</f>
        <v>49.5965743903038</v>
      </c>
      <c r="L49" s="40" t="n">
        <f aca="false">K49*1000000/dt_s+J49/2</f>
        <v>13887.2775291012</v>
      </c>
      <c r="M49" s="44" t="n">
        <f aca="false">MATCH(F49,INDEX(QH_f,0,$F$4),1)</f>
        <v>57</v>
      </c>
      <c r="N49" s="45" t="n">
        <f aca="false">(F49-INDEX(QH_f,M49,$F$4))/(INDEX(QH_f,M49+1,$F$4)-INDEX(QH_f,M49,$F$4))</f>
        <v>0.5073693983443</v>
      </c>
    </row>
    <row r="50" customFormat="false" ht="15" hidden="false" customHeight="false" outlineLevel="0" collapsed="false">
      <c r="A50" s="14" t="n">
        <v>34</v>
      </c>
      <c r="B50" s="40" t="n">
        <f aca="false">IFERROR(INDEX(Lu_Q,MATCH(A50,Lu_t,0),$C$4),0)</f>
        <v>5</v>
      </c>
      <c r="C50" s="40" t="n">
        <f aca="false">(B49+B50)/2</f>
        <v>6</v>
      </c>
      <c r="D50" s="40" t="n">
        <f aca="false">L49</f>
        <v>13887.2775291012</v>
      </c>
      <c r="E50" s="40" t="n">
        <f aca="false">J49</f>
        <v>220.902619144794</v>
      </c>
      <c r="F50" s="40" t="n">
        <f aca="false">D50+C50-E50</f>
        <v>13672.3749099564</v>
      </c>
      <c r="G50" s="41" t="n">
        <f aca="false">INDEX(QH_Z,M50)+N50*(INDEX(QH_Z,M50+1)-INDEX(QH_Z,M50))</f>
        <v>76.5459946598661</v>
      </c>
      <c r="H50" s="42" t="n">
        <f aca="false">INDEX(QH_qtc,M50)+N50*(INDEX(QH_qtc,M50+1)-INDEX(QH_qtc,M50))</f>
        <v>100.06650570986</v>
      </c>
      <c r="I50" s="43" t="n">
        <f aca="false">IF($F$4=2,0,INDEX(QH_qsc,M50)+N50*(INDEX(QH_qsc,M50+1)-INDEX(QH_qsc,M50)))</f>
        <v>109.954600570025</v>
      </c>
      <c r="J50" s="40" t="n">
        <f aca="false">H50+I50</f>
        <v>210.021106279885</v>
      </c>
      <c r="K50" s="23" t="n">
        <f aca="false">INDEX(QH_V,M50)+N50*(INDEX(QH_V,M50+1)-INDEX(QH_V,M50))</f>
        <v>48.8425116845393</v>
      </c>
      <c r="L50" s="40" t="n">
        <f aca="false">K50*1000000/dt_s+J50/2</f>
        <v>13672.3749099564</v>
      </c>
      <c r="M50" s="44" t="n">
        <f aca="false">MATCH(F50,INDEX(QH_f,0,$F$4),1)</f>
        <v>56</v>
      </c>
      <c r="N50" s="45" t="n">
        <f aca="false">(F50-INDEX(QH_f,M50,$F$4))/(INDEX(QH_f,M50+1,$F$4)-INDEX(QH_f,M50,$F$4))</f>
        <v>0.459946598661118</v>
      </c>
    </row>
    <row r="51" customFormat="false" ht="15" hidden="false" customHeight="false" outlineLevel="0" collapsed="false">
      <c r="A51" s="14" t="n">
        <v>35</v>
      </c>
      <c r="B51" s="40" t="n">
        <f aca="false">IFERROR(INDEX(Lu_Q,MATCH(A51,Lu_t,0),$C$4),0)</f>
        <v>4</v>
      </c>
      <c r="C51" s="40" t="n">
        <f aca="false">(B50+B51)/2</f>
        <v>4.5</v>
      </c>
      <c r="D51" s="40" t="n">
        <f aca="false">L50</f>
        <v>13672.3749099564</v>
      </c>
      <c r="E51" s="40" t="n">
        <f aca="false">J50</f>
        <v>210.021106279885</v>
      </c>
      <c r="F51" s="40" t="n">
        <f aca="false">D51+C51-E51</f>
        <v>13466.8538036765</v>
      </c>
      <c r="G51" s="41" t="n">
        <f aca="false">INDEX(QH_Z,M51)+N51*(INDEX(QH_Z,M51+1)-INDEX(QH_Z,M51))</f>
        <v>76.445082393419</v>
      </c>
      <c r="H51" s="42" t="n">
        <f aca="false">INDEX(QH_qtc,M51)+N51*(INDEX(QH_qtc,M51+1)-INDEX(QH_qtc,M51))</f>
        <v>92.3757546133436</v>
      </c>
      <c r="I51" s="43" t="n">
        <f aca="false">IF($F$4=2,0,INDEX(QH_qsc,M51)+N51*(INDEX(QH_qsc,M51+1)-INDEX(QH_qsc,M51)))</f>
        <v>107.325156567349</v>
      </c>
      <c r="J51" s="40" t="n">
        <f aca="false">H51+I51</f>
        <v>199.700911180692</v>
      </c>
      <c r="K51" s="23" t="n">
        <f aca="false">INDEX(QH_V,M51)+N51*(INDEX(QH_V,M51+1)-INDEX(QH_V,M51))</f>
        <v>48.1212120531103</v>
      </c>
      <c r="L51" s="40" t="n">
        <f aca="false">K51*1000000/dt_s+J51/2</f>
        <v>13466.8538036765</v>
      </c>
      <c r="M51" s="44" t="n">
        <f aca="false">MATCH(F51,INDEX(QH_f,0,$F$4),1)</f>
        <v>55</v>
      </c>
      <c r="N51" s="45" t="n">
        <f aca="false">(F51-INDEX(QH_f,M51,$F$4))/(INDEX(QH_f,M51+1,$F$4)-INDEX(QH_f,M51,$F$4))</f>
        <v>0.450823934189873</v>
      </c>
    </row>
    <row r="52" customFormat="false" ht="15" hidden="false" customHeight="false" outlineLevel="0" collapsed="false">
      <c r="A52" s="14" t="n">
        <v>36</v>
      </c>
      <c r="B52" s="40" t="n">
        <f aca="false">IFERROR(INDEX(Lu_Q,MATCH(A52,Lu_t,0),$C$4),0)</f>
        <v>3</v>
      </c>
      <c r="C52" s="40" t="n">
        <f aca="false">(B51+B52)/2</f>
        <v>3.5</v>
      </c>
      <c r="D52" s="40" t="n">
        <f aca="false">L51</f>
        <v>13466.8538036765</v>
      </c>
      <c r="E52" s="40" t="n">
        <f aca="false">J51</f>
        <v>199.700911180692</v>
      </c>
      <c r="F52" s="40" t="n">
        <f aca="false">D52+C52-E52</f>
        <v>13270.6528924959</v>
      </c>
      <c r="G52" s="41" t="n">
        <f aca="false">INDEX(QH_Z,M52)+N52*(INDEX(QH_Z,M52+1)-INDEX(QH_Z,M52))</f>
        <v>76.3480510646772</v>
      </c>
      <c r="H52" s="42" t="n">
        <f aca="false">INDEX(QH_qtc,M52)+N52*(INDEX(QH_qtc,M52+1)-INDEX(QH_qtc,M52))</f>
        <v>85.1342486125797</v>
      </c>
      <c r="I52" s="43" t="n">
        <f aca="false">IF($F$4=2,0,INDEX(QH_qsc,M52)+N52*(INDEX(QH_qsc,M52+1)-INDEX(QH_qsc,M52)))</f>
        <v>104.804157161953</v>
      </c>
      <c r="J52" s="40" t="n">
        <f aca="false">H52+I52</f>
        <v>189.938405774533</v>
      </c>
      <c r="K52" s="23" t="n">
        <f aca="false">INDEX(QH_V,M52)+N52*(INDEX(QH_V,M52+1)-INDEX(QH_V,M52))</f>
        <v>47.4324612825909</v>
      </c>
      <c r="L52" s="40" t="n">
        <f aca="false">K52*1000000/dt_s+J52/2</f>
        <v>13270.6528924959</v>
      </c>
      <c r="M52" s="44" t="n">
        <f aca="false">MATCH(F52,INDEX(QH_f,0,$F$4),1)</f>
        <v>54</v>
      </c>
      <c r="N52" s="45" t="n">
        <f aca="false">(F52-INDEX(QH_f,M52,$F$4))/(INDEX(QH_f,M52+1,$F$4)-INDEX(QH_f,M52,$F$4))</f>
        <v>0.480510646771577</v>
      </c>
    </row>
    <row r="53" customFormat="false" ht="15" hidden="false" customHeight="false" outlineLevel="0" collapsed="false">
      <c r="A53" s="14" t="n">
        <v>37</v>
      </c>
      <c r="B53" s="40" t="n">
        <f aca="false">IFERROR(INDEX(Lu_Q,MATCH(A53,Lu_t,0),$C$4),0)</f>
        <v>0</v>
      </c>
      <c r="C53" s="40" t="n">
        <f aca="false">(B52+B53)/2</f>
        <v>1.5</v>
      </c>
      <c r="D53" s="40" t="n">
        <f aca="false">L52</f>
        <v>13270.6528924959</v>
      </c>
      <c r="E53" s="40" t="n">
        <f aca="false">J52</f>
        <v>189.938405774533</v>
      </c>
      <c r="F53" s="40" t="n">
        <f aca="false">D53+C53-E53</f>
        <v>13082.2144867213</v>
      </c>
      <c r="G53" s="41" t="n">
        <f aca="false">INDEX(QH_Z,M53)+N53*(INDEX(QH_Z,M53+1)-INDEX(QH_Z,M53))</f>
        <v>76.2542054699667</v>
      </c>
      <c r="H53" s="42" t="n">
        <f aca="false">INDEX(QH_qtc,M53)+N53*(INDEX(QH_qtc,M53+1)-INDEX(QH_qtc,M53))</f>
        <v>78.2816613567725</v>
      </c>
      <c r="I53" s="43" t="n">
        <f aca="false">IF($F$4=2,0,INDEX(QH_qsc,M53)+N53*(INDEX(QH_qsc,M53+1)-INDEX(QH_qsc,M53)))</f>
        <v>102.373186243553</v>
      </c>
      <c r="J53" s="40" t="n">
        <f aca="false">H53+I53</f>
        <v>180.654847600326</v>
      </c>
      <c r="K53" s="23" t="n">
        <f aca="false">INDEX(QH_V,M53)+N53*(INDEX(QH_V,M53+1)-INDEX(QH_V,M53))</f>
        <v>46.7707934265162</v>
      </c>
      <c r="L53" s="40" t="n">
        <f aca="false">K53*1000000/dt_s+J53/2</f>
        <v>13082.2144867213</v>
      </c>
      <c r="M53" s="44" t="n">
        <f aca="false">MATCH(F53,INDEX(QH_f,0,$F$4),1)</f>
        <v>53</v>
      </c>
      <c r="N53" s="45" t="n">
        <f aca="false">(F53-INDEX(QH_f,M53,$F$4))/(INDEX(QH_f,M53+1,$F$4)-INDEX(QH_f,M53,$F$4))</f>
        <v>0.542054699667138</v>
      </c>
    </row>
    <row r="54" customFormat="false" ht="15" hidden="false" customHeight="false" outlineLevel="0" collapsed="false">
      <c r="A54" s="14" t="n">
        <v>38</v>
      </c>
      <c r="B54" s="40" t="n">
        <f aca="false">IFERROR(INDEX(Lu_Q,MATCH(A54,Lu_t,0),$C$4),0)</f>
        <v>0</v>
      </c>
      <c r="C54" s="40" t="n">
        <f aca="false">(B53+B54)/2</f>
        <v>0</v>
      </c>
      <c r="D54" s="40" t="n">
        <f aca="false">L53</f>
        <v>13082.2144867213</v>
      </c>
      <c r="E54" s="40" t="n">
        <f aca="false">J53</f>
        <v>180.654847600326</v>
      </c>
      <c r="F54" s="40" t="n">
        <f aca="false">D54+C54-E54</f>
        <v>12901.559639121</v>
      </c>
      <c r="G54" s="41" t="n">
        <f aca="false">INDEX(QH_Z,M54)+N54*(INDEX(QH_Z,M54+1)-INDEX(QH_Z,M54))</f>
        <v>76.1636251893476</v>
      </c>
      <c r="H54" s="42" t="n">
        <f aca="false">INDEX(QH_qtc,M54)+N54*(INDEX(QH_qtc,M54+1)-INDEX(QH_qtc,M54))</f>
        <v>71.8155185348383</v>
      </c>
      <c r="I54" s="43" t="n">
        <f aca="false">IF($F$4=2,0,INDEX(QH_qsc,M54)+N54*(INDEX(QH_qsc,M54+1)-INDEX(QH_qsc,M54)))</f>
        <v>100.033928762913</v>
      </c>
      <c r="J54" s="40" t="n">
        <f aca="false">H54+I54</f>
        <v>171.849447297751</v>
      </c>
      <c r="K54" s="23" t="n">
        <f aca="false">INDEX(QH_V,M54)+N54*(INDEX(QH_V,M54+1)-INDEX(QH_V,M54))</f>
        <v>46.1362856956996</v>
      </c>
      <c r="L54" s="40" t="n">
        <f aca="false">K54*1000000/dt_s+J54/2</f>
        <v>12901.559639121</v>
      </c>
      <c r="M54" s="44" t="n">
        <f aca="false">MATCH(F54,INDEX(QH_f,0,$F$4),1)</f>
        <v>52</v>
      </c>
      <c r="N54" s="45" t="n">
        <f aca="false">(F54-INDEX(QH_f,M54,$F$4))/(INDEX(QH_f,M54+1,$F$4)-INDEX(QH_f,M54,$F$4))</f>
        <v>0.636251893476162</v>
      </c>
    </row>
    <row r="55" customFormat="false" ht="15" hidden="false" customHeight="false" outlineLevel="0" collapsed="false">
      <c r="A55" s="14" t="n">
        <v>39</v>
      </c>
      <c r="B55" s="40" t="n">
        <f aca="false">IFERROR(INDEX(Lu_Q,MATCH(A55,Lu_t,0),$C$4),0)</f>
        <v>0</v>
      </c>
      <c r="C55" s="40" t="n">
        <f aca="false">(B54+B55)/2</f>
        <v>0</v>
      </c>
      <c r="D55" s="40" t="n">
        <f aca="false">L54</f>
        <v>12901.559639121</v>
      </c>
      <c r="E55" s="40" t="n">
        <f aca="false">J54</f>
        <v>171.849447297751</v>
      </c>
      <c r="F55" s="40" t="n">
        <f aca="false">D55+C55-E55</f>
        <v>12729.7101918232</v>
      </c>
      <c r="G55" s="41" t="n">
        <f aca="false">INDEX(QH_Z,M55)+N55*(INDEX(QH_Z,M55+1)-INDEX(QH_Z,M55))</f>
        <v>76.0769004740949</v>
      </c>
      <c r="H55" s="42" t="n">
        <f aca="false">INDEX(QH_qtc,M55)+N55*(INDEX(QH_qtc,M55+1)-INDEX(QH_qtc,M55))</f>
        <v>65.7661141276079</v>
      </c>
      <c r="I55" s="43" t="n">
        <f aca="false">IF($F$4=2,0,INDEX(QH_qsc,M55)+N55*(INDEX(QH_qsc,M55+1)-INDEX(QH_qsc,M55)))</f>
        <v>97.8010566813632</v>
      </c>
      <c r="J55" s="40" t="n">
        <f aca="false">H55+I55</f>
        <v>163.567170808971</v>
      </c>
      <c r="K55" s="23" t="n">
        <f aca="false">INDEX(QH_V,M55)+N55*(INDEX(QH_V,M55+1)-INDEX(QH_V,M55))</f>
        <v>45.5325357831075</v>
      </c>
      <c r="L55" s="40" t="n">
        <f aca="false">K55*1000000/dt_s+J55/2</f>
        <v>12729.7101918232</v>
      </c>
      <c r="M55" s="44" t="n">
        <f aca="false">MATCH(F55,INDEX(QH_f,0,$F$4),1)</f>
        <v>51</v>
      </c>
      <c r="N55" s="45" t="n">
        <f aca="false">(F55-INDEX(QH_f,M55,$F$4))/(INDEX(QH_f,M55+1,$F$4)-INDEX(QH_f,M55,$F$4))</f>
        <v>0.769004740949525</v>
      </c>
    </row>
    <row r="56" customFormat="false" ht="15" hidden="false" customHeight="false" outlineLevel="0" collapsed="false">
      <c r="A56" s="14" t="n">
        <v>40</v>
      </c>
      <c r="B56" s="40" t="n">
        <f aca="false">IFERROR(INDEX(Lu_Q,MATCH(A56,Lu_t,0),$C$4),0)</f>
        <v>0</v>
      </c>
      <c r="C56" s="40" t="n">
        <f aca="false">(B55+B56)/2</f>
        <v>0</v>
      </c>
      <c r="D56" s="40" t="n">
        <f aca="false">L55</f>
        <v>12729.7101918232</v>
      </c>
      <c r="E56" s="40" t="n">
        <f aca="false">J55</f>
        <v>163.567170808971</v>
      </c>
      <c r="F56" s="40" t="n">
        <f aca="false">D56+C56-E56</f>
        <v>12566.1430210143</v>
      </c>
      <c r="G56" s="41" t="n">
        <f aca="false">INDEX(QH_Z,M56)+N56*(INDEX(QH_Z,M56+1)-INDEX(QH_Z,M56))</f>
        <v>75.9938527577505</v>
      </c>
      <c r="H56" s="42" t="n">
        <f aca="false">INDEX(QH_qtc,M56)+N56*(INDEX(QH_qtc,M56+1)-INDEX(QH_qtc,M56))</f>
        <v>60.1060979992935</v>
      </c>
      <c r="I56" s="43" t="n">
        <f aca="false">IF($F$4=2,0,INDEX(QH_qsc,M56)+N56*(INDEX(QH_qsc,M56+1)-INDEX(QH_qsc,M56)))</f>
        <v>95.6692396916175</v>
      </c>
      <c r="J56" s="40" t="n">
        <f aca="false">H56+I56</f>
        <v>155.775337690911</v>
      </c>
      <c r="K56" s="23" t="n">
        <f aca="false">INDEX(QH_V,M56)+N56*(INDEX(QH_V,M56+1)-INDEX(QH_V,M56))</f>
        <v>44.9577192678077</v>
      </c>
      <c r="L56" s="40" t="n">
        <f aca="false">K56*1000000/dt_s+J56/2</f>
        <v>12566.1430210143</v>
      </c>
      <c r="M56" s="44" t="n">
        <f aca="false">MATCH(F56,INDEX(QH_f,0,$F$4),1)</f>
        <v>50</v>
      </c>
      <c r="N56" s="45" t="n">
        <f aca="false">(F56-INDEX(QH_f,M56,$F$4))/(INDEX(QH_f,M56+1,$F$4)-INDEX(QH_f,M56,$F$4))</f>
        <v>0.938527577504699</v>
      </c>
    </row>
    <row r="57" customFormat="false" ht="15" hidden="false" customHeight="false" outlineLevel="0" collapsed="false">
      <c r="A57" s="14" t="n">
        <v>41</v>
      </c>
      <c r="B57" s="40" t="n">
        <f aca="false">IFERROR(INDEX(Lu_Q,MATCH(A57,Lu_t,0),$C$4),0)</f>
        <v>0</v>
      </c>
      <c r="C57" s="40" t="n">
        <f aca="false">(B56+B57)/2</f>
        <v>0</v>
      </c>
      <c r="D57" s="40" t="n">
        <f aca="false">L56</f>
        <v>12566.1430210143</v>
      </c>
      <c r="E57" s="40" t="n">
        <f aca="false">J56</f>
        <v>155.775337690911</v>
      </c>
      <c r="F57" s="40" t="n">
        <f aca="false">D57+C57-E57</f>
        <v>12410.3676833234</v>
      </c>
      <c r="G57" s="41" t="n">
        <f aca="false">INDEX(QH_Z,M57)+N57*(INDEX(QH_Z,M57+1)-INDEX(QH_Z,M57))</f>
        <v>75.9142312710635</v>
      </c>
      <c r="H57" s="42" t="n">
        <f aca="false">INDEX(QH_qtc,M57)+N57*(INDEX(QH_qtc,M57+1)-INDEX(QH_qtc,M57))</f>
        <v>54.8344420443079</v>
      </c>
      <c r="I57" s="43" t="n">
        <f aca="false">IF($F$4=2,0,INDEX(QH_qsc,M57)+N57*(INDEX(QH_qsc,M57+1)-INDEX(QH_qsc,M57)))</f>
        <v>93.6327677274898</v>
      </c>
      <c r="J57" s="40" t="n">
        <f aca="false">H57+I57</f>
        <v>148.467209771798</v>
      </c>
      <c r="K57" s="23" t="n">
        <f aca="false">INDEX(QH_V,M57)+N57*(INDEX(QH_V,M57+1)-INDEX(QH_V,M57))</f>
        <v>44.4100826823749</v>
      </c>
      <c r="L57" s="40" t="n">
        <f aca="false">K57*1000000/dt_s+J57/2</f>
        <v>12410.3676833234</v>
      </c>
      <c r="M57" s="44" t="n">
        <f aca="false">MATCH(F57,INDEX(QH_f,0,$F$4),1)</f>
        <v>50</v>
      </c>
      <c r="N57" s="45" t="n">
        <f aca="false">(F57-INDEX(QH_f,M57,$F$4))/(INDEX(QH_f,M57+1,$F$4)-INDEX(QH_f,M57,$F$4))</f>
        <v>0.142312710635091</v>
      </c>
    </row>
    <row r="58" customFormat="false" ht="15" hidden="false" customHeight="false" outlineLevel="0" collapsed="false">
      <c r="A58" s="14" t="n">
        <v>42</v>
      </c>
      <c r="B58" s="40" t="n">
        <f aca="false">IFERROR(INDEX(Lu_Q,MATCH(A58,Lu_t,0),$C$4),0)</f>
        <v>0</v>
      </c>
      <c r="C58" s="40" t="n">
        <f aca="false">(B57+B58)/2</f>
        <v>0</v>
      </c>
      <c r="D58" s="40" t="n">
        <f aca="false">L57</f>
        <v>12410.3676833234</v>
      </c>
      <c r="E58" s="40" t="n">
        <f aca="false">J57</f>
        <v>148.467209771798</v>
      </c>
      <c r="F58" s="40" t="n">
        <f aca="false">D58+C58-E58</f>
        <v>12261.9004735516</v>
      </c>
      <c r="G58" s="41" t="n">
        <f aca="false">INDEX(QH_Z,M58)+N58*(INDEX(QH_Z,M58+1)-INDEX(QH_Z,M58))</f>
        <v>75.83792006792</v>
      </c>
      <c r="H58" s="42" t="n">
        <f aca="false">INDEX(QH_qtc,M58)+N58*(INDEX(QH_qtc,M58+1)-INDEX(QH_qtc,M58))</f>
        <v>49.9213214612859</v>
      </c>
      <c r="I58" s="43" t="n">
        <f aca="false">IF($F$4=2,0,INDEX(QH_qsc,M58)+N58*(INDEX(QH_qsc,M58+1)-INDEX(QH_qsc,M58)))</f>
        <v>91.6875455498705</v>
      </c>
      <c r="J58" s="40" t="n">
        <f aca="false">H58+I58</f>
        <v>141.608867011156</v>
      </c>
      <c r="K58" s="23" t="n">
        <f aca="false">INDEX(QH_V,M58)+N58*(INDEX(QH_V,M58+1)-INDEX(QH_V,M58))</f>
        <v>43.8879457441655</v>
      </c>
      <c r="L58" s="40" t="n">
        <f aca="false">K58*1000000/dt_s+J58/2</f>
        <v>12261.9004735516</v>
      </c>
      <c r="M58" s="44" t="n">
        <f aca="false">MATCH(F58,INDEX(QH_f,0,$F$4),1)</f>
        <v>49</v>
      </c>
      <c r="N58" s="45" t="n">
        <f aca="false">(F58-INDEX(QH_f,M58,$F$4))/(INDEX(QH_f,M58+1,$F$4)-INDEX(QH_f,M58,$F$4))</f>
        <v>0.379200679200369</v>
      </c>
    </row>
    <row r="59" customFormat="false" ht="15" hidden="false" customHeight="false" outlineLevel="0" collapsed="false">
      <c r="A59" s="14" t="n">
        <v>43</v>
      </c>
      <c r="B59" s="40" t="n">
        <f aca="false">IFERROR(INDEX(Lu_Q,MATCH(A59,Lu_t,0),$C$4),0)</f>
        <v>0</v>
      </c>
      <c r="C59" s="40" t="n">
        <f aca="false">(B58+B59)/2</f>
        <v>0</v>
      </c>
      <c r="D59" s="40" t="n">
        <f aca="false">L58</f>
        <v>12261.9004735516</v>
      </c>
      <c r="E59" s="40" t="n">
        <f aca="false">J58</f>
        <v>141.608867011156</v>
      </c>
      <c r="F59" s="40" t="n">
        <f aca="false">D59+C59-E59</f>
        <v>12120.2916065404</v>
      </c>
      <c r="G59" s="41" t="n">
        <f aca="false">INDEX(QH_Z,M59)+N59*(INDEX(QH_Z,M59+1)-INDEX(QH_Z,M59))</f>
        <v>75.7647961626931</v>
      </c>
      <c r="H59" s="42" t="n">
        <f aca="false">INDEX(QH_qtc,M59)+N59*(INDEX(QH_qtc,M59+1)-INDEX(QH_qtc,M59))</f>
        <v>45.3287326776729</v>
      </c>
      <c r="I59" s="43" t="n">
        <f aca="false">IF($F$4=2,0,INDEX(QH_qsc,M59)+N59*(INDEX(QH_qsc,M59+1)-INDEX(QH_qsc,M59)))</f>
        <v>89.8289555773273</v>
      </c>
      <c r="J59" s="40" t="n">
        <f aca="false">H59+I59</f>
        <v>135.157688255</v>
      </c>
      <c r="K59" s="23" t="n">
        <f aca="false">INDEX(QH_V,M59)+N59*(INDEX(QH_V,M59+1)-INDEX(QH_V,M59))</f>
        <v>43.3897659446865</v>
      </c>
      <c r="L59" s="40" t="n">
        <f aca="false">K59*1000000/dt_s+J59/2</f>
        <v>12120.2916065404</v>
      </c>
      <c r="M59" s="44" t="n">
        <f aca="false">MATCH(F59,INDEX(QH_f,0,$F$4),1)</f>
        <v>48</v>
      </c>
      <c r="N59" s="45" t="n">
        <f aca="false">(F59-INDEX(QH_f,M59,$F$4))/(INDEX(QH_f,M59+1,$F$4)-INDEX(QH_f,M59,$F$4))</f>
        <v>0.647961626931448</v>
      </c>
    </row>
    <row r="60" customFormat="false" ht="15" hidden="false" customHeight="false" outlineLevel="0" collapsed="false">
      <c r="A60" s="14" t="n">
        <v>44</v>
      </c>
      <c r="B60" s="40" t="n">
        <f aca="false">IFERROR(INDEX(Lu_Q,MATCH(A60,Lu_t,0),$C$4),0)</f>
        <v>0</v>
      </c>
      <c r="C60" s="40" t="n">
        <f aca="false">(B59+B60)/2</f>
        <v>0</v>
      </c>
      <c r="D60" s="40" t="n">
        <f aca="false">L59</f>
        <v>12120.2916065404</v>
      </c>
      <c r="E60" s="40" t="n">
        <f aca="false">J59</f>
        <v>135.157688255</v>
      </c>
      <c r="F60" s="40" t="n">
        <f aca="false">D60+C60-E60</f>
        <v>11985.1339182854</v>
      </c>
      <c r="G60" s="41" t="n">
        <f aca="false">INDEX(QH_Z,M60)+N60*(INDEX(QH_Z,M60+1)-INDEX(QH_Z,M60))</f>
        <v>75.6947134534017</v>
      </c>
      <c r="H60" s="42" t="n">
        <f aca="false">INDEX(QH_qtc,M60)+N60*(INDEX(QH_qtc,M60+1)-INDEX(QH_qtc,M60))</f>
        <v>41.0282839911916</v>
      </c>
      <c r="I60" s="43" t="n">
        <f aca="false">IF($F$4=2,0,INDEX(QH_qsc,M60)+N60*(INDEX(QH_qsc,M60+1)-INDEX(QH_qsc,M60)))</f>
        <v>88.0523544420358</v>
      </c>
      <c r="J60" s="40" t="n">
        <f aca="false">H60+I60</f>
        <v>129.080638433227</v>
      </c>
      <c r="K60" s="23" t="n">
        <f aca="false">INDEX(QH_V,M60)+N60*(INDEX(QH_V,M60+1)-INDEX(QH_V,M60))</f>
        <v>42.9141369566476</v>
      </c>
      <c r="L60" s="40" t="n">
        <f aca="false">K60*1000000/dt_s+J60/2</f>
        <v>11985.1339182854</v>
      </c>
      <c r="M60" s="44" t="n">
        <f aca="false">MATCH(F60,INDEX(QH_f,0,$F$4),1)</f>
        <v>47</v>
      </c>
      <c r="N60" s="45" t="n">
        <f aca="false">(F60-INDEX(QH_f,M60,$F$4))/(INDEX(QH_f,M60+1,$F$4)-INDEX(QH_f,M60,$F$4))</f>
        <v>0.947134534016647</v>
      </c>
    </row>
    <row r="61" customFormat="false" ht="15" hidden="false" customHeight="false" outlineLevel="0" collapsed="false">
      <c r="A61" s="14" t="n">
        <v>45</v>
      </c>
      <c r="B61" s="40" t="n">
        <f aca="false">IFERROR(INDEX(Lu_Q,MATCH(A61,Lu_t,0),$C$4),0)</f>
        <v>0</v>
      </c>
      <c r="C61" s="40" t="n">
        <f aca="false">(B60+B61)/2</f>
        <v>0</v>
      </c>
      <c r="D61" s="40" t="n">
        <f aca="false">L60</f>
        <v>11985.1339182854</v>
      </c>
      <c r="E61" s="40" t="n">
        <f aca="false">J60</f>
        <v>129.080638433227</v>
      </c>
      <c r="F61" s="40" t="n">
        <f aca="false">D61+C61-E61</f>
        <v>11856.0532798522</v>
      </c>
      <c r="G61" s="41" t="n">
        <f aca="false">INDEX(QH_Z,M61)+N61*(INDEX(QH_Z,M61+1)-INDEX(QH_Z,M61))</f>
        <v>75.6273433917893</v>
      </c>
      <c r="H61" s="42" t="n">
        <f aca="false">INDEX(QH_qtc,M61)+N61*(INDEX(QH_qtc,M61+1)-INDEX(QH_qtc,M61))</f>
        <v>37.0555167967146</v>
      </c>
      <c r="I61" s="43" t="n">
        <f aca="false">IF($F$4=2,0,INDEX(QH_qsc,M61)+N61*(INDEX(QH_qsc,M61+1)-INDEX(QH_qsc,M61)))</f>
        <v>86.351864568378</v>
      </c>
      <c r="J61" s="40" t="n">
        <f aca="false">H61+I61</f>
        <v>123.407381365093</v>
      </c>
      <c r="K61" s="23" t="n">
        <f aca="false">INDEX(QH_V,M61)+N61*(INDEX(QH_V,M61+1)-INDEX(QH_V,M61))</f>
        <v>42.4596585210107</v>
      </c>
      <c r="L61" s="40" t="n">
        <f aca="false">K61*1000000/dt_s+J61/2</f>
        <v>11856.0532798522</v>
      </c>
      <c r="M61" s="44" t="n">
        <f aca="false">MATCH(F61,INDEX(QH_f,0,$F$4),1)</f>
        <v>47</v>
      </c>
      <c r="N61" s="45" t="n">
        <f aca="false">(F61-INDEX(QH_f,M61,$F$4))/(INDEX(QH_f,M61+1,$F$4)-INDEX(QH_f,M61,$F$4))</f>
        <v>0.273433917893101</v>
      </c>
    </row>
    <row r="62" customFormat="false" ht="15" hidden="false" customHeight="false" outlineLevel="0" collapsed="false">
      <c r="A62" s="14" t="n">
        <v>46</v>
      </c>
      <c r="B62" s="40" t="n">
        <f aca="false">IFERROR(INDEX(Lu_Q,MATCH(A62,Lu_t,0),$C$4),0)</f>
        <v>0</v>
      </c>
      <c r="C62" s="40" t="n">
        <f aca="false">(B61+B62)/2</f>
        <v>0</v>
      </c>
      <c r="D62" s="40" t="n">
        <f aca="false">L61</f>
        <v>11856.0532798522</v>
      </c>
      <c r="E62" s="40" t="n">
        <f aca="false">J61</f>
        <v>123.407381365093</v>
      </c>
      <c r="F62" s="40" t="n">
        <f aca="false">D62+C62-E62</f>
        <v>11732.6458984871</v>
      </c>
      <c r="G62" s="41" t="n">
        <f aca="false">INDEX(QH_Z,M62)+N62*(INDEX(QH_Z,M62+1)-INDEX(QH_Z,M62))</f>
        <v>75.5626677300659</v>
      </c>
      <c r="H62" s="42" t="n">
        <f aca="false">INDEX(QH_qtc,M62)+N62*(INDEX(QH_qtc,M62+1)-INDEX(QH_qtc,M62))</f>
        <v>33.3460434226621</v>
      </c>
      <c r="I62" s="43" t="n">
        <f aca="false">IF($F$4=2,0,INDEX(QH_qsc,M62)+N62*(INDEX(QH_qsc,M62+1)-INDEX(QH_qsc,M62)))</f>
        <v>84.7240163840424</v>
      </c>
      <c r="J62" s="40" t="n">
        <f aca="false">H62+I62</f>
        <v>118.070059806705</v>
      </c>
      <c r="K62" s="23" t="n">
        <f aca="false">INDEX(QH_V,M62)+N62*(INDEX(QH_V,M62+1)-INDEX(QH_V,M62))</f>
        <v>42.0249991269014</v>
      </c>
      <c r="L62" s="40" t="n">
        <f aca="false">K62*1000000/dt_s+J62/2</f>
        <v>11732.6458984871</v>
      </c>
      <c r="M62" s="44" t="n">
        <f aca="false">MATCH(F62,INDEX(QH_f,0,$F$4),1)</f>
        <v>46</v>
      </c>
      <c r="N62" s="45" t="n">
        <f aca="false">(F62-INDEX(QH_f,M62,$F$4))/(INDEX(QH_f,M62+1,$F$4)-INDEX(QH_f,M62,$F$4))</f>
        <v>0.626677300658692</v>
      </c>
    </row>
    <row r="63" customFormat="false" ht="15" hidden="false" customHeight="false" outlineLevel="0" collapsed="false">
      <c r="A63" s="14" t="n">
        <v>47</v>
      </c>
      <c r="B63" s="40" t="n">
        <f aca="false">IFERROR(INDEX(Lu_Q,MATCH(A63,Lu_t,0),$C$4),0)</f>
        <v>0</v>
      </c>
      <c r="C63" s="40" t="n">
        <f aca="false">(B62+B63)/2</f>
        <v>0</v>
      </c>
      <c r="D63" s="40" t="n">
        <f aca="false">L62</f>
        <v>11732.6458984871</v>
      </c>
      <c r="E63" s="40" t="n">
        <f aca="false">J62</f>
        <v>118.070059806705</v>
      </c>
      <c r="F63" s="40" t="n">
        <f aca="false">D63+C63-E63</f>
        <v>11614.5758386804</v>
      </c>
      <c r="G63" s="41" t="n">
        <f aca="false">INDEX(QH_Z,M63)+N63*(INDEX(QH_Z,M63+1)-INDEX(QH_Z,M63))</f>
        <v>75.5006011009424</v>
      </c>
      <c r="H63" s="42" t="n">
        <f aca="false">INDEX(QH_qtc,M63)+N63*(INDEX(QH_qtc,M63+1)-INDEX(QH_qtc,M63))</f>
        <v>29.8595973373489</v>
      </c>
      <c r="I63" s="43" t="n">
        <f aca="false">IF($F$4=2,0,INDEX(QH_qsc,M63)+N63*(INDEX(QH_qsc,M63+1)-INDEX(QH_qsc,M63)))</f>
        <v>83.1650919589404</v>
      </c>
      <c r="J63" s="40" t="n">
        <f aca="false">H63+I63</f>
        <v>113.024689296289</v>
      </c>
      <c r="K63" s="23" t="n">
        <f aca="false">INDEX(QH_V,M63)+N63*(INDEX(QH_V,M63+1)-INDEX(QH_V,M63))</f>
        <v>41.609028578516</v>
      </c>
      <c r="L63" s="40" t="n">
        <f aca="false">K63*1000000/dt_s+J63/2</f>
        <v>11614.5758386804</v>
      </c>
      <c r="M63" s="44" t="n">
        <f aca="false">MATCH(F63,INDEX(QH_f,0,$F$4),1)</f>
        <v>46</v>
      </c>
      <c r="N63" s="45" t="n">
        <f aca="false">(F63-INDEX(QH_f,M63,$F$4))/(INDEX(QH_f,M63+1,$F$4)-INDEX(QH_f,M63,$F$4))</f>
        <v>0.00601100942410339</v>
      </c>
    </row>
    <row r="64" customFormat="false" ht="15" hidden="false" customHeight="false" outlineLevel="0" collapsed="false">
      <c r="A64" s="14" t="n">
        <v>48</v>
      </c>
      <c r="B64" s="40" t="n">
        <f aca="false">IFERROR(INDEX(Lu_Q,MATCH(A64,Lu_t,0),$C$4),0)</f>
        <v>0</v>
      </c>
      <c r="C64" s="40" t="n">
        <f aca="false">(B63+B64)/2</f>
        <v>0</v>
      </c>
      <c r="D64" s="40" t="n">
        <f aca="false">L63</f>
        <v>11614.5758386804</v>
      </c>
      <c r="E64" s="40" t="n">
        <f aca="false">J63</f>
        <v>113.024689296289</v>
      </c>
      <c r="F64" s="40" t="n">
        <f aca="false">D64+C64-E64</f>
        <v>11501.5511493841</v>
      </c>
      <c r="G64" s="41" t="n">
        <f aca="false">INDEX(QH_Z,M64)+N64*(INDEX(QH_Z,M64+1)-INDEX(QH_Z,M64))</f>
        <v>75.4407567179111</v>
      </c>
      <c r="H64" s="42" t="n">
        <f aca="false">INDEX(QH_qtc,M64)+N64*(INDEX(QH_qtc,M64+1)-INDEX(QH_qtc,M64))</f>
        <v>26.6780196377882</v>
      </c>
      <c r="I64" s="43" t="n">
        <f aca="false">IF($F$4=2,0,INDEX(QH_qsc,M64)+N64*(INDEX(QH_qsc,M64+1)-INDEX(QH_qsc,M64)))</f>
        <v>81.6697081015031</v>
      </c>
      <c r="J64" s="40" t="n">
        <f aca="false">H64+I64</f>
        <v>108.347727739291</v>
      </c>
      <c r="K64" s="23" t="n">
        <f aca="false">INDEX(QH_V,M64)+N64*(INDEX(QH_V,M64+1)-INDEX(QH_V,M64))</f>
        <v>41.210558227852</v>
      </c>
      <c r="L64" s="40" t="n">
        <f aca="false">K64*1000000/dt_s+J64/2</f>
        <v>11501.5511493841</v>
      </c>
      <c r="M64" s="44" t="n">
        <f aca="false">MATCH(F64,INDEX(QH_f,0,$F$4),1)</f>
        <v>45</v>
      </c>
      <c r="N64" s="45" t="n">
        <f aca="false">(F64-INDEX(QH_f,M64,$F$4))/(INDEX(QH_f,M64+1,$F$4)-INDEX(QH_f,M64,$F$4))</f>
        <v>0.407567179110791</v>
      </c>
    </row>
  </sheetData>
  <mergeCells count="12">
    <mergeCell ref="A3:B3"/>
    <mergeCell ref="D3:E3"/>
    <mergeCell ref="F3:G3"/>
    <mergeCell ref="A4:B4"/>
    <mergeCell ref="D4:E4"/>
    <mergeCell ref="A6:E6"/>
    <mergeCell ref="A7:E7"/>
    <mergeCell ref="A8:E8"/>
    <mergeCell ref="A9:E9"/>
    <mergeCell ref="A10:E10"/>
    <mergeCell ref="A11:E11"/>
    <mergeCell ref="A12:E12"/>
  </mergeCells>
  <conditionalFormatting sqref="A16:N64">
    <cfRule type="expression" priority="2" aboveAverage="0" equalAverage="0" bottom="0" percent="0" rank="0" text="" dxfId="0">
      <formula>$G16=MAX($G$16:$G$64)</formula>
    </cfRule>
  </conditionalFormatting>
  <dataValidations count="2">
    <dataValidation allowBlank="false" errorStyle="stop" operator="between" showDropDown="false" showErrorMessage="false" showInputMessage="false" sqref="C3" type="list">
      <formula1>"1,0.2"</formula1>
      <formula2>0</formula2>
    </dataValidation>
    <dataValidation allowBlank="false" errorStyle="stop" operator="between" showDropDown="false" showErrorMessage="false" showInputMessage="false" sqref="F3" type="list">
      <formula1>"Hai tràn,Kẹt van"</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N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5" topLeftCell="B16" activePane="bottomRight" state="frozen"/>
      <selection pane="topLeft" activeCell="A1" activeCellId="0" sqref="A1"/>
      <selection pane="topRight" activeCell="B1" activeCellId="0" sqref="B1"/>
      <selection pane="bottomLeft" activeCell="A16" activeCellId="0" sqref="A1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11"/>
    <col collapsed="false" customWidth="true" hidden="false" outlineLevel="0" max="4" min="4" style="0" width="12"/>
    <col collapsed="false" customWidth="true" hidden="false" outlineLevel="0" max="5" min="5" style="0" width="11"/>
    <col collapsed="false" customWidth="true" hidden="false" outlineLevel="0" max="10" min="6" style="0" width="12"/>
    <col collapsed="false" customWidth="true" hidden="false" outlineLevel="0" max="11" min="11" style="0" width="11"/>
    <col collapsed="false" customWidth="true" hidden="false" outlineLevel="0" max="12" min="12" style="0" width="12"/>
    <col collapsed="false" customWidth="true" hidden="false" outlineLevel="0" max="14" min="13" style="0" width="10"/>
  </cols>
  <sheetData>
    <row r="1" customFormat="false" ht="17.35" hidden="false" customHeight="false" outlineLevel="0" collapsed="false">
      <c r="A1" s="6" t="s">
        <v>98</v>
      </c>
    </row>
    <row r="3" customFormat="false" ht="15" hidden="false" customHeight="false" outlineLevel="0" collapsed="false">
      <c r="A3" s="10" t="s">
        <v>99</v>
      </c>
      <c r="B3" s="10"/>
      <c r="C3" s="33" t="n">
        <v>0.2</v>
      </c>
      <c r="D3" s="10" t="s">
        <v>100</v>
      </c>
      <c r="E3" s="10"/>
      <c r="F3" s="34" t="s">
        <v>125</v>
      </c>
      <c r="G3" s="34"/>
      <c r="H3" s="7" t="s">
        <v>102</v>
      </c>
    </row>
    <row r="4" customFormat="false" ht="15" hidden="false" customHeight="false" outlineLevel="0" collapsed="false">
      <c r="A4" s="13" t="s">
        <v>103</v>
      </c>
      <c r="B4" s="13"/>
      <c r="C4" s="35" t="n">
        <f aca="false">MATCH(C3,Lu_P,0)</f>
        <v>2</v>
      </c>
      <c r="D4" s="13" t="s">
        <v>104</v>
      </c>
      <c r="E4" s="13"/>
      <c r="F4" s="35" t="n">
        <f aca="false">IF(F3="Kẹt van",2,1)</f>
        <v>2</v>
      </c>
    </row>
    <row r="5" customFormat="false" ht="15" hidden="false" customHeight="false" outlineLevel="0" collapsed="false">
      <c r="H5" s="7" t="s">
        <v>105</v>
      </c>
    </row>
    <row r="6" customFormat="false" ht="15" hidden="false" customHeight="false" outlineLevel="0" collapsed="false">
      <c r="A6" s="10" t="s">
        <v>106</v>
      </c>
      <c r="B6" s="10"/>
      <c r="C6" s="10"/>
      <c r="D6" s="10"/>
      <c r="E6" s="10"/>
      <c r="F6" s="21" t="n">
        <f aca="false">MAX(G16:G64)</f>
        <v>79.1402507451014</v>
      </c>
      <c r="H6" s="7" t="s">
        <v>107</v>
      </c>
    </row>
    <row r="7" customFormat="false" ht="15" hidden="false" customHeight="false" outlineLevel="0" collapsed="false">
      <c r="A7" s="10" t="s">
        <v>108</v>
      </c>
      <c r="B7" s="10"/>
      <c r="C7" s="10"/>
      <c r="D7" s="10"/>
      <c r="E7" s="10"/>
      <c r="F7" s="36" t="n">
        <f aca="false">INDEX(A16:A64,MATCH(MAX(G16:G64),G16:G64,0))</f>
        <v>17</v>
      </c>
    </row>
    <row r="8" customFormat="false" ht="15" hidden="false" customHeight="false" outlineLevel="0" collapsed="false">
      <c r="A8" s="10" t="s">
        <v>109</v>
      </c>
      <c r="B8" s="10"/>
      <c r="C8" s="10"/>
      <c r="D8" s="10"/>
      <c r="E8" s="10"/>
      <c r="F8" s="37" t="n">
        <f aca="false">MAX(J16:J64)</f>
        <v>331.620673136649</v>
      </c>
    </row>
    <row r="9" customFormat="false" ht="15" hidden="false" customHeight="false" outlineLevel="0" collapsed="false">
      <c r="A9" s="10" t="s">
        <v>110</v>
      </c>
      <c r="B9" s="10"/>
      <c r="C9" s="10"/>
      <c r="D9" s="10"/>
      <c r="E9" s="10"/>
      <c r="F9" s="37" t="n">
        <f aca="false">INDEX(H16:H64,MATCH(MAX(G16:G64),G16:G64,0))</f>
        <v>331.620673136649</v>
      </c>
      <c r="G9" s="37" t="n">
        <f aca="false">INDEX(I16:I64,MATCH(MAX(G16:G64),G16:G64,0))</f>
        <v>0</v>
      </c>
    </row>
    <row r="10" customFormat="false" ht="15" hidden="false" customHeight="false" outlineLevel="0" collapsed="false">
      <c r="A10" s="10" t="s">
        <v>111</v>
      </c>
      <c r="B10" s="10"/>
      <c r="C10" s="10"/>
      <c r="D10" s="10"/>
      <c r="E10" s="10"/>
      <c r="F10" s="21" t="n">
        <f aca="false">F6-TC_Z</f>
        <v>4.4402507451014</v>
      </c>
      <c r="G10" s="21" t="n">
        <f aca="false">F6-SC_Z</f>
        <v>8.1402507451014</v>
      </c>
    </row>
    <row r="11" customFormat="false" ht="15" hidden="false" customHeight="false" outlineLevel="0" collapsed="false">
      <c r="A11" s="10" t="s">
        <v>112</v>
      </c>
      <c r="B11" s="10"/>
      <c r="C11" s="10"/>
      <c r="D11" s="10"/>
      <c r="E11" s="10"/>
      <c r="F11" s="38" t="n">
        <f aca="false">INDEX(K16:K64,MATCH(MAX(G16:G64),G16:G64,0))-K16</f>
        <v>32.7533401094404</v>
      </c>
    </row>
    <row r="12" customFormat="false" ht="15" hidden="false" customHeight="false" outlineLevel="0" collapsed="false">
      <c r="A12" s="10" t="s">
        <v>113</v>
      </c>
      <c r="B12" s="10"/>
      <c r="C12" s="10"/>
      <c r="D12" s="10"/>
      <c r="E12" s="10"/>
      <c r="F12" s="39" t="n">
        <f aca="false">SUMPRODUCT((B16:B63+B17:B64)/2)*dt_s/1000000-SUMPRODUCT((J16:J63+J17:J64)/2)*dt_s/1000000-(K64-K16)</f>
        <v>0</v>
      </c>
    </row>
    <row r="15" customFormat="false" ht="45" hidden="false" customHeight="true" outlineLevel="0" collapsed="false">
      <c r="A15" s="9" t="s">
        <v>72</v>
      </c>
      <c r="B15" s="9" t="s">
        <v>114</v>
      </c>
      <c r="C15" s="9" t="s">
        <v>115</v>
      </c>
      <c r="D15" s="9" t="s">
        <v>116</v>
      </c>
      <c r="E15" s="9" t="s">
        <v>117</v>
      </c>
      <c r="F15" s="9" t="s">
        <v>118</v>
      </c>
      <c r="G15" s="9" t="s">
        <v>119</v>
      </c>
      <c r="H15" s="9" t="s">
        <v>90</v>
      </c>
      <c r="I15" s="9" t="s">
        <v>93</v>
      </c>
      <c r="J15" s="9" t="s">
        <v>120</v>
      </c>
      <c r="K15" s="9" t="s">
        <v>121</v>
      </c>
      <c r="L15" s="9" t="s">
        <v>122</v>
      </c>
      <c r="M15" s="9" t="s">
        <v>123</v>
      </c>
      <c r="N15" s="9" t="s">
        <v>124</v>
      </c>
    </row>
    <row r="16" customFormat="false" ht="15" hidden="false" customHeight="false" outlineLevel="0" collapsed="false">
      <c r="A16" s="14" t="n">
        <v>0</v>
      </c>
      <c r="B16" s="40" t="n">
        <f aca="false">IFERROR(INDEX(Lu_Q,MATCH(A16,Lu_t,0),$C$4),0)</f>
        <v>4</v>
      </c>
      <c r="C16" s="40"/>
      <c r="D16" s="40"/>
      <c r="E16" s="40"/>
      <c r="F16" s="40"/>
      <c r="G16" s="41" t="n">
        <f aca="false">Z0</f>
        <v>74.7</v>
      </c>
      <c r="H16" s="42" t="n">
        <f aca="false">INDEX(QH_qtc,M16)+N16*(INDEX(QH_qtc,M16+1)-INDEX(QH_qtc,M16))</f>
        <v>0</v>
      </c>
      <c r="I16" s="43" t="n">
        <f aca="false">IF($F$4=2,0,INDEX(QH_qsc,M16)+N16*(INDEX(QH_qsc,M16+1)-INDEX(QH_qsc,M16)))</f>
        <v>0</v>
      </c>
      <c r="J16" s="40" t="n">
        <f aca="false">H16+I16</f>
        <v>0</v>
      </c>
      <c r="K16" s="23" t="n">
        <f aca="false">INDEX(QH_V,M16)+N16*(INDEX(QH_V,M16+1)-INDEX(QH_V,M16))</f>
        <v>36.4117</v>
      </c>
      <c r="L16" s="40" t="n">
        <f aca="false">K16*1000000/dt_s+J16/2</f>
        <v>10114.3611111111</v>
      </c>
      <c r="M16" s="44" t="n">
        <f aca="false">MATCH(G16,QH_Z,1)</f>
        <v>38</v>
      </c>
      <c r="N16" s="45" t="n">
        <f aca="false">(G16-INDEX(QH_Z,M16))/(INDEX(QH_Z,M16+1)-INDEX(QH_Z,M16))</f>
        <v>0</v>
      </c>
    </row>
    <row r="17" customFormat="false" ht="15" hidden="false" customHeight="false" outlineLevel="0" collapsed="false">
      <c r="A17" s="14" t="n">
        <v>1</v>
      </c>
      <c r="B17" s="40" t="n">
        <f aca="false">IFERROR(INDEX(Lu_Q,MATCH(A17,Lu_t,0),$C$4),0)</f>
        <v>4</v>
      </c>
      <c r="C17" s="40" t="n">
        <f aca="false">(B16+B17)/2</f>
        <v>4</v>
      </c>
      <c r="D17" s="40" t="n">
        <f aca="false">L16</f>
        <v>10114.3611111111</v>
      </c>
      <c r="E17" s="40" t="n">
        <f aca="false">J16</f>
        <v>0</v>
      </c>
      <c r="F17" s="40" t="n">
        <f aca="false">D17+C17-E17</f>
        <v>10118.3611111111</v>
      </c>
      <c r="G17" s="41" t="n">
        <f aca="false">INDEX(QH_Z,M17)+N17*(INDEX(QH_Z,M17+1)-INDEX(QH_Z,M17))</f>
        <v>74.7022786939839</v>
      </c>
      <c r="H17" s="42" t="n">
        <f aca="false">INDEX(QH_qtc,M17)+N17*(INDEX(QH_qtc,M17+1)-INDEX(QH_qtc,M17))</f>
        <v>0.0309007617327881</v>
      </c>
      <c r="I17" s="43" t="n">
        <f aca="false">IF($F$4=2,0,INDEX(QH_qsc,M17)+N17*(INDEX(QH_qsc,M17+1)-INDEX(QH_qsc,M17)))</f>
        <v>0</v>
      </c>
      <c r="J17" s="40" t="n">
        <f aca="false">H17+I17</f>
        <v>0.0309007617327881</v>
      </c>
      <c r="K17" s="23" t="n">
        <f aca="false">INDEX(QH_V,M17)+N17*(INDEX(QH_V,M17+1)-INDEX(QH_V,M17))</f>
        <v>36.4260443786289</v>
      </c>
      <c r="L17" s="40" t="n">
        <f aca="false">K17*1000000/dt_s+J17/2</f>
        <v>10118.3611111111</v>
      </c>
      <c r="M17" s="44" t="n">
        <f aca="false">MATCH(F17,INDEX(QH_f,0,$F$4),1)</f>
        <v>38</v>
      </c>
      <c r="N17" s="45" t="n">
        <f aca="false">(F17-INDEX(QH_f,M17,$F$4))/(INDEX(QH_f,M17+1,$F$4)-INDEX(QH_f,M17,$F$4))</f>
        <v>0.0227869398393671</v>
      </c>
    </row>
    <row r="18" customFormat="false" ht="15" hidden="false" customHeight="false" outlineLevel="0" collapsed="false">
      <c r="A18" s="14" t="n">
        <v>2</v>
      </c>
      <c r="B18" s="40" t="n">
        <f aca="false">IFERROR(INDEX(Lu_Q,MATCH(A18,Lu_t,0),$C$4),0)</f>
        <v>84</v>
      </c>
      <c r="C18" s="40" t="n">
        <f aca="false">(B17+B18)/2</f>
        <v>44</v>
      </c>
      <c r="D18" s="40" t="n">
        <f aca="false">L17</f>
        <v>10118.3611111111</v>
      </c>
      <c r="E18" s="40" t="n">
        <f aca="false">J17</f>
        <v>0.0309007617327881</v>
      </c>
      <c r="F18" s="40" t="n">
        <f aca="false">D18+C18-E18</f>
        <v>10162.3302103494</v>
      </c>
      <c r="G18" s="41" t="n">
        <f aca="false">INDEX(QH_Z,M18)+N18*(INDEX(QH_Z,M18+1)-INDEX(QH_Z,M18))</f>
        <v>74.7273267244623</v>
      </c>
      <c r="H18" s="42" t="n">
        <f aca="false">INDEX(QH_qtc,M18)+N18*(INDEX(QH_qtc,M18+1)-INDEX(QH_qtc,M18))</f>
        <v>0.370570426524557</v>
      </c>
      <c r="I18" s="43" t="n">
        <f aca="false">IF($F$4=2,0,INDEX(QH_qsc,M18)+N18*(INDEX(QH_qsc,M18+1)-INDEX(QH_qsc,M18)))</f>
        <v>0</v>
      </c>
      <c r="J18" s="40" t="n">
        <f aca="false">H18+I18</f>
        <v>0.370570426524557</v>
      </c>
      <c r="K18" s="23" t="n">
        <f aca="false">INDEX(QH_V,M18)+N18*(INDEX(QH_V,M18+1)-INDEX(QH_V,M18))</f>
        <v>36.58372173049</v>
      </c>
      <c r="L18" s="40" t="n">
        <f aca="false">K18*1000000/dt_s+J18/2</f>
        <v>10162.3302103494</v>
      </c>
      <c r="M18" s="44" t="n">
        <f aca="false">MATCH(F18,INDEX(QH_f,0,$F$4),1)</f>
        <v>38</v>
      </c>
      <c r="N18" s="45" t="n">
        <f aca="false">(F18-INDEX(QH_f,M18,$F$4))/(INDEX(QH_f,M18+1,$F$4)-INDEX(QH_f,M18,$F$4))</f>
        <v>0.273267244622769</v>
      </c>
    </row>
    <row r="19" customFormat="false" ht="15" hidden="false" customHeight="false" outlineLevel="0" collapsed="false">
      <c r="A19" s="14" t="n">
        <v>3</v>
      </c>
      <c r="B19" s="40" t="n">
        <f aca="false">IFERROR(INDEX(Lu_Q,MATCH(A19,Lu_t,0),$C$4),0)</f>
        <v>324</v>
      </c>
      <c r="C19" s="40" t="n">
        <f aca="false">(B18+B19)/2</f>
        <v>204</v>
      </c>
      <c r="D19" s="40" t="n">
        <f aca="false">L18</f>
        <v>10162.3302103494</v>
      </c>
      <c r="E19" s="40" t="n">
        <f aca="false">J18</f>
        <v>0.370570426524557</v>
      </c>
      <c r="F19" s="40" t="n">
        <f aca="false">D19+C19-E19</f>
        <v>10365.9596399229</v>
      </c>
      <c r="G19" s="41" t="n">
        <f aca="false">INDEX(QH_Z,M19)+N19*(INDEX(QH_Z,M19+1)-INDEX(QH_Z,M19))</f>
        <v>74.8427476361973</v>
      </c>
      <c r="H19" s="42" t="n">
        <f aca="false">INDEX(QH_qtc,M19)+N19*(INDEX(QH_qtc,M19+1)-INDEX(QH_qtc,M19))</f>
        <v>2.40943881747192</v>
      </c>
      <c r="I19" s="43" t="n">
        <f aca="false">IF($F$4=2,0,INDEX(QH_qsc,M19)+N19*(INDEX(QH_qsc,M19+1)-INDEX(QH_qsc,M19)))</f>
        <v>0</v>
      </c>
      <c r="J19" s="40" t="n">
        <f aca="false">H19+I19</f>
        <v>2.40943881747192</v>
      </c>
      <c r="K19" s="23" t="n">
        <f aca="false">INDEX(QH_V,M19)+N19*(INDEX(QH_V,M19+1)-INDEX(QH_V,M19))</f>
        <v>37.3131177138508</v>
      </c>
      <c r="L19" s="40" t="n">
        <f aca="false">K19*1000000/dt_s+J19/2</f>
        <v>10365.9596399229</v>
      </c>
      <c r="M19" s="44" t="n">
        <f aca="false">MATCH(F19,INDEX(QH_f,0,$F$4),1)</f>
        <v>39</v>
      </c>
      <c r="N19" s="45" t="n">
        <f aca="false">(F19-INDEX(QH_f,M19,$F$4))/(INDEX(QH_f,M19+1,$F$4)-INDEX(QH_f,M19,$F$4))</f>
        <v>0.427476361972707</v>
      </c>
    </row>
    <row r="20" customFormat="false" ht="15" hidden="false" customHeight="false" outlineLevel="0" collapsed="false">
      <c r="A20" s="14" t="n">
        <v>4</v>
      </c>
      <c r="B20" s="40" t="n">
        <f aca="false">IFERROR(INDEX(Lu_Q,MATCH(A20,Lu_t,0),$C$4),0)</f>
        <v>652</v>
      </c>
      <c r="C20" s="40" t="n">
        <f aca="false">(B19+B20)/2</f>
        <v>488</v>
      </c>
      <c r="D20" s="40" t="n">
        <f aca="false">L19</f>
        <v>10365.9596399229</v>
      </c>
      <c r="E20" s="40" t="n">
        <f aca="false">J19</f>
        <v>2.40943881747192</v>
      </c>
      <c r="F20" s="40" t="n">
        <f aca="false">D20+C20-E20</f>
        <v>10851.5502011054</v>
      </c>
      <c r="G20" s="41" t="n">
        <f aca="false">INDEX(QH_Z,M20)+N20*(INDEX(QH_Z,M20+1)-INDEX(QH_Z,M20))</f>
        <v>75.1118285490324</v>
      </c>
      <c r="H20" s="42" t="n">
        <f aca="false">INDEX(QH_qtc,M20)+N20*(INDEX(QH_qtc,M20+1)-INDEX(QH_qtc,M20))</f>
        <v>11.2153405522758</v>
      </c>
      <c r="I20" s="43" t="n">
        <f aca="false">IF($F$4=2,0,INDEX(QH_qsc,M20)+N20*(INDEX(QH_qsc,M20+1)-INDEX(QH_qsc,M20)))</f>
        <v>0</v>
      </c>
      <c r="J20" s="40" t="n">
        <f aca="false">H20+I20</f>
        <v>11.2153405522758</v>
      </c>
      <c r="K20" s="23" t="n">
        <f aca="false">INDEX(QH_V,M20)+N20*(INDEX(QH_V,M20+1)-INDEX(QH_V,M20))</f>
        <v>39.0453931109853</v>
      </c>
      <c r="L20" s="40" t="n">
        <f aca="false">K20*1000000/dt_s+J20/2</f>
        <v>10851.5502011054</v>
      </c>
      <c r="M20" s="44" t="n">
        <f aca="false">MATCH(F20,INDEX(QH_f,0,$F$4),1)</f>
        <v>42</v>
      </c>
      <c r="N20" s="45" t="n">
        <f aca="false">(F20-INDEX(QH_f,M20,$F$4))/(INDEX(QH_f,M20+1,$F$4)-INDEX(QH_f,M20,$F$4))</f>
        <v>0.118285490323819</v>
      </c>
    </row>
    <row r="21" customFormat="false" ht="15" hidden="false" customHeight="false" outlineLevel="0" collapsed="false">
      <c r="A21" s="14" t="n">
        <v>5</v>
      </c>
      <c r="B21" s="40" t="n">
        <f aca="false">IFERROR(INDEX(Lu_Q,MATCH(A21,Lu_t,0),$C$4),0)</f>
        <v>950</v>
      </c>
      <c r="C21" s="40" t="n">
        <f aca="false">(B20+B21)/2</f>
        <v>801</v>
      </c>
      <c r="D21" s="40" t="n">
        <f aca="false">L20</f>
        <v>10851.5502011054</v>
      </c>
      <c r="E21" s="40" t="n">
        <f aca="false">J20</f>
        <v>11.2153405522758</v>
      </c>
      <c r="F21" s="40" t="n">
        <f aca="false">D21+C21-E21</f>
        <v>11641.3348605531</v>
      </c>
      <c r="G21" s="41" t="n">
        <f aca="false">INDEX(QH_Z,M21)+N21*(INDEX(QH_Z,M21+1)-INDEX(QH_Z,M21))</f>
        <v>75.5367653871904</v>
      </c>
      <c r="H21" s="42" t="n">
        <f aca="false">INDEX(QH_qtc,M21)+N21*(INDEX(QH_qtc,M21+1)-INDEX(QH_qtc,M21))</f>
        <v>31.891040578238</v>
      </c>
      <c r="I21" s="43" t="n">
        <f aca="false">IF($F$4=2,0,INDEX(QH_qsc,M21)+N21*(INDEX(QH_qsc,M21+1)-INDEX(QH_qsc,M21)))</f>
        <v>0</v>
      </c>
      <c r="J21" s="40" t="n">
        <f aca="false">H21+I21</f>
        <v>31.891040578238</v>
      </c>
      <c r="K21" s="23" t="n">
        <f aca="false">INDEX(QH_V,M21)+N21*(INDEX(QH_V,M21+1)-INDEX(QH_V,M21))</f>
        <v>41.8514016249504</v>
      </c>
      <c r="L21" s="40" t="n">
        <f aca="false">K21*1000000/dt_s+J21/2</f>
        <v>11641.3348605531</v>
      </c>
      <c r="M21" s="44" t="n">
        <f aca="false">MATCH(F21,INDEX(QH_f,0,$F$4),1)</f>
        <v>46</v>
      </c>
      <c r="N21" s="45" t="n">
        <f aca="false">(F21-INDEX(QH_f,M21,$F$4))/(INDEX(QH_f,M21+1,$F$4)-INDEX(QH_f,M21,$F$4))</f>
        <v>0.36765387190448</v>
      </c>
    </row>
    <row r="22" customFormat="false" ht="15" hidden="false" customHeight="false" outlineLevel="0" collapsed="false">
      <c r="A22" s="14" t="n">
        <v>6</v>
      </c>
      <c r="B22" s="40" t="n">
        <f aca="false">IFERROR(INDEX(Lu_Q,MATCH(A22,Lu_t,0),$C$4),0)</f>
        <v>1150</v>
      </c>
      <c r="C22" s="40" t="n">
        <f aca="false">(B21+B22)/2</f>
        <v>1050</v>
      </c>
      <c r="D22" s="40" t="n">
        <f aca="false">L21</f>
        <v>11641.3348605531</v>
      </c>
      <c r="E22" s="40" t="n">
        <f aca="false">J21</f>
        <v>31.891040578238</v>
      </c>
      <c r="F22" s="40" t="n">
        <f aca="false">D22+C22-E22</f>
        <v>12659.4438199749</v>
      </c>
      <c r="G22" s="41" t="n">
        <f aca="false">INDEX(QH_Z,M22)+N22*(INDEX(QH_Z,M22+1)-INDEX(QH_Z,M22))</f>
        <v>76.0659870930294</v>
      </c>
      <c r="H22" s="42" t="n">
        <f aca="false">INDEX(QH_qtc,M22)+N22*(INDEX(QH_qtc,M22+1)-INDEX(QH_qtc,M22))</f>
        <v>65.0206292673562</v>
      </c>
      <c r="I22" s="43" t="n">
        <f aca="false">IF($F$4=2,0,INDEX(QH_qsc,M22)+N22*(INDEX(QH_qsc,M22+1)-INDEX(QH_qsc,M22)))</f>
        <v>0</v>
      </c>
      <c r="J22" s="40" t="n">
        <f aca="false">H22+I22</f>
        <v>65.0206292673562</v>
      </c>
      <c r="K22" s="23" t="n">
        <f aca="false">INDEX(QH_V,M22)+N22*(INDEX(QH_V,M22+1)-INDEX(QH_V,M22))</f>
        <v>45.4569606192283</v>
      </c>
      <c r="L22" s="40" t="n">
        <f aca="false">K22*1000000/dt_s+J22/2</f>
        <v>12659.4438199749</v>
      </c>
      <c r="M22" s="44" t="n">
        <f aca="false">MATCH(F22,INDEX(QH_f,0,$F$4),1)</f>
        <v>51</v>
      </c>
      <c r="N22" s="45" t="n">
        <f aca="false">(F22-INDEX(QH_f,M22,$F$4))/(INDEX(QH_f,M22+1,$F$4)-INDEX(QH_f,M22,$F$4))</f>
        <v>0.659870930293612</v>
      </c>
    </row>
    <row r="23" customFormat="false" ht="15" hidden="false" customHeight="false" outlineLevel="0" collapsed="false">
      <c r="A23" s="14" t="n">
        <v>7</v>
      </c>
      <c r="B23" s="40" t="n">
        <f aca="false">IFERROR(INDEX(Lu_Q,MATCH(A23,Lu_t,0),$C$4),0)</f>
        <v>1239</v>
      </c>
      <c r="C23" s="40" t="n">
        <f aca="false">(B22+B23)/2</f>
        <v>1194.5</v>
      </c>
      <c r="D23" s="40" t="n">
        <f aca="false">L22</f>
        <v>12659.4438199749</v>
      </c>
      <c r="E23" s="40" t="n">
        <f aca="false">J22</f>
        <v>65.0206292673562</v>
      </c>
      <c r="F23" s="40" t="n">
        <f aca="false">D23+C23-E23</f>
        <v>13788.9231907075</v>
      </c>
      <c r="G23" s="41" t="n">
        <f aca="false">INDEX(QH_Z,M23)+N23*(INDEX(QH_Z,M23+1)-INDEX(QH_Z,M23))</f>
        <v>76.6302068801042</v>
      </c>
      <c r="H23" s="42" t="n">
        <f aca="false">INDEX(QH_qtc,M23)+N23*(INDEX(QH_qtc,M23+1)-INDEX(QH_qtc,M23))</f>
        <v>106.599320996612</v>
      </c>
      <c r="I23" s="43" t="n">
        <f aca="false">IF($F$4=2,0,INDEX(QH_qsc,M23)+N23*(INDEX(QH_qsc,M23+1)-INDEX(QH_qsc,M23)))</f>
        <v>0</v>
      </c>
      <c r="J23" s="40" t="n">
        <f aca="false">H23+I23</f>
        <v>106.599320996612</v>
      </c>
      <c r="K23" s="23" t="n">
        <f aca="false">INDEX(QH_V,M23)+N23*(INDEX(QH_V,M23+1)-INDEX(QH_V,M23))</f>
        <v>49.4482447087532</v>
      </c>
      <c r="L23" s="40" t="n">
        <f aca="false">K23*1000000/dt_s+J23/2</f>
        <v>13788.9231907075</v>
      </c>
      <c r="M23" s="44" t="n">
        <f aca="false">MATCH(F23,INDEX(QH_f,0,$F$4),1)</f>
        <v>57</v>
      </c>
      <c r="N23" s="45" t="n">
        <f aca="false">(F23-INDEX(QH_f,M23,$F$4))/(INDEX(QH_f,M23+1,$F$4)-INDEX(QH_f,M23,$F$4))</f>
        <v>0.302068801042463</v>
      </c>
    </row>
    <row r="24" customFormat="false" ht="15" hidden="false" customHeight="false" outlineLevel="0" collapsed="false">
      <c r="A24" s="14" t="n">
        <v>8</v>
      </c>
      <c r="B24" s="40" t="n">
        <f aca="false">IFERROR(INDEX(Lu_Q,MATCH(A24,Lu_t,0),$C$4),0)</f>
        <v>1236</v>
      </c>
      <c r="C24" s="40" t="n">
        <f aca="false">(B23+B24)/2</f>
        <v>1237.5</v>
      </c>
      <c r="D24" s="40" t="n">
        <f aca="false">L23</f>
        <v>13788.9231907075</v>
      </c>
      <c r="E24" s="40" t="n">
        <f aca="false">J23</f>
        <v>106.599320996612</v>
      </c>
      <c r="F24" s="40" t="n">
        <f aca="false">D24+C24-E24</f>
        <v>14919.8238697109</v>
      </c>
      <c r="G24" s="41" t="n">
        <f aca="false">INDEX(QH_Z,M24)+N24*(INDEX(QH_Z,M24+1)-INDEX(QH_Z,M24))</f>
        <v>77.1731705350896</v>
      </c>
      <c r="H24" s="42" t="n">
        <f aca="false">INDEX(QH_qtc,M24)+N24*(INDEX(QH_qtc,M24+1)-INDEX(QH_qtc,M24))</f>
        <v>150.975791867577</v>
      </c>
      <c r="I24" s="43" t="n">
        <f aca="false">IF($F$4=2,0,INDEX(QH_qsc,M24)+N24*(INDEX(QH_qsc,M24+1)-INDEX(QH_qsc,M24)))</f>
        <v>0</v>
      </c>
      <c r="J24" s="40" t="n">
        <f aca="false">H24+I24</f>
        <v>150.975791867577</v>
      </c>
      <c r="K24" s="23" t="n">
        <f aca="false">INDEX(QH_V,M24)+N24*(INDEX(QH_V,M24+1)-INDEX(QH_V,M24))</f>
        <v>53.4396095055976</v>
      </c>
      <c r="L24" s="40" t="n">
        <f aca="false">K24*1000000/dt_s+J24/2</f>
        <v>14919.8238697109</v>
      </c>
      <c r="M24" s="44" t="n">
        <f aca="false">MATCH(F24,INDEX(QH_f,0,$F$4),1)</f>
        <v>62</v>
      </c>
      <c r="N24" s="45" t="n">
        <f aca="false">(F24-INDEX(QH_f,M24,$F$4))/(INDEX(QH_f,M24+1,$F$4)-INDEX(QH_f,M24,$F$4))</f>
        <v>0.73170535089629</v>
      </c>
    </row>
    <row r="25" customFormat="false" ht="15" hidden="false" customHeight="false" outlineLevel="0" collapsed="false">
      <c r="A25" s="14" t="n">
        <v>9</v>
      </c>
      <c r="B25" s="40" t="n">
        <f aca="false">IFERROR(INDEX(Lu_Q,MATCH(A25,Lu_t,0),$C$4),0)</f>
        <v>1168</v>
      </c>
      <c r="C25" s="40" t="n">
        <f aca="false">(B24+B25)/2</f>
        <v>1202</v>
      </c>
      <c r="D25" s="40" t="n">
        <f aca="false">L24</f>
        <v>14919.8238697109</v>
      </c>
      <c r="E25" s="40" t="n">
        <f aca="false">J24</f>
        <v>150.975791867577</v>
      </c>
      <c r="F25" s="40" t="n">
        <f aca="false">D25+C25-E25</f>
        <v>15970.8480778433</v>
      </c>
      <c r="G25" s="41" t="n">
        <f aca="false">INDEX(QH_Z,M25)+N25*(INDEX(QH_Z,M25+1)-INDEX(QH_Z,M25))</f>
        <v>77.6601514914498</v>
      </c>
      <c r="H25" s="42" t="n">
        <f aca="false">INDEX(QH_qtc,M25)+N25*(INDEX(QH_qtc,M25+1)-INDEX(QH_qtc,M25))</f>
        <v>193.439902273318</v>
      </c>
      <c r="I25" s="43" t="n">
        <f aca="false">IF($F$4=2,0,INDEX(QH_qsc,M25)+N25*(INDEX(QH_qsc,M25+1)-INDEX(QH_qsc,M25)))</f>
        <v>0</v>
      </c>
      <c r="J25" s="40" t="n">
        <f aca="false">H25+I25</f>
        <v>193.439902273318</v>
      </c>
      <c r="K25" s="23" t="n">
        <f aca="false">INDEX(QH_V,M25)+N25*(INDEX(QH_V,M25+1)-INDEX(QH_V,M25))</f>
        <v>57.146861256144</v>
      </c>
      <c r="L25" s="40" t="n">
        <f aca="false">K25*1000000/dt_s+J25/2</f>
        <v>15970.8480778433</v>
      </c>
      <c r="M25" s="44" t="n">
        <f aca="false">MATCH(F25,INDEX(QH_f,0,$F$4),1)</f>
        <v>67</v>
      </c>
      <c r="N25" s="45" t="n">
        <f aca="false">(F25-INDEX(QH_f,M25,$F$4))/(INDEX(QH_f,M25+1,$F$4)-INDEX(QH_f,M25,$F$4))</f>
        <v>0.601514914497853</v>
      </c>
    </row>
    <row r="26" customFormat="false" ht="15" hidden="false" customHeight="false" outlineLevel="0" collapsed="false">
      <c r="A26" s="14" t="n">
        <v>10</v>
      </c>
      <c r="B26" s="40" t="n">
        <f aca="false">IFERROR(INDEX(Lu_Q,MATCH(A26,Lu_t,0),$C$4),0)</f>
        <v>1062</v>
      </c>
      <c r="C26" s="40" t="n">
        <f aca="false">(B25+B26)/2</f>
        <v>1115</v>
      </c>
      <c r="D26" s="40" t="n">
        <f aca="false">L25</f>
        <v>15970.8480778433</v>
      </c>
      <c r="E26" s="40" t="n">
        <f aca="false">J25</f>
        <v>193.439902273318</v>
      </c>
      <c r="F26" s="40" t="n">
        <f aca="false">D26+C26-E26</f>
        <v>16892.40817557</v>
      </c>
      <c r="G26" s="41" t="n">
        <f aca="false">INDEX(QH_Z,M26)+N26*(INDEX(QH_Z,M26+1)-INDEX(QH_Z,M26))</f>
        <v>78.0745706273876</v>
      </c>
      <c r="H26" s="42" t="n">
        <f aca="false">INDEX(QH_qtc,M26)+N26*(INDEX(QH_qtc,M26+1)-INDEX(QH_qtc,M26))</f>
        <v>231.042740613264</v>
      </c>
      <c r="I26" s="43" t="n">
        <f aca="false">IF($F$4=2,0,INDEX(QH_qsc,M26)+N26*(INDEX(QH_qsc,M26+1)-INDEX(QH_qsc,M26)))</f>
        <v>0</v>
      </c>
      <c r="J26" s="40" t="n">
        <f aca="false">H26+I26</f>
        <v>231.042740613264</v>
      </c>
      <c r="K26" s="23" t="n">
        <f aca="false">INDEX(QH_V,M26)+N26*(INDEX(QH_V,M26+1)-INDEX(QH_V,M26))</f>
        <v>60.3967924989482</v>
      </c>
      <c r="L26" s="40" t="n">
        <f aca="false">K26*1000000/dt_s+J26/2</f>
        <v>16892.40817557</v>
      </c>
      <c r="M26" s="44" t="n">
        <f aca="false">MATCH(F26,INDEX(QH_f,0,$F$4),1)</f>
        <v>71</v>
      </c>
      <c r="N26" s="45" t="n">
        <f aca="false">(F26-INDEX(QH_f,M26,$F$4))/(INDEX(QH_f,M26+1,$F$4)-INDEX(QH_f,M26,$F$4))</f>
        <v>0.745706273876251</v>
      </c>
    </row>
    <row r="27" customFormat="false" ht="15" hidden="false" customHeight="false" outlineLevel="0" collapsed="false">
      <c r="A27" s="14" t="n">
        <v>11</v>
      </c>
      <c r="B27" s="40" t="n">
        <f aca="false">IFERROR(INDEX(Lu_Q,MATCH(A27,Lu_t,0),$C$4),0)</f>
        <v>937</v>
      </c>
      <c r="C27" s="40" t="n">
        <f aca="false">(B26+B27)/2</f>
        <v>999.5</v>
      </c>
      <c r="D27" s="40" t="n">
        <f aca="false">L26</f>
        <v>16892.40817557</v>
      </c>
      <c r="E27" s="40" t="n">
        <f aca="false">J26</f>
        <v>231.042740613264</v>
      </c>
      <c r="F27" s="40" t="n">
        <f aca="false">D27+C27-E27</f>
        <v>17660.8654349567</v>
      </c>
      <c r="G27" s="41" t="n">
        <f aca="false">INDEX(QH_Z,M27)+N27*(INDEX(QH_Z,M27+1)-INDEX(QH_Z,M27))</f>
        <v>78.4118139687018</v>
      </c>
      <c r="H27" s="42" t="n">
        <f aca="false">INDEX(QH_qtc,M27)+N27*(INDEX(QH_qtc,M27+1)-INDEX(QH_qtc,M27))</f>
        <v>262.390335964876</v>
      </c>
      <c r="I27" s="43" t="n">
        <f aca="false">IF($F$4=2,0,INDEX(QH_qsc,M27)+N27*(INDEX(QH_qsc,M27+1)-INDEX(QH_qsc,M27)))</f>
        <v>0</v>
      </c>
      <c r="J27" s="40" t="n">
        <f aca="false">H27+I27</f>
        <v>262.390335964876</v>
      </c>
      <c r="K27" s="23" t="n">
        <f aca="false">INDEX(QH_V,M27)+N27*(INDEX(QH_V,M27+1)-INDEX(QH_V,M27))</f>
        <v>63.1068129611075</v>
      </c>
      <c r="L27" s="40" t="n">
        <f aca="false">K27*1000000/dt_s+J27/2</f>
        <v>17660.8654349567</v>
      </c>
      <c r="M27" s="44" t="n">
        <f aca="false">MATCH(F27,INDEX(QH_f,0,$F$4),1)</f>
        <v>75</v>
      </c>
      <c r="N27" s="45" t="n">
        <f aca="false">(F27-INDEX(QH_f,M27,$F$4))/(INDEX(QH_f,M27+1,$F$4)-INDEX(QH_f,M27,$F$4))</f>
        <v>0.118139687018012</v>
      </c>
    </row>
    <row r="28" customFormat="false" ht="15" hidden="false" customHeight="false" outlineLevel="0" collapsed="false">
      <c r="A28" s="14" t="n">
        <v>12</v>
      </c>
      <c r="B28" s="40" t="n">
        <f aca="false">IFERROR(INDEX(Lu_Q,MATCH(A28,Lu_t,0),$C$4),0)</f>
        <v>808</v>
      </c>
      <c r="C28" s="40" t="n">
        <f aca="false">(B27+B28)/2</f>
        <v>872.5</v>
      </c>
      <c r="D28" s="40" t="n">
        <f aca="false">L27</f>
        <v>17660.8654349567</v>
      </c>
      <c r="E28" s="40" t="n">
        <f aca="false">J27</f>
        <v>262.390335964876</v>
      </c>
      <c r="F28" s="40" t="n">
        <f aca="false">D28+C28-E28</f>
        <v>18270.9750989919</v>
      </c>
      <c r="G28" s="41" t="n">
        <f aca="false">INDEX(QH_Z,M28)+N28*(INDEX(QH_Z,M28+1)-INDEX(QH_Z,M28))</f>
        <v>78.6744451592964</v>
      </c>
      <c r="H28" s="42" t="n">
        <f aca="false">INDEX(QH_qtc,M28)+N28*(INDEX(QH_qtc,M28+1)-INDEX(QH_qtc,M28))</f>
        <v>287.159268052281</v>
      </c>
      <c r="I28" s="43" t="n">
        <f aca="false">IF($F$4=2,0,INDEX(QH_qsc,M28)+N28*(INDEX(QH_qsc,M28+1)-INDEX(QH_qsc,M28)))</f>
        <v>0</v>
      </c>
      <c r="J28" s="40" t="n">
        <f aca="false">H28+I28</f>
        <v>287.159268052281</v>
      </c>
      <c r="K28" s="23" t="n">
        <f aca="false">INDEX(QH_V,M28)+N28*(INDEX(QH_V,M28+1)-INDEX(QH_V,M28))</f>
        <v>65.2586236738766</v>
      </c>
      <c r="L28" s="40" t="n">
        <f aca="false">K28*1000000/dt_s+J28/2</f>
        <v>18270.9750989919</v>
      </c>
      <c r="M28" s="44" t="n">
        <f aca="false">MATCH(F28,INDEX(QH_f,0,$F$4),1)</f>
        <v>77</v>
      </c>
      <c r="N28" s="45" t="n">
        <f aca="false">(F28-INDEX(QH_f,M28,$F$4))/(INDEX(QH_f,M28+1,$F$4)-INDEX(QH_f,M28,$F$4))</f>
        <v>0.744451592963899</v>
      </c>
    </row>
    <row r="29" customFormat="false" ht="15" hidden="false" customHeight="false" outlineLevel="0" collapsed="false">
      <c r="A29" s="14" t="n">
        <v>13</v>
      </c>
      <c r="B29" s="40" t="n">
        <f aca="false">IFERROR(INDEX(Lu_Q,MATCH(A29,Lu_t,0),$C$4),0)</f>
        <v>685</v>
      </c>
      <c r="C29" s="40" t="n">
        <f aca="false">(B28+B29)/2</f>
        <v>746.5</v>
      </c>
      <c r="D29" s="40" t="n">
        <f aca="false">L28</f>
        <v>18270.9750989919</v>
      </c>
      <c r="E29" s="40" t="n">
        <f aca="false">J28</f>
        <v>287.159268052281</v>
      </c>
      <c r="F29" s="40" t="n">
        <f aca="false">D29+C29-E29</f>
        <v>18730.3158309396</v>
      </c>
      <c r="G29" s="41" t="n">
        <f aca="false">INDEX(QH_Z,M29)+N29*(INDEX(QH_Z,M29+1)-INDEX(QH_Z,M29))</f>
        <v>78.8693823650968</v>
      </c>
      <c r="H29" s="42" t="n">
        <f aca="false">INDEX(QH_qtc,M29)+N29*(INDEX(QH_qtc,M29+1)-INDEX(QH_qtc,M29))</f>
        <v>305.697487829885</v>
      </c>
      <c r="I29" s="43" t="n">
        <f aca="false">IF($F$4=2,0,INDEX(QH_qsc,M29)+N29*(INDEX(QH_qsc,M29+1)-INDEX(QH_qsc,M29)))</f>
        <v>0</v>
      </c>
      <c r="J29" s="40" t="n">
        <f aca="false">H29+I29</f>
        <v>305.697487829885</v>
      </c>
      <c r="K29" s="23" t="n">
        <f aca="false">INDEX(QH_V,M29)+N29*(INDEX(QH_V,M29+1)-INDEX(QH_V,M29))</f>
        <v>66.8788815132888</v>
      </c>
      <c r="L29" s="40" t="n">
        <f aca="false">K29*1000000/dt_s+J29/2</f>
        <v>18730.3158309396</v>
      </c>
      <c r="M29" s="44" t="n">
        <f aca="false">MATCH(F29,INDEX(QH_f,0,$F$4),1)</f>
        <v>79</v>
      </c>
      <c r="N29" s="45" t="n">
        <f aca="false">(F29-INDEX(QH_f,M29,$F$4))/(INDEX(QH_f,M29+1,$F$4)-INDEX(QH_f,M29,$F$4))</f>
        <v>0.69382365096829</v>
      </c>
    </row>
    <row r="30" customFormat="false" ht="15" hidden="false" customHeight="false" outlineLevel="0" collapsed="false">
      <c r="A30" s="14" t="n">
        <v>14</v>
      </c>
      <c r="B30" s="40" t="n">
        <f aca="false">IFERROR(INDEX(Lu_Q,MATCH(A30,Lu_t,0),$C$4),0)</f>
        <v>572</v>
      </c>
      <c r="C30" s="40" t="n">
        <f aca="false">(B29+B30)/2</f>
        <v>628.5</v>
      </c>
      <c r="D30" s="40" t="n">
        <f aca="false">L29</f>
        <v>18730.3158309396</v>
      </c>
      <c r="E30" s="40" t="n">
        <f aca="false">J29</f>
        <v>305.697487829885</v>
      </c>
      <c r="F30" s="40" t="n">
        <f aca="false">D30+C30-E30</f>
        <v>19053.1183431097</v>
      </c>
      <c r="G30" s="41" t="n">
        <f aca="false">INDEX(QH_Z,M30)+N30*(INDEX(QH_Z,M30+1)-INDEX(QH_Z,M30))</f>
        <v>79.00503744811</v>
      </c>
      <c r="H30" s="42" t="n">
        <f aca="false">INDEX(QH_qtc,M30)+N30*(INDEX(QH_qtc,M30+1)-INDEX(QH_qtc,M30))</f>
        <v>318.6577983019</v>
      </c>
      <c r="I30" s="43" t="n">
        <f aca="false">IF($F$4=2,0,INDEX(QH_qsc,M30)+N30*(INDEX(QH_qsc,M30+1)-INDEX(QH_qsc,M30)))</f>
        <v>0</v>
      </c>
      <c r="J30" s="40" t="n">
        <f aca="false">H30+I30</f>
        <v>318.6577983019</v>
      </c>
      <c r="K30" s="23" t="n">
        <f aca="false">INDEX(QH_V,M30)+N30*(INDEX(QH_V,M30+1)-INDEX(QH_V,M30))</f>
        <v>68.0176419982515</v>
      </c>
      <c r="L30" s="40" t="n">
        <f aca="false">K30*1000000/dt_s+J30/2</f>
        <v>19053.1183431097</v>
      </c>
      <c r="M30" s="44" t="n">
        <f aca="false">MATCH(F30,INDEX(QH_f,0,$F$4),1)</f>
        <v>81</v>
      </c>
      <c r="N30" s="45" t="n">
        <f aca="false">(F30-INDEX(QH_f,M30,$F$4))/(INDEX(QH_f,M30+1,$F$4)-INDEX(QH_f,M30,$F$4))</f>
        <v>0.0503744811004479</v>
      </c>
    </row>
    <row r="31" customFormat="false" ht="15" hidden="false" customHeight="false" outlineLevel="0" collapsed="false">
      <c r="A31" s="14" t="n">
        <v>15</v>
      </c>
      <c r="B31" s="40" t="n">
        <f aca="false">IFERROR(INDEX(Lu_Q,MATCH(A31,Lu_t,0),$C$4),0)</f>
        <v>472</v>
      </c>
      <c r="C31" s="40" t="n">
        <f aca="false">(B30+B31)/2</f>
        <v>522</v>
      </c>
      <c r="D31" s="40" t="n">
        <f aca="false">L30</f>
        <v>19053.1183431097</v>
      </c>
      <c r="E31" s="40" t="n">
        <f aca="false">J30</f>
        <v>318.6577983019</v>
      </c>
      <c r="F31" s="40" t="n">
        <f aca="false">D31+C31-E31</f>
        <v>19256.4605448078</v>
      </c>
      <c r="G31" s="41" t="n">
        <f aca="false">INDEX(QH_Z,M31)+N31*(INDEX(QH_Z,M31+1)-INDEX(QH_Z,M31))</f>
        <v>79.0897882482442</v>
      </c>
      <c r="H31" s="42" t="n">
        <f aca="false">INDEX(QH_qtc,M31)+N31*(INDEX(QH_qtc,M31+1)-INDEX(QH_qtc,M31))</f>
        <v>326.778022178423</v>
      </c>
      <c r="I31" s="43" t="n">
        <f aca="false">IF($F$4=2,0,INDEX(QH_qsc,M31)+N31*(INDEX(QH_qsc,M31+1)-INDEX(QH_qsc,M31)))</f>
        <v>0</v>
      </c>
      <c r="J31" s="40" t="n">
        <f aca="false">H31+I31</f>
        <v>326.778022178423</v>
      </c>
      <c r="K31" s="23" t="n">
        <f aca="false">INDEX(QH_V,M31)+N31*(INDEX(QH_V,M31+1)-INDEX(QH_V,M31))</f>
        <v>68.7350575213869</v>
      </c>
      <c r="L31" s="40" t="n">
        <f aca="false">K31*1000000/dt_s+J31/2</f>
        <v>19256.4605448078</v>
      </c>
      <c r="M31" s="44" t="n">
        <f aca="false">MATCH(F31,INDEX(QH_f,0,$F$4),1)</f>
        <v>81</v>
      </c>
      <c r="N31" s="45" t="n">
        <f aca="false">(F31-INDEX(QH_f,M31,$F$4))/(INDEX(QH_f,M31+1,$F$4)-INDEX(QH_f,M31,$F$4))</f>
        <v>0.897882482441803</v>
      </c>
    </row>
    <row r="32" customFormat="false" ht="15" hidden="false" customHeight="false" outlineLevel="0" collapsed="false">
      <c r="A32" s="14" t="n">
        <v>16</v>
      </c>
      <c r="B32" s="40" t="n">
        <f aca="false">IFERROR(INDEX(Lu_Q,MATCH(A32,Lu_t,0),$C$4),0)</f>
        <v>387</v>
      </c>
      <c r="C32" s="40" t="n">
        <f aca="false">(B31+B32)/2</f>
        <v>429.5</v>
      </c>
      <c r="D32" s="40" t="n">
        <f aca="false">L31</f>
        <v>19256.4605448078</v>
      </c>
      <c r="E32" s="40" t="n">
        <f aca="false">J31</f>
        <v>326.778022178423</v>
      </c>
      <c r="F32" s="40" t="n">
        <f aca="false">D32+C32-E32</f>
        <v>19359.1825226294</v>
      </c>
      <c r="G32" s="41" t="n">
        <f aca="false">INDEX(QH_Z,M32)+N32*(INDEX(QH_Z,M32+1)-INDEX(QH_Z,M32))</f>
        <v>79.1323382778297</v>
      </c>
      <c r="H32" s="42" t="n">
        <f aca="false">INDEX(QH_qtc,M32)+N32*(INDEX(QH_qtc,M32+1)-INDEX(QH_qtc,M32))</f>
        <v>330.861044549831</v>
      </c>
      <c r="I32" s="43" t="n">
        <f aca="false">IF($F$4=2,0,INDEX(QH_qsc,M32)+N32*(INDEX(QH_qsc,M32+1)-INDEX(QH_qsc,M32)))</f>
        <v>0</v>
      </c>
      <c r="J32" s="40" t="n">
        <f aca="false">H32+I32</f>
        <v>330.861044549831</v>
      </c>
      <c r="K32" s="23" t="n">
        <f aca="false">INDEX(QH_V,M32)+N32*(INDEX(QH_V,M32+1)-INDEX(QH_V,M32))</f>
        <v>69.0975072012761</v>
      </c>
      <c r="L32" s="40" t="n">
        <f aca="false">K32*1000000/dt_s+J32/2</f>
        <v>19359.1825226294</v>
      </c>
      <c r="M32" s="44" t="n">
        <f aca="false">MATCH(F32,INDEX(QH_f,0,$F$4),1)</f>
        <v>82</v>
      </c>
      <c r="N32" s="45" t="n">
        <f aca="false">(F32-INDEX(QH_f,M32,$F$4))/(INDEX(QH_f,M32+1,$F$4)-INDEX(QH_f,M32,$F$4))</f>
        <v>0.323382778296567</v>
      </c>
    </row>
    <row r="33" customFormat="false" ht="15" hidden="false" customHeight="false" outlineLevel="0" collapsed="false">
      <c r="A33" s="14" t="n">
        <v>17</v>
      </c>
      <c r="B33" s="40" t="n">
        <f aca="false">IFERROR(INDEX(Lu_Q,MATCH(A33,Lu_t,0),$C$4),0)</f>
        <v>313</v>
      </c>
      <c r="C33" s="40" t="n">
        <f aca="false">(B32+B33)/2</f>
        <v>350</v>
      </c>
      <c r="D33" s="40" t="n">
        <f aca="false">L32</f>
        <v>19359.1825226294</v>
      </c>
      <c r="E33" s="40" t="n">
        <f aca="false">J32</f>
        <v>330.861044549831</v>
      </c>
      <c r="F33" s="40" t="n">
        <f aca="false">D33+C33-E33</f>
        <v>19378.3214780796</v>
      </c>
      <c r="G33" s="41" t="n">
        <f aca="false">INDEX(QH_Z,M33)+N33*(INDEX(QH_Z,M33+1)-INDEX(QH_Z,M33))</f>
        <v>79.1402507451014</v>
      </c>
      <c r="H33" s="42" t="n">
        <f aca="false">INDEX(QH_qtc,M33)+N33*(INDEX(QH_qtc,M33+1)-INDEX(QH_qtc,M33))</f>
        <v>331.620673136649</v>
      </c>
      <c r="I33" s="43" t="n">
        <f aca="false">IF($F$4=2,0,INDEX(QH_qsc,M33)+N33*(INDEX(QH_qsc,M33+1)-INDEX(QH_qsc,M33)))</f>
        <v>0</v>
      </c>
      <c r="J33" s="40" t="n">
        <f aca="false">H33+I33</f>
        <v>331.620673136649</v>
      </c>
      <c r="K33" s="23" t="n">
        <f aca="false">INDEX(QH_V,M33)+N33*(INDEX(QH_V,M33+1)-INDEX(QH_V,M33))</f>
        <v>69.1650401094404</v>
      </c>
      <c r="L33" s="40" t="n">
        <f aca="false">K33*1000000/dt_s+J33/2</f>
        <v>19378.3214780796</v>
      </c>
      <c r="M33" s="44" t="n">
        <f aca="false">MATCH(F33,INDEX(QH_f,0,$F$4),1)</f>
        <v>82</v>
      </c>
      <c r="N33" s="45" t="n">
        <f aca="false">(F33-INDEX(QH_f,M33,$F$4))/(INDEX(QH_f,M33+1,$F$4)-INDEX(QH_f,M33,$F$4))</f>
        <v>0.402507451014017</v>
      </c>
    </row>
    <row r="34" customFormat="false" ht="15" hidden="false" customHeight="false" outlineLevel="0" collapsed="false">
      <c r="A34" s="14" t="n">
        <v>18</v>
      </c>
      <c r="B34" s="40" t="n">
        <f aca="false">IFERROR(INDEX(Lu_Q,MATCH(A34,Lu_t,0),$C$4),0)</f>
        <v>253</v>
      </c>
      <c r="C34" s="40" t="n">
        <f aca="false">(B33+B34)/2</f>
        <v>283</v>
      </c>
      <c r="D34" s="40" t="n">
        <f aca="false">L33</f>
        <v>19378.3214780796</v>
      </c>
      <c r="E34" s="40" t="n">
        <f aca="false">J33</f>
        <v>331.620673136649</v>
      </c>
      <c r="F34" s="40" t="n">
        <f aca="false">D34+C34-E34</f>
        <v>19329.7008049429</v>
      </c>
      <c r="G34" s="41" t="n">
        <f aca="false">INDEX(QH_Z,M34)+N34*(INDEX(QH_Z,M34+1)-INDEX(QH_Z,M34))</f>
        <v>79.1201498840108</v>
      </c>
      <c r="H34" s="42" t="n">
        <f aca="false">INDEX(QH_qtc,M34)+N34*(INDEX(QH_qtc,M34+1)-INDEX(QH_qtc,M34))</f>
        <v>329.690909868163</v>
      </c>
      <c r="I34" s="43" t="n">
        <f aca="false">IF($F$4=2,0,INDEX(QH_qsc,M34)+N34*(INDEX(QH_qsc,M34+1)-INDEX(QH_qsc,M34)))</f>
        <v>0</v>
      </c>
      <c r="J34" s="40" t="n">
        <f aca="false">H34+I34</f>
        <v>329.690909868163</v>
      </c>
      <c r="K34" s="23" t="n">
        <f aca="false">INDEX(QH_V,M34)+N34*(INDEX(QH_V,M34+1)-INDEX(QH_V,M34))</f>
        <v>68.9934792600318</v>
      </c>
      <c r="L34" s="40" t="n">
        <f aca="false">K34*1000000/dt_s+J34/2</f>
        <v>19329.7008049429</v>
      </c>
      <c r="M34" s="44" t="n">
        <f aca="false">MATCH(F34,INDEX(QH_f,0,$F$4),1)</f>
        <v>82</v>
      </c>
      <c r="N34" s="45" t="n">
        <f aca="false">(F34-INDEX(QH_f,M34,$F$4))/(INDEX(QH_f,M34+1,$F$4)-INDEX(QH_f,M34,$F$4))</f>
        <v>0.201498840107571</v>
      </c>
    </row>
    <row r="35" customFormat="false" ht="15" hidden="false" customHeight="false" outlineLevel="0" collapsed="false">
      <c r="A35" s="14" t="n">
        <v>19</v>
      </c>
      <c r="B35" s="40" t="n">
        <f aca="false">IFERROR(INDEX(Lu_Q,MATCH(A35,Lu_t,0),$C$4),0)</f>
        <v>203</v>
      </c>
      <c r="C35" s="40" t="n">
        <f aca="false">(B34+B35)/2</f>
        <v>228</v>
      </c>
      <c r="D35" s="40" t="n">
        <f aca="false">L34</f>
        <v>19329.7008049429</v>
      </c>
      <c r="E35" s="40" t="n">
        <f aca="false">J34</f>
        <v>329.690909868163</v>
      </c>
      <c r="F35" s="40" t="n">
        <f aca="false">D35+C35-E35</f>
        <v>19228.0098950747</v>
      </c>
      <c r="G35" s="41" t="n">
        <f aca="false">INDEX(QH_Z,M35)+N35*(INDEX(QH_Z,M35+1)-INDEX(QH_Z,M35))</f>
        <v>79.0779303293809</v>
      </c>
      <c r="H35" s="42" t="n">
        <f aca="false">INDEX(QH_qtc,M35)+N35*(INDEX(QH_qtc,M35+1)-INDEX(QH_qtc,M35))</f>
        <v>325.641880033135</v>
      </c>
      <c r="I35" s="43" t="n">
        <f aca="false">IF($F$4=2,0,INDEX(QH_qsc,M35)+N35*(INDEX(QH_qsc,M35+1)-INDEX(QH_qsc,M35)))</f>
        <v>0</v>
      </c>
      <c r="J35" s="40" t="n">
        <f aca="false">H35+I35</f>
        <v>325.641880033135</v>
      </c>
      <c r="K35" s="23" t="n">
        <f aca="false">INDEX(QH_V,M35)+N35*(INDEX(QH_V,M35+1)-INDEX(QH_V,M35))</f>
        <v>68.6346802382094</v>
      </c>
      <c r="L35" s="40" t="n">
        <f aca="false">K35*1000000/dt_s+J35/2</f>
        <v>19228.0098950747</v>
      </c>
      <c r="M35" s="44" t="n">
        <f aca="false">MATCH(F35,INDEX(QH_f,0,$F$4),1)</f>
        <v>81</v>
      </c>
      <c r="N35" s="45" t="n">
        <f aca="false">(F35-INDEX(QH_f,M35,$F$4))/(INDEX(QH_f,M35+1,$F$4)-INDEX(QH_f,M35,$F$4))</f>
        <v>0.779303293809184</v>
      </c>
    </row>
    <row r="36" customFormat="false" ht="15" hidden="false" customHeight="false" outlineLevel="0" collapsed="false">
      <c r="A36" s="14" t="n">
        <v>20</v>
      </c>
      <c r="B36" s="40" t="n">
        <f aca="false">IFERROR(INDEX(Lu_Q,MATCH(A36,Lu_t,0),$C$4),0)</f>
        <v>161</v>
      </c>
      <c r="C36" s="40" t="n">
        <f aca="false">(B35+B36)/2</f>
        <v>182</v>
      </c>
      <c r="D36" s="40" t="n">
        <f aca="false">L35</f>
        <v>19228.0098950747</v>
      </c>
      <c r="E36" s="40" t="n">
        <f aca="false">J35</f>
        <v>325.641880033135</v>
      </c>
      <c r="F36" s="40" t="n">
        <f aca="false">D36+C36-E36</f>
        <v>19084.3680150416</v>
      </c>
      <c r="G36" s="41" t="n">
        <f aca="false">INDEX(QH_Z,M36)+N36*(INDEX(QH_Z,M36+1)-INDEX(QH_Z,M36))</f>
        <v>79.0180619687361</v>
      </c>
      <c r="H36" s="42" t="n">
        <f aca="false">INDEX(QH_qtc,M36)+N36*(INDEX(QH_qtc,M36+1)-INDEX(QH_qtc,M36))</f>
        <v>319.905715999436</v>
      </c>
      <c r="I36" s="43" t="n">
        <f aca="false">IF($F$4=2,0,INDEX(QH_qsc,M36)+N36*(INDEX(QH_qsc,M36+1)-INDEX(QH_qsc,M36)))</f>
        <v>0</v>
      </c>
      <c r="J36" s="40" t="n">
        <f aca="false">H36+I36</f>
        <v>319.905715999436</v>
      </c>
      <c r="K36" s="23" t="n">
        <f aca="false">INDEX(QH_V,M36)+N36*(INDEX(QH_V,M36+1)-INDEX(QH_V,M36))</f>
        <v>68.1278945653508</v>
      </c>
      <c r="L36" s="40" t="n">
        <f aca="false">K36*1000000/dt_s+J36/2</f>
        <v>19084.3680150416</v>
      </c>
      <c r="M36" s="44" t="n">
        <f aca="false">MATCH(F36,INDEX(QH_f,0,$F$4),1)</f>
        <v>81</v>
      </c>
      <c r="N36" s="45" t="n">
        <f aca="false">(F36-INDEX(QH_f,M36,$F$4))/(INDEX(QH_f,M36+1,$F$4)-INDEX(QH_f,M36,$F$4))</f>
        <v>0.180619687360673</v>
      </c>
    </row>
    <row r="37" customFormat="false" ht="15" hidden="false" customHeight="false" outlineLevel="0" collapsed="false">
      <c r="A37" s="14" t="n">
        <v>21</v>
      </c>
      <c r="B37" s="40" t="n">
        <f aca="false">IFERROR(INDEX(Lu_Q,MATCH(A37,Lu_t,0),$C$4),0)</f>
        <v>128</v>
      </c>
      <c r="C37" s="40" t="n">
        <f aca="false">(B36+B37)/2</f>
        <v>144.5</v>
      </c>
      <c r="D37" s="40" t="n">
        <f aca="false">L36</f>
        <v>19084.3680150416</v>
      </c>
      <c r="E37" s="40" t="n">
        <f aca="false">J36</f>
        <v>319.905715999436</v>
      </c>
      <c r="F37" s="40" t="n">
        <f aca="false">D37+C37-E37</f>
        <v>18908.9622990422</v>
      </c>
      <c r="G37" s="41" t="n">
        <f aca="false">INDEX(QH_Z,M37)+N37*(INDEX(QH_Z,M37+1)-INDEX(QH_Z,M37))</f>
        <v>78.9445606715525</v>
      </c>
      <c r="H37" s="42" t="n">
        <f aca="false">INDEX(QH_qtc,M37)+N37*(INDEX(QH_qtc,M37+1)-INDEX(QH_qtc,M37))</f>
        <v>312.87577379153</v>
      </c>
      <c r="I37" s="43" t="n">
        <f aca="false">IF($F$4=2,0,INDEX(QH_qsc,M37)+N37*(INDEX(QH_qsc,M37+1)-INDEX(QH_qsc,M37)))</f>
        <v>0</v>
      </c>
      <c r="J37" s="40" t="n">
        <f aca="false">H37+I37</f>
        <v>312.87577379153</v>
      </c>
      <c r="K37" s="23" t="n">
        <f aca="false">INDEX(QH_V,M37)+N37*(INDEX(QH_V,M37+1)-INDEX(QH_V,M37))</f>
        <v>67.5090878837271</v>
      </c>
      <c r="L37" s="40" t="n">
        <f aca="false">K37*1000000/dt_s+J37/2</f>
        <v>18908.9622990422</v>
      </c>
      <c r="M37" s="44" t="n">
        <f aca="false">MATCH(F37,INDEX(QH_f,0,$F$4),1)</f>
        <v>80</v>
      </c>
      <c r="N37" s="45" t="n">
        <f aca="false">(F37-INDEX(QH_f,M37,$F$4))/(INDEX(QH_f,M37+1,$F$4)-INDEX(QH_f,M37,$F$4))</f>
        <v>0.445606715524793</v>
      </c>
    </row>
    <row r="38" customFormat="false" ht="15" hidden="false" customHeight="false" outlineLevel="0" collapsed="false">
      <c r="A38" s="14" t="n">
        <v>22</v>
      </c>
      <c r="B38" s="40" t="n">
        <f aca="false">IFERROR(INDEX(Lu_Q,MATCH(A38,Lu_t,0),$C$4),0)</f>
        <v>101</v>
      </c>
      <c r="C38" s="40" t="n">
        <f aca="false">(B37+B38)/2</f>
        <v>114.5</v>
      </c>
      <c r="D38" s="40" t="n">
        <f aca="false">L37</f>
        <v>18908.9622990422</v>
      </c>
      <c r="E38" s="40" t="n">
        <f aca="false">J37</f>
        <v>312.87577379153</v>
      </c>
      <c r="F38" s="40" t="n">
        <f aca="false">D38+C38-E38</f>
        <v>18710.5865252506</v>
      </c>
      <c r="G38" s="41" t="n">
        <f aca="false">INDEX(QH_Z,M38)+N38*(INDEX(QH_Z,M38+1)-INDEX(QH_Z,M38))</f>
        <v>78.861049554444</v>
      </c>
      <c r="H38" s="42" t="n">
        <f aca="false">INDEX(QH_qtc,M38)+N38*(INDEX(QH_qtc,M38+1)-INDEX(QH_qtc,M38))</f>
        <v>304.903117881183</v>
      </c>
      <c r="I38" s="43" t="n">
        <f aca="false">IF($F$4=2,0,INDEX(QH_qsc,M38)+N38*(INDEX(QH_qsc,M38+1)-INDEX(QH_qsc,M38)))</f>
        <v>0</v>
      </c>
      <c r="J38" s="40" t="n">
        <f aca="false">H38+I38</f>
        <v>304.903117881183</v>
      </c>
      <c r="K38" s="23" t="n">
        <f aca="false">INDEX(QH_V,M38)+N38*(INDEX(QH_V,M38+1)-INDEX(QH_V,M38))</f>
        <v>66.8092858787162</v>
      </c>
      <c r="L38" s="40" t="n">
        <f aca="false">K38*1000000/dt_s+J38/2</f>
        <v>18710.5865252506</v>
      </c>
      <c r="M38" s="44" t="n">
        <f aca="false">MATCH(F38,INDEX(QH_f,0,$F$4),1)</f>
        <v>79</v>
      </c>
      <c r="N38" s="45" t="n">
        <f aca="false">(F38-INDEX(QH_f,M38,$F$4))/(INDEX(QH_f,M38+1,$F$4)-INDEX(QH_f,M38,$F$4))</f>
        <v>0.610495544439851</v>
      </c>
    </row>
    <row r="39" customFormat="false" ht="15" hidden="false" customHeight="false" outlineLevel="0" collapsed="false">
      <c r="A39" s="14" t="n">
        <v>23</v>
      </c>
      <c r="B39" s="40" t="n">
        <f aca="false">IFERROR(INDEX(Lu_Q,MATCH(A39,Lu_t,0),$C$4),0)</f>
        <v>81</v>
      </c>
      <c r="C39" s="40" t="n">
        <f aca="false">(B38+B39)/2</f>
        <v>91</v>
      </c>
      <c r="D39" s="40" t="n">
        <f aca="false">L38</f>
        <v>18710.5865252506</v>
      </c>
      <c r="E39" s="40" t="n">
        <f aca="false">J38</f>
        <v>304.903117881183</v>
      </c>
      <c r="F39" s="40" t="n">
        <f aca="false">D39+C39-E39</f>
        <v>18496.6834073695</v>
      </c>
      <c r="G39" s="41" t="n">
        <f aca="false">INDEX(QH_Z,M39)+N39*(INDEX(QH_Z,M39+1)-INDEX(QH_Z,M39))</f>
        <v>78.770524425208</v>
      </c>
      <c r="H39" s="42" t="n">
        <f aca="false">INDEX(QH_qtc,M39)+N39*(INDEX(QH_qtc,M39+1)-INDEX(QH_qtc,M39))</f>
        <v>296.281965168668</v>
      </c>
      <c r="I39" s="43" t="n">
        <f aca="false">IF($F$4=2,0,INDEX(QH_qsc,M39)+N39*(INDEX(QH_qsc,M39+1)-INDEX(QH_qsc,M39)))</f>
        <v>0</v>
      </c>
      <c r="J39" s="40" t="n">
        <f aca="false">H39+I39</f>
        <v>296.281965168668</v>
      </c>
      <c r="K39" s="23" t="n">
        <f aca="false">INDEX(QH_V,M39)+N39*(INDEX(QH_V,M39+1)-INDEX(QH_V,M39))</f>
        <v>66.0547527292265</v>
      </c>
      <c r="L39" s="40" t="n">
        <f aca="false">K39*1000000/dt_s+J39/2</f>
        <v>18496.6834073695</v>
      </c>
      <c r="M39" s="44" t="n">
        <f aca="false">MATCH(F39,INDEX(QH_f,0,$F$4),1)</f>
        <v>78</v>
      </c>
      <c r="N39" s="45" t="n">
        <f aca="false">(F39-INDEX(QH_f,M39,$F$4))/(INDEX(QH_f,M39+1,$F$4)-INDEX(QH_f,M39,$F$4))</f>
        <v>0.705244252080077</v>
      </c>
    </row>
    <row r="40" customFormat="false" ht="15" hidden="false" customHeight="false" outlineLevel="0" collapsed="false">
      <c r="A40" s="14" t="n">
        <v>24</v>
      </c>
      <c r="B40" s="40" t="n">
        <f aca="false">IFERROR(INDEX(Lu_Q,MATCH(A40,Lu_t,0),$C$4),0)</f>
        <v>63</v>
      </c>
      <c r="C40" s="40" t="n">
        <f aca="false">(B39+B40)/2</f>
        <v>72</v>
      </c>
      <c r="D40" s="40" t="n">
        <f aca="false">L39</f>
        <v>18496.6834073695</v>
      </c>
      <c r="E40" s="40" t="n">
        <f aca="false">J39</f>
        <v>296.281965168668</v>
      </c>
      <c r="F40" s="40" t="n">
        <f aca="false">D40+C40-E40</f>
        <v>18272.4014422008</v>
      </c>
      <c r="G40" s="41" t="n">
        <f aca="false">INDEX(QH_Z,M40)+N40*(INDEX(QH_Z,M40+1)-INDEX(QH_Z,M40))</f>
        <v>78.6750551077334</v>
      </c>
      <c r="H40" s="42" t="n">
        <f aca="false">INDEX(QH_qtc,M40)+N40*(INDEX(QH_qtc,M40+1)-INDEX(QH_qtc,M40))</f>
        <v>287.217035187532</v>
      </c>
      <c r="I40" s="43" t="n">
        <f aca="false">IF($F$4=2,0,INDEX(QH_qsc,M40)+N40*(INDEX(QH_qsc,M40+1)-INDEX(QH_qsc,M40)))</f>
        <v>0</v>
      </c>
      <c r="J40" s="40" t="n">
        <f aca="false">H40+I40</f>
        <v>287.217035187532</v>
      </c>
      <c r="K40" s="23" t="n">
        <f aca="false">INDEX(QH_V,M40)+N40*(INDEX(QH_V,M40+1)-INDEX(QH_V,M40))</f>
        <v>65.2636545285853</v>
      </c>
      <c r="L40" s="40" t="n">
        <f aca="false">K40*1000000/dt_s+J40/2</f>
        <v>18272.4014422008</v>
      </c>
      <c r="M40" s="44" t="n">
        <f aca="false">MATCH(F40,INDEX(QH_f,0,$F$4),1)</f>
        <v>77</v>
      </c>
      <c r="N40" s="45" t="n">
        <f aca="false">(F40-INDEX(QH_f,M40,$F$4))/(INDEX(QH_f,M40+1,$F$4)-INDEX(QH_f,M40,$F$4))</f>
        <v>0.750551077334262</v>
      </c>
    </row>
    <row r="41" customFormat="false" ht="15" hidden="false" customHeight="false" outlineLevel="0" collapsed="false">
      <c r="A41" s="14" t="n">
        <v>25</v>
      </c>
      <c r="B41" s="40" t="n">
        <f aca="false">IFERROR(INDEX(Lu_Q,MATCH(A41,Lu_t,0),$C$4),0)</f>
        <v>50</v>
      </c>
      <c r="C41" s="40" t="n">
        <f aca="false">(B40+B41)/2</f>
        <v>56.5</v>
      </c>
      <c r="D41" s="40" t="n">
        <f aca="false">L40</f>
        <v>18272.4014422008</v>
      </c>
      <c r="E41" s="40" t="n">
        <f aca="false">J40</f>
        <v>287.217035187532</v>
      </c>
      <c r="F41" s="40" t="n">
        <f aca="false">D41+C41-E41</f>
        <v>18041.6844070133</v>
      </c>
      <c r="G41" s="41" t="n">
        <f aca="false">INDEX(QH_Z,M41)+N41*(INDEX(QH_Z,M41+1)-INDEX(QH_Z,M41))</f>
        <v>78.5762447822952</v>
      </c>
      <c r="H41" s="42" t="n">
        <f aca="false">INDEX(QH_qtc,M41)+N41*(INDEX(QH_qtc,M41+1)-INDEX(QH_qtc,M41))</f>
        <v>277.867571975968</v>
      </c>
      <c r="I41" s="43" t="n">
        <f aca="false">IF($F$4=2,0,INDEX(QH_qsc,M41)+N41*(INDEX(QH_qsc,M41+1)-INDEX(QH_qsc,M41)))</f>
        <v>0</v>
      </c>
      <c r="J41" s="40" t="n">
        <f aca="false">H41+I41</f>
        <v>277.867571975968</v>
      </c>
      <c r="K41" s="23" t="n">
        <f aca="false">INDEX(QH_V,M41)+N41*(INDEX(QH_V,M41+1)-INDEX(QH_V,M41))</f>
        <v>64.449902235691</v>
      </c>
      <c r="L41" s="40" t="n">
        <f aca="false">K41*1000000/dt_s+J41/2</f>
        <v>18041.6844070133</v>
      </c>
      <c r="M41" s="44" t="n">
        <f aca="false">MATCH(F41,INDEX(QH_f,0,$F$4),1)</f>
        <v>76</v>
      </c>
      <c r="N41" s="45" t="n">
        <f aca="false">(F41-INDEX(QH_f,M41,$F$4))/(INDEX(QH_f,M41+1,$F$4)-INDEX(QH_f,M41,$F$4))</f>
        <v>0.762447822951488</v>
      </c>
    </row>
    <row r="42" customFormat="false" ht="15" hidden="false" customHeight="false" outlineLevel="0" collapsed="false">
      <c r="A42" s="14" t="n">
        <v>26</v>
      </c>
      <c r="B42" s="40" t="n">
        <f aca="false">IFERROR(INDEX(Lu_Q,MATCH(A42,Lu_t,0),$C$4),0)</f>
        <v>39</v>
      </c>
      <c r="C42" s="40" t="n">
        <f aca="false">(B41+B42)/2</f>
        <v>44.5</v>
      </c>
      <c r="D42" s="40" t="n">
        <f aca="false">L41</f>
        <v>18041.6844070133</v>
      </c>
      <c r="E42" s="40" t="n">
        <f aca="false">J41</f>
        <v>277.867571975968</v>
      </c>
      <c r="F42" s="40" t="n">
        <f aca="false">D42+C42-E42</f>
        <v>17808.3168350373</v>
      </c>
      <c r="G42" s="41" t="n">
        <f aca="false">INDEX(QH_Z,M42)+N42*(INDEX(QH_Z,M42+1)-INDEX(QH_Z,M42))</f>
        <v>78.4756680858262</v>
      </c>
      <c r="H42" s="42" t="n">
        <f aca="false">INDEX(QH_qtc,M42)+N42*(INDEX(QH_qtc,M42+1)-INDEX(QH_qtc,M42))</f>
        <v>268.388730647599</v>
      </c>
      <c r="I42" s="43" t="n">
        <f aca="false">IF($F$4=2,0,INDEX(QH_qsc,M42)+N42*(INDEX(QH_qsc,M42+1)-INDEX(QH_qsc,M42)))</f>
        <v>0</v>
      </c>
      <c r="J42" s="40" t="n">
        <f aca="false">H42+I42</f>
        <v>268.388730647599</v>
      </c>
      <c r="K42" s="23" t="n">
        <f aca="false">INDEX(QH_V,M42)+N42*(INDEX(QH_V,M42+1)-INDEX(QH_V,M42))</f>
        <v>63.6268408909686</v>
      </c>
      <c r="L42" s="40" t="n">
        <f aca="false">K42*1000000/dt_s+J42/2</f>
        <v>17808.3168350373</v>
      </c>
      <c r="M42" s="44" t="n">
        <f aca="false">MATCH(F42,INDEX(QH_f,0,$F$4),1)</f>
        <v>75</v>
      </c>
      <c r="N42" s="45" t="n">
        <f aca="false">(F42-INDEX(QH_f,M42,$F$4))/(INDEX(QH_f,M42+1,$F$4)-INDEX(QH_f,M42,$F$4))</f>
        <v>0.75668085826199</v>
      </c>
    </row>
    <row r="43" customFormat="false" ht="15" hidden="false" customHeight="false" outlineLevel="0" collapsed="false">
      <c r="A43" s="14" t="n">
        <v>27</v>
      </c>
      <c r="B43" s="40" t="n">
        <f aca="false">IFERROR(INDEX(Lu_Q,MATCH(A43,Lu_t,0),$C$4),0)</f>
        <v>30</v>
      </c>
      <c r="C43" s="40" t="n">
        <f aca="false">(B42+B43)/2</f>
        <v>34.5</v>
      </c>
      <c r="D43" s="40" t="n">
        <f aca="false">L42</f>
        <v>17808.3168350373</v>
      </c>
      <c r="E43" s="40" t="n">
        <f aca="false">J42</f>
        <v>268.388730647599</v>
      </c>
      <c r="F43" s="40" t="n">
        <f aca="false">D43+C43-E43</f>
        <v>17574.4281043897</v>
      </c>
      <c r="G43" s="41" t="n">
        <f aca="false">INDEX(QH_Z,M43)+N43*(INDEX(QH_Z,M43+1)-INDEX(QH_Z,M43))</f>
        <v>78.3742183754404</v>
      </c>
      <c r="H43" s="42" t="n">
        <f aca="false">INDEX(QH_qtc,M43)+N43*(INDEX(QH_qtc,M43+1)-INDEX(QH_qtc,M43))</f>
        <v>258.870045410575</v>
      </c>
      <c r="I43" s="43" t="n">
        <f aca="false">IF($F$4=2,0,INDEX(QH_qsc,M43)+N43*(INDEX(QH_qsc,M43+1)-INDEX(QH_qsc,M43)))</f>
        <v>0</v>
      </c>
      <c r="J43" s="40" t="n">
        <f aca="false">H43+I43</f>
        <v>258.870045410575</v>
      </c>
      <c r="K43" s="23" t="n">
        <f aca="false">INDEX(QH_V,M43)+N43*(INDEX(QH_V,M43+1)-INDEX(QH_V,M43))</f>
        <v>62.8019750940639</v>
      </c>
      <c r="L43" s="40" t="n">
        <f aca="false">K43*1000000/dt_s+J43/2</f>
        <v>17574.4281043897</v>
      </c>
      <c r="M43" s="44" t="n">
        <f aca="false">MATCH(F43,INDEX(QH_f,0,$F$4),1)</f>
        <v>74</v>
      </c>
      <c r="N43" s="45" t="n">
        <f aca="false">(F43-INDEX(QH_f,M43,$F$4))/(INDEX(QH_f,M43+1,$F$4)-INDEX(QH_f,M43,$F$4))</f>
        <v>0.742183754404175</v>
      </c>
    </row>
    <row r="44" customFormat="false" ht="15" hidden="false" customHeight="false" outlineLevel="0" collapsed="false">
      <c r="A44" s="14" t="n">
        <v>28</v>
      </c>
      <c r="B44" s="40" t="n">
        <f aca="false">IFERROR(INDEX(Lu_Q,MATCH(A44,Lu_t,0),$C$4),0)</f>
        <v>24</v>
      </c>
      <c r="C44" s="40" t="n">
        <f aca="false">(B43+B44)/2</f>
        <v>27</v>
      </c>
      <c r="D44" s="40" t="n">
        <f aca="false">L43</f>
        <v>17574.4281043897</v>
      </c>
      <c r="E44" s="40" t="n">
        <f aca="false">J43</f>
        <v>258.870045410575</v>
      </c>
      <c r="F44" s="40" t="n">
        <f aca="false">D44+C44-E44</f>
        <v>17342.5580589791</v>
      </c>
      <c r="G44" s="41" t="n">
        <f aca="false">INDEX(QH_Z,M44)+N44*(INDEX(QH_Z,M44+1)-INDEX(QH_Z,M44))</f>
        <v>78.2729919521732</v>
      </c>
      <c r="H44" s="42" t="n">
        <f aca="false">INDEX(QH_qtc,M44)+N44*(INDEX(QH_qtc,M44+1)-INDEX(QH_qtc,M44))</f>
        <v>249.418731584552</v>
      </c>
      <c r="I44" s="43" t="n">
        <f aca="false">IF($F$4=2,0,INDEX(QH_qsc,M44)+N44*(INDEX(QH_qsc,M44+1)-INDEX(QH_qsc,M44)))</f>
        <v>0</v>
      </c>
      <c r="J44" s="40" t="n">
        <f aca="false">H44+I44</f>
        <v>249.418731584552</v>
      </c>
      <c r="K44" s="23" t="n">
        <f aca="false">INDEX(QH_V,M44)+N44*(INDEX(QH_V,M44+1)-INDEX(QH_V,M44))</f>
        <v>61.9842552954727</v>
      </c>
      <c r="L44" s="40" t="n">
        <f aca="false">K44*1000000/dt_s+J44/2</f>
        <v>17342.5580589791</v>
      </c>
      <c r="M44" s="44" t="n">
        <f aca="false">MATCH(F44,INDEX(QH_f,0,$F$4),1)</f>
        <v>73</v>
      </c>
      <c r="N44" s="45" t="n">
        <f aca="false">(F44-INDEX(QH_f,M44,$F$4))/(INDEX(QH_f,M44+1,$F$4)-INDEX(QH_f,M44,$F$4))</f>
        <v>0.729919521732179</v>
      </c>
    </row>
    <row r="45" customFormat="false" ht="15" hidden="false" customHeight="false" outlineLevel="0" collapsed="false">
      <c r="A45" s="14" t="n">
        <v>29</v>
      </c>
      <c r="B45" s="40" t="n">
        <f aca="false">IFERROR(INDEX(Lu_Q,MATCH(A45,Lu_t,0),$C$4),0)</f>
        <v>18</v>
      </c>
      <c r="C45" s="40" t="n">
        <f aca="false">(B44+B45)/2</f>
        <v>21</v>
      </c>
      <c r="D45" s="40" t="n">
        <f aca="false">L44</f>
        <v>17342.5580589791</v>
      </c>
      <c r="E45" s="40" t="n">
        <f aca="false">J44</f>
        <v>249.418731584552</v>
      </c>
      <c r="F45" s="40" t="n">
        <f aca="false">D45+C45-E45</f>
        <v>17114.1393273946</v>
      </c>
      <c r="G45" s="41" t="n">
        <f aca="false">INDEX(QH_Z,M45)+N45*(INDEX(QH_Z,M45+1)-INDEX(QH_Z,M45))</f>
        <v>78.1726247058744</v>
      </c>
      <c r="H45" s="42" t="n">
        <f aca="false">INDEX(QH_qtc,M45)+N45*(INDEX(QH_qtc,M45+1)-INDEX(QH_qtc,M45))</f>
        <v>240.097460053154</v>
      </c>
      <c r="I45" s="43" t="n">
        <f aca="false">IF($F$4=2,0,INDEX(QH_qsc,M45)+N45*(INDEX(QH_qsc,M45+1)-INDEX(QH_qsc,M45)))</f>
        <v>0</v>
      </c>
      <c r="J45" s="40" t="n">
        <f aca="false">H45+I45</f>
        <v>240.097460053154</v>
      </c>
      <c r="K45" s="23" t="n">
        <f aca="false">INDEX(QH_V,M45)+N45*(INDEX(QH_V,M45+1)-INDEX(QH_V,M45))</f>
        <v>61.1787261505248</v>
      </c>
      <c r="L45" s="40" t="n">
        <f aca="false">K45*1000000/dt_s+J45/2</f>
        <v>17114.1393273946</v>
      </c>
      <c r="M45" s="44" t="n">
        <f aca="false">MATCH(F45,INDEX(QH_f,0,$F$4),1)</f>
        <v>72</v>
      </c>
      <c r="N45" s="45" t="n">
        <f aca="false">(F45-INDEX(QH_f,M45,$F$4))/(INDEX(QH_f,M45+1,$F$4)-INDEX(QH_f,M45,$F$4))</f>
        <v>0.726247058744105</v>
      </c>
    </row>
    <row r="46" customFormat="false" ht="15" hidden="false" customHeight="false" outlineLevel="0" collapsed="false">
      <c r="A46" s="14" t="n">
        <v>30</v>
      </c>
      <c r="B46" s="40" t="n">
        <f aca="false">IFERROR(INDEX(Lu_Q,MATCH(A46,Lu_t,0),$C$4),0)</f>
        <v>14</v>
      </c>
      <c r="C46" s="40" t="n">
        <f aca="false">(B45+B46)/2</f>
        <v>16</v>
      </c>
      <c r="D46" s="40" t="n">
        <f aca="false">L45</f>
        <v>17114.1393273946</v>
      </c>
      <c r="E46" s="40" t="n">
        <f aca="false">J45</f>
        <v>240.097460053154</v>
      </c>
      <c r="F46" s="40" t="n">
        <f aca="false">D46+C46-E46</f>
        <v>16890.0418673414</v>
      </c>
      <c r="G46" s="41" t="n">
        <f aca="false">INDEX(QH_Z,M46)+N46*(INDEX(QH_Z,M46+1)-INDEX(QH_Z,M46))</f>
        <v>78.0735191250006</v>
      </c>
      <c r="H46" s="42" t="n">
        <f aca="false">INDEX(QH_qtc,M46)+N46*(INDEX(QH_qtc,M46+1)-INDEX(QH_qtc,M46))</f>
        <v>230.94608134677</v>
      </c>
      <c r="I46" s="43" t="n">
        <f aca="false">IF($F$4=2,0,INDEX(QH_qsc,M46)+N46*(INDEX(QH_qsc,M46+1)-INDEX(QH_qsc,M46)))</f>
        <v>0</v>
      </c>
      <c r="J46" s="40" t="n">
        <f aca="false">H46+I46</f>
        <v>230.94608134677</v>
      </c>
      <c r="K46" s="23" t="n">
        <f aca="false">INDEX(QH_V,M46)+N46*(INDEX(QH_V,M46+1)-INDEX(QH_V,M46))</f>
        <v>60.3884477760049</v>
      </c>
      <c r="L46" s="40" t="n">
        <f aca="false">K46*1000000/dt_s+J46/2</f>
        <v>16890.0418673414</v>
      </c>
      <c r="M46" s="44" t="n">
        <f aca="false">MATCH(F46,INDEX(QH_f,0,$F$4),1)</f>
        <v>71</v>
      </c>
      <c r="N46" s="45" t="n">
        <f aca="false">(F46-INDEX(QH_f,M46,$F$4))/(INDEX(QH_f,M46+1,$F$4)-INDEX(QH_f,M46,$F$4))</f>
        <v>0.735191250006251</v>
      </c>
    </row>
    <row r="47" customFormat="false" ht="15" hidden="false" customHeight="false" outlineLevel="0" collapsed="false">
      <c r="A47" s="14" t="n">
        <v>31</v>
      </c>
      <c r="B47" s="40" t="n">
        <f aca="false">IFERROR(INDEX(Lu_Q,MATCH(A47,Lu_t,0),$C$4),0)</f>
        <v>11</v>
      </c>
      <c r="C47" s="40" t="n">
        <f aca="false">(B46+B47)/2</f>
        <v>12.5</v>
      </c>
      <c r="D47" s="40" t="n">
        <f aca="false">L46</f>
        <v>16890.0418673414</v>
      </c>
      <c r="E47" s="40" t="n">
        <f aca="false">J46</f>
        <v>230.94608134677</v>
      </c>
      <c r="F47" s="40" t="n">
        <f aca="false">D47+C47-E47</f>
        <v>16671.5957859947</v>
      </c>
      <c r="G47" s="41" t="n">
        <f aca="false">INDEX(QH_Z,M47)+N47*(INDEX(QH_Z,M47+1)-INDEX(QH_Z,M47))</f>
        <v>77.9762956343451</v>
      </c>
      <c r="H47" s="42" t="n">
        <f aca="false">INDEX(QH_qtc,M47)+N47*(INDEX(QH_qtc,M47+1)-INDEX(QH_qtc,M47))</f>
        <v>222.02327810366</v>
      </c>
      <c r="I47" s="43" t="n">
        <f aca="false">IF($F$4=2,0,INDEX(QH_qsc,M47)+N47*(INDEX(QH_qsc,M47+1)-INDEX(QH_qsc,M47)))</f>
        <v>0</v>
      </c>
      <c r="J47" s="40" t="n">
        <f aca="false">H47+I47</f>
        <v>222.02327810366</v>
      </c>
      <c r="K47" s="23" t="n">
        <f aca="false">INDEX(QH_V,M47)+N47*(INDEX(QH_V,M47+1)-INDEX(QH_V,M47))</f>
        <v>59.6181029289942</v>
      </c>
      <c r="L47" s="40" t="n">
        <f aca="false">K47*1000000/dt_s+J47/2</f>
        <v>16671.5957859947</v>
      </c>
      <c r="M47" s="44" t="n">
        <f aca="false">MATCH(F47,INDEX(QH_f,0,$F$4),1)</f>
        <v>70</v>
      </c>
      <c r="N47" s="45" t="n">
        <f aca="false">(F47-INDEX(QH_f,M47,$F$4))/(INDEX(QH_f,M47+1,$F$4)-INDEX(QH_f,M47,$F$4))</f>
        <v>0.762956343451257</v>
      </c>
    </row>
    <row r="48" customFormat="false" ht="15" hidden="false" customHeight="false" outlineLevel="0" collapsed="false">
      <c r="A48" s="14" t="n">
        <v>32</v>
      </c>
      <c r="B48" s="40" t="n">
        <f aca="false">IFERROR(INDEX(Lu_Q,MATCH(A48,Lu_t,0),$C$4),0)</f>
        <v>9</v>
      </c>
      <c r="C48" s="40" t="n">
        <f aca="false">(B47+B48)/2</f>
        <v>10</v>
      </c>
      <c r="D48" s="40" t="n">
        <f aca="false">L47</f>
        <v>16671.5957859947</v>
      </c>
      <c r="E48" s="40" t="n">
        <f aca="false">J47</f>
        <v>222.02327810366</v>
      </c>
      <c r="F48" s="40" t="n">
        <f aca="false">D48+C48-E48</f>
        <v>16459.572507891</v>
      </c>
      <c r="G48" s="41" t="n">
        <f aca="false">INDEX(QH_Z,M48)+N48*(INDEX(QH_Z,M48+1)-INDEX(QH_Z,M48))</f>
        <v>77.8813434762683</v>
      </c>
      <c r="H48" s="42" t="n">
        <f aca="false">INDEX(QH_qtc,M48)+N48*(INDEX(QH_qtc,M48+1)-INDEX(QH_qtc,M48))</f>
        <v>213.364948366674</v>
      </c>
      <c r="I48" s="43" t="n">
        <f aca="false">IF($F$4=2,0,INDEX(QH_qsc,M48)+N48*(INDEX(QH_qsc,M48+1)-INDEX(QH_qsc,M48)))</f>
        <v>0</v>
      </c>
      <c r="J48" s="40" t="n">
        <f aca="false">H48+I48</f>
        <v>213.364948366674</v>
      </c>
      <c r="K48" s="23" t="n">
        <f aca="false">INDEX(QH_V,M48)+N48*(INDEX(QH_V,M48+1)-INDEX(QH_V,M48))</f>
        <v>58.8704041213476</v>
      </c>
      <c r="L48" s="40" t="n">
        <f aca="false">K48*1000000/dt_s+J48/2</f>
        <v>16459.572507891</v>
      </c>
      <c r="M48" s="44" t="n">
        <f aca="false">MATCH(F48,INDEX(QH_f,0,$F$4),1)</f>
        <v>69</v>
      </c>
      <c r="N48" s="45" t="n">
        <f aca="false">(F48-INDEX(QH_f,M48,$F$4))/(INDEX(QH_f,M48+1,$F$4)-INDEX(QH_f,M48,$F$4))</f>
        <v>0.813434762682731</v>
      </c>
    </row>
    <row r="49" customFormat="false" ht="15" hidden="false" customHeight="false" outlineLevel="0" collapsed="false">
      <c r="A49" s="14" t="n">
        <v>33</v>
      </c>
      <c r="B49" s="40" t="n">
        <f aca="false">IFERROR(INDEX(Lu_Q,MATCH(A49,Lu_t,0),$C$4),0)</f>
        <v>7</v>
      </c>
      <c r="C49" s="40" t="n">
        <f aca="false">(B48+B49)/2</f>
        <v>8</v>
      </c>
      <c r="D49" s="40" t="n">
        <f aca="false">L48</f>
        <v>16459.572507891</v>
      </c>
      <c r="E49" s="40" t="n">
        <f aca="false">J48</f>
        <v>213.364948366674</v>
      </c>
      <c r="F49" s="40" t="n">
        <f aca="false">D49+C49-E49</f>
        <v>16254.2075595243</v>
      </c>
      <c r="G49" s="41" t="n">
        <f aca="false">INDEX(QH_Z,M49)+N49*(INDEX(QH_Z,M49+1)-INDEX(QH_Z,M49))</f>
        <v>77.7888178841145</v>
      </c>
      <c r="H49" s="42" t="n">
        <f aca="false">INDEX(QH_qtc,M49)+N49*(INDEX(QH_qtc,M49+1)-INDEX(QH_qtc,M49))</f>
        <v>204.984461759117</v>
      </c>
      <c r="I49" s="43" t="n">
        <f aca="false">IF($F$4=2,0,INDEX(QH_qsc,M49)+N49*(INDEX(QH_qsc,M49+1)-INDEX(QH_qsc,M49)))</f>
        <v>0</v>
      </c>
      <c r="J49" s="40" t="n">
        <f aca="false">H49+I49</f>
        <v>204.984461759117</v>
      </c>
      <c r="K49" s="23" t="n">
        <f aca="false">INDEX(QH_V,M49)+N49*(INDEX(QH_V,M49+1)-INDEX(QH_V,M49))</f>
        <v>58.1461751831211</v>
      </c>
      <c r="L49" s="40" t="n">
        <f aca="false">K49*1000000/dt_s+J49/2</f>
        <v>16254.2075595243</v>
      </c>
      <c r="M49" s="44" t="n">
        <f aca="false">MATCH(F49,INDEX(QH_f,0,$F$4),1)</f>
        <v>68</v>
      </c>
      <c r="N49" s="45" t="n">
        <f aca="false">(F49-INDEX(QH_f,M49,$F$4))/(INDEX(QH_f,M49+1,$F$4)-INDEX(QH_f,M49,$F$4))</f>
        <v>0.888178841145054</v>
      </c>
    </row>
    <row r="50" customFormat="false" ht="15" hidden="false" customHeight="false" outlineLevel="0" collapsed="false">
      <c r="A50" s="14" t="n">
        <v>34</v>
      </c>
      <c r="B50" s="40" t="n">
        <f aca="false">IFERROR(INDEX(Lu_Q,MATCH(A50,Lu_t,0),$C$4),0)</f>
        <v>5</v>
      </c>
      <c r="C50" s="40" t="n">
        <f aca="false">(B49+B50)/2</f>
        <v>6</v>
      </c>
      <c r="D50" s="40" t="n">
        <f aca="false">L49</f>
        <v>16254.2075595243</v>
      </c>
      <c r="E50" s="40" t="n">
        <f aca="false">J49</f>
        <v>204.984461759117</v>
      </c>
      <c r="F50" s="40" t="n">
        <f aca="false">D50+C50-E50</f>
        <v>16055.2230977652</v>
      </c>
      <c r="G50" s="41" t="n">
        <f aca="false">INDEX(QH_Z,M50)+N50*(INDEX(QH_Z,M50+1)-INDEX(QH_Z,M50))</f>
        <v>77.6986394952798</v>
      </c>
      <c r="H50" s="42" t="n">
        <f aca="false">INDEX(QH_qtc,M50)+N50*(INDEX(QH_qtc,M50+1)-INDEX(QH_qtc,M50))</f>
        <v>196.873274555187</v>
      </c>
      <c r="I50" s="43" t="n">
        <f aca="false">IF($F$4=2,0,INDEX(QH_qsc,M50)+N50*(INDEX(QH_qsc,M50+1)-INDEX(QH_qsc,M50)))</f>
        <v>0</v>
      </c>
      <c r="J50" s="40" t="n">
        <f aca="false">H50+I50</f>
        <v>196.873274555187</v>
      </c>
      <c r="K50" s="23" t="n">
        <f aca="false">INDEX(QH_V,M50)+N50*(INDEX(QH_V,M50+1)-INDEX(QH_V,M50))</f>
        <v>57.4444312577554</v>
      </c>
      <c r="L50" s="40" t="n">
        <f aca="false">K50*1000000/dt_s+J50/2</f>
        <v>16055.2230977652</v>
      </c>
      <c r="M50" s="44" t="n">
        <f aca="false">MATCH(F50,INDEX(QH_f,0,$F$4),1)</f>
        <v>67</v>
      </c>
      <c r="N50" s="45" t="n">
        <f aca="false">(F50-INDEX(QH_f,M50,$F$4))/(INDEX(QH_f,M50+1,$F$4)-INDEX(QH_f,M50,$F$4))</f>
        <v>0.986394952797456</v>
      </c>
    </row>
    <row r="51" customFormat="false" ht="15" hidden="false" customHeight="false" outlineLevel="0" collapsed="false">
      <c r="A51" s="14" t="n">
        <v>35</v>
      </c>
      <c r="B51" s="40" t="n">
        <f aca="false">IFERROR(INDEX(Lu_Q,MATCH(A51,Lu_t,0),$C$4),0)</f>
        <v>4</v>
      </c>
      <c r="C51" s="40" t="n">
        <f aca="false">(B50+B51)/2</f>
        <v>4.5</v>
      </c>
      <c r="D51" s="40" t="n">
        <f aca="false">L50</f>
        <v>16055.2230977652</v>
      </c>
      <c r="E51" s="40" t="n">
        <f aca="false">J50</f>
        <v>196.873274555187</v>
      </c>
      <c r="F51" s="40" t="n">
        <f aca="false">D51+C51-E51</f>
        <v>15862.84982321</v>
      </c>
      <c r="G51" s="41" t="n">
        <f aca="false">INDEX(QH_Z,M51)+N51*(INDEX(QH_Z,M51+1)-INDEX(QH_Z,M51))</f>
        <v>77.6108876543354</v>
      </c>
      <c r="H51" s="42" t="n">
        <f aca="false">INDEX(QH_qtc,M51)+N51*(INDEX(QH_qtc,M51+1)-INDEX(QH_qtc,M51))</f>
        <v>189.045257812296</v>
      </c>
      <c r="I51" s="43" t="n">
        <f aca="false">IF($F$4=2,0,INDEX(QH_qsc,M51)+N51*(INDEX(QH_qsc,M51+1)-INDEX(QH_qsc,M51)))</f>
        <v>0</v>
      </c>
      <c r="J51" s="40" t="n">
        <f aca="false">H51+I51</f>
        <v>189.045257812296</v>
      </c>
      <c r="K51" s="23" t="n">
        <f aca="false">INDEX(QH_V,M51)+N51*(INDEX(QH_V,M51+1)-INDEX(QH_V,M51))</f>
        <v>56.7659778994939</v>
      </c>
      <c r="L51" s="40" t="n">
        <f aca="false">K51*1000000/dt_s+J51/2</f>
        <v>15862.84982321</v>
      </c>
      <c r="M51" s="44" t="n">
        <f aca="false">MATCH(F51,INDEX(QH_f,0,$F$4),1)</f>
        <v>67</v>
      </c>
      <c r="N51" s="45" t="n">
        <f aca="false">(F51-INDEX(QH_f,M51,$F$4))/(INDEX(QH_f,M51+1,$F$4)-INDEX(QH_f,M51,$F$4))</f>
        <v>0.108876543353737</v>
      </c>
    </row>
    <row r="52" customFormat="false" ht="15" hidden="false" customHeight="false" outlineLevel="0" collapsed="false">
      <c r="A52" s="14" t="n">
        <v>36</v>
      </c>
      <c r="B52" s="40" t="n">
        <f aca="false">IFERROR(INDEX(Lu_Q,MATCH(A52,Lu_t,0),$C$4),0)</f>
        <v>3</v>
      </c>
      <c r="C52" s="40" t="n">
        <f aca="false">(B51+B52)/2</f>
        <v>3.5</v>
      </c>
      <c r="D52" s="40" t="n">
        <f aca="false">L51</f>
        <v>15862.84982321</v>
      </c>
      <c r="E52" s="40" t="n">
        <f aca="false">J51</f>
        <v>189.045257812296</v>
      </c>
      <c r="F52" s="40" t="n">
        <f aca="false">D52+C52-E52</f>
        <v>15677.3045653977</v>
      </c>
      <c r="G52" s="41" t="n">
        <f aca="false">INDEX(QH_Z,M52)+N52*(INDEX(QH_Z,M52+1)-INDEX(QH_Z,M52))</f>
        <v>77.525757095008</v>
      </c>
      <c r="H52" s="42" t="n">
        <f aca="false">INDEX(QH_qtc,M52)+N52*(INDEX(QH_qtc,M52+1)-INDEX(QH_qtc,M52))</f>
        <v>181.510592901767</v>
      </c>
      <c r="I52" s="43" t="n">
        <f aca="false">IF($F$4=2,0,INDEX(QH_qsc,M52)+N52*(INDEX(QH_qsc,M52+1)-INDEX(QH_qsc,M52)))</f>
        <v>0</v>
      </c>
      <c r="J52" s="40" t="n">
        <f aca="false">H52+I52</f>
        <v>181.510592901767</v>
      </c>
      <c r="K52" s="23" t="n">
        <f aca="false">INDEX(QH_V,M52)+N52*(INDEX(QH_V,M52+1)-INDEX(QH_V,M52))</f>
        <v>56.1115773682086</v>
      </c>
      <c r="L52" s="40" t="n">
        <f aca="false">K52*1000000/dt_s+J52/2</f>
        <v>15677.3045653977</v>
      </c>
      <c r="M52" s="44" t="n">
        <f aca="false">MATCH(F52,INDEX(QH_f,0,$F$4),1)</f>
        <v>66</v>
      </c>
      <c r="N52" s="45" t="n">
        <f aca="false">(F52-INDEX(QH_f,M52,$F$4))/(INDEX(QH_f,M52+1,$F$4)-INDEX(QH_f,M52,$F$4))</f>
        <v>0.25757095007955</v>
      </c>
    </row>
    <row r="53" customFormat="false" ht="15" hidden="false" customHeight="false" outlineLevel="0" collapsed="false">
      <c r="A53" s="14" t="n">
        <v>37</v>
      </c>
      <c r="B53" s="40" t="n">
        <f aca="false">IFERROR(INDEX(Lu_Q,MATCH(A53,Lu_t,0),$C$4),0)</f>
        <v>0</v>
      </c>
      <c r="C53" s="40" t="n">
        <f aca="false">(B52+B53)/2</f>
        <v>1.5</v>
      </c>
      <c r="D53" s="40" t="n">
        <f aca="false">L52</f>
        <v>15677.3045653977</v>
      </c>
      <c r="E53" s="40" t="n">
        <f aca="false">J52</f>
        <v>181.510592901767</v>
      </c>
      <c r="F53" s="40" t="n">
        <f aca="false">D53+C53-E53</f>
        <v>15497.2939724959</v>
      </c>
      <c r="G53" s="41" t="n">
        <f aca="false">INDEX(QH_Z,M53)+N53*(INDEX(QH_Z,M53+1)-INDEX(QH_Z,M53))</f>
        <v>77.4427113281917</v>
      </c>
      <c r="H53" s="42" t="n">
        <f aca="false">INDEX(QH_qtc,M53)+N53*(INDEX(QH_qtc,M53+1)-INDEX(QH_qtc,M53))</f>
        <v>174.21790141492</v>
      </c>
      <c r="I53" s="43" t="n">
        <f aca="false">IF($F$4=2,0,INDEX(QH_qsc,M53)+N53*(INDEX(QH_qsc,M53+1)-INDEX(QH_qsc,M53)))</f>
        <v>0</v>
      </c>
      <c r="J53" s="40" t="n">
        <f aca="false">H53+I53</f>
        <v>174.21790141492</v>
      </c>
      <c r="K53" s="23" t="n">
        <f aca="false">INDEX(QH_V,M53)+N53*(INDEX(QH_V,M53+1)-INDEX(QH_V,M53))</f>
        <v>55.4766660784386</v>
      </c>
      <c r="L53" s="40" t="n">
        <f aca="false">K53*1000000/dt_s+J53/2</f>
        <v>15497.2939724959</v>
      </c>
      <c r="M53" s="44" t="n">
        <f aca="false">MATCH(F53,INDEX(QH_f,0,$F$4),1)</f>
        <v>65</v>
      </c>
      <c r="N53" s="45" t="n">
        <f aca="false">(F53-INDEX(QH_f,M53,$F$4))/(INDEX(QH_f,M53+1,$F$4)-INDEX(QH_f,M53,$F$4))</f>
        <v>0.427113281916944</v>
      </c>
    </row>
    <row r="54" customFormat="false" ht="15" hidden="false" customHeight="false" outlineLevel="0" collapsed="false">
      <c r="A54" s="14" t="n">
        <v>38</v>
      </c>
      <c r="B54" s="40" t="n">
        <f aca="false">IFERROR(INDEX(Lu_Q,MATCH(A54,Lu_t,0),$C$4),0)</f>
        <v>0</v>
      </c>
      <c r="C54" s="40" t="n">
        <f aca="false">(B53+B54)/2</f>
        <v>0</v>
      </c>
      <c r="D54" s="40" t="n">
        <f aca="false">L53</f>
        <v>15497.2939724959</v>
      </c>
      <c r="E54" s="40" t="n">
        <f aca="false">J53</f>
        <v>174.21790141492</v>
      </c>
      <c r="F54" s="40" t="n">
        <f aca="false">D54+C54-E54</f>
        <v>15323.076071081</v>
      </c>
      <c r="G54" s="41" t="n">
        <f aca="false">INDEX(QH_Z,M54)+N54*(INDEX(QH_Z,M54+1)-INDEX(QH_Z,M54))</f>
        <v>77.3619123150717</v>
      </c>
      <c r="H54" s="42" t="n">
        <f aca="false">INDEX(QH_qtc,M54)+N54*(INDEX(QH_qtc,M54+1)-INDEX(QH_qtc,M54))</f>
        <v>167.178542289503</v>
      </c>
      <c r="I54" s="43" t="n">
        <f aca="false">IF($F$4=2,0,INDEX(QH_qsc,M54)+N54*(INDEX(QH_qsc,M54+1)-INDEX(QH_qsc,M54)))</f>
        <v>0</v>
      </c>
      <c r="J54" s="40" t="n">
        <f aca="false">H54+I54</f>
        <v>167.178542289503</v>
      </c>
      <c r="K54" s="23" t="n">
        <f aca="false">INDEX(QH_V,M54)+N54*(INDEX(QH_V,M54+1)-INDEX(QH_V,M54))</f>
        <v>54.8621524797706</v>
      </c>
      <c r="L54" s="40" t="n">
        <f aca="false">K54*1000000/dt_s+J54/2</f>
        <v>15323.076071081</v>
      </c>
      <c r="M54" s="44" t="n">
        <f aca="false">MATCH(F54,INDEX(QH_f,0,$F$4),1)</f>
        <v>64</v>
      </c>
      <c r="N54" s="45" t="n">
        <f aca="false">(F54-INDEX(QH_f,M54,$F$4))/(INDEX(QH_f,M54+1,$F$4)-INDEX(QH_f,M54,$F$4))</f>
        <v>0.619123150716601</v>
      </c>
    </row>
    <row r="55" customFormat="false" ht="15" hidden="false" customHeight="false" outlineLevel="0" collapsed="false">
      <c r="A55" s="14" t="n">
        <v>39</v>
      </c>
      <c r="B55" s="40" t="n">
        <f aca="false">IFERROR(INDEX(Lu_Q,MATCH(A55,Lu_t,0),$C$4),0)</f>
        <v>0</v>
      </c>
      <c r="C55" s="40" t="n">
        <f aca="false">(B54+B55)/2</f>
        <v>0</v>
      </c>
      <c r="D55" s="40" t="n">
        <f aca="false">L54</f>
        <v>15323.076071081</v>
      </c>
      <c r="E55" s="40" t="n">
        <f aca="false">J54</f>
        <v>167.178542289503</v>
      </c>
      <c r="F55" s="40" t="n">
        <f aca="false">D55+C55-E55</f>
        <v>15155.8975287915</v>
      </c>
      <c r="G55" s="41" t="n">
        <f aca="false">INDEX(QH_Z,M55)+N55*(INDEX(QH_Z,M55+1)-INDEX(QH_Z,M55))</f>
        <v>77.2839899321585</v>
      </c>
      <c r="H55" s="42" t="n">
        <f aca="false">INDEX(QH_qtc,M55)+N55*(INDEX(QH_qtc,M55+1)-INDEX(QH_qtc,M55))</f>
        <v>160.442716292282</v>
      </c>
      <c r="I55" s="43" t="n">
        <f aca="false">IF($F$4=2,0,INDEX(QH_qsc,M55)+N55*(INDEX(QH_qsc,M55+1)-INDEX(QH_qsc,M55)))</f>
        <v>0</v>
      </c>
      <c r="J55" s="40" t="n">
        <f aca="false">H55+I55</f>
        <v>160.442716292282</v>
      </c>
      <c r="K55" s="23" t="n">
        <f aca="false">INDEX(QH_V,M55)+N55*(INDEX(QH_V,M55+1)-INDEX(QH_V,M55))</f>
        <v>54.2724342143234</v>
      </c>
      <c r="L55" s="40" t="n">
        <f aca="false">K55*1000000/dt_s+J55/2</f>
        <v>15155.8975287915</v>
      </c>
      <c r="M55" s="44" t="n">
        <f aca="false">MATCH(F55,INDEX(QH_f,0,$F$4),1)</f>
        <v>63</v>
      </c>
      <c r="N55" s="45" t="n">
        <f aca="false">(F55-INDEX(QH_f,M55,$F$4))/(INDEX(QH_f,M55+1,$F$4)-INDEX(QH_f,M55,$F$4))</f>
        <v>0.839899321585384</v>
      </c>
    </row>
    <row r="56" customFormat="false" ht="15" hidden="false" customHeight="false" outlineLevel="0" collapsed="false">
      <c r="A56" s="14" t="n">
        <v>40</v>
      </c>
      <c r="B56" s="40" t="n">
        <f aca="false">IFERROR(INDEX(Lu_Q,MATCH(A56,Lu_t,0),$C$4),0)</f>
        <v>0</v>
      </c>
      <c r="C56" s="40" t="n">
        <f aca="false">(B55+B56)/2</f>
        <v>0</v>
      </c>
      <c r="D56" s="40" t="n">
        <f aca="false">L55</f>
        <v>15155.8975287915</v>
      </c>
      <c r="E56" s="40" t="n">
        <f aca="false">J55</f>
        <v>160.442716292282</v>
      </c>
      <c r="F56" s="40" t="n">
        <f aca="false">D56+C56-E56</f>
        <v>14995.4548124992</v>
      </c>
      <c r="G56" s="41" t="n">
        <f aca="false">INDEX(QH_Z,M56)+N56*(INDEX(QH_Z,M56+1)-INDEX(QH_Z,M56))</f>
        <v>77.2087991998414</v>
      </c>
      <c r="H56" s="42" t="n">
        <f aca="false">INDEX(QH_qtc,M56)+N56*(INDEX(QH_qtc,M56+1)-INDEX(QH_qtc,M56))</f>
        <v>154.000748995264</v>
      </c>
      <c r="I56" s="43" t="n">
        <f aca="false">IF($F$4=2,0,INDEX(QH_qsc,M56)+N56*(INDEX(QH_qsc,M56+1)-INDEX(QH_qsc,M56)))</f>
        <v>0</v>
      </c>
      <c r="J56" s="40" t="n">
        <f aca="false">H56+I56</f>
        <v>154.000748995264</v>
      </c>
      <c r="K56" s="23" t="n">
        <f aca="false">INDEX(QH_V,M56)+N56*(INDEX(QH_V,M56+1)-INDEX(QH_V,M56))</f>
        <v>53.7064359768058</v>
      </c>
      <c r="L56" s="40" t="n">
        <f aca="false">K56*1000000/dt_s+J56/2</f>
        <v>14995.4548124992</v>
      </c>
      <c r="M56" s="44" t="n">
        <f aca="false">MATCH(F56,INDEX(QH_f,0,$F$4),1)</f>
        <v>63</v>
      </c>
      <c r="N56" s="45" t="n">
        <f aca="false">(F56-INDEX(QH_f,M56,$F$4))/(INDEX(QH_f,M56+1,$F$4)-INDEX(QH_f,M56,$F$4))</f>
        <v>0.087991998413513</v>
      </c>
    </row>
    <row r="57" customFormat="false" ht="15" hidden="false" customHeight="false" outlineLevel="0" collapsed="false">
      <c r="A57" s="14" t="n">
        <v>41</v>
      </c>
      <c r="B57" s="40" t="n">
        <f aca="false">IFERROR(INDEX(Lu_Q,MATCH(A57,Lu_t,0),$C$4),0)</f>
        <v>0</v>
      </c>
      <c r="C57" s="40" t="n">
        <f aca="false">(B56+B57)/2</f>
        <v>0</v>
      </c>
      <c r="D57" s="40" t="n">
        <f aca="false">L56</f>
        <v>14995.4548124992</v>
      </c>
      <c r="E57" s="40" t="n">
        <f aca="false">J56</f>
        <v>154.000748995264</v>
      </c>
      <c r="F57" s="40" t="n">
        <f aca="false">D57+C57-E57</f>
        <v>14841.454063504</v>
      </c>
      <c r="G57" s="41" t="n">
        <f aca="false">INDEX(QH_Z,M57)+N57*(INDEX(QH_Z,M57+1)-INDEX(QH_Z,M57))</f>
        <v>77.1361884691356</v>
      </c>
      <c r="H57" s="42" t="n">
        <f aca="false">INDEX(QH_qtc,M57)+N57*(INDEX(QH_qtc,M57+1)-INDEX(QH_qtc,M57))</f>
        <v>147.845299512182</v>
      </c>
      <c r="I57" s="43" t="n">
        <f aca="false">IF($F$4=2,0,INDEX(QH_qsc,M57)+N57*(INDEX(QH_qsc,M57+1)-INDEX(QH_qsc,M57)))</f>
        <v>0</v>
      </c>
      <c r="J57" s="40" t="n">
        <f aca="false">H57+I57</f>
        <v>147.845299512182</v>
      </c>
      <c r="K57" s="23" t="n">
        <f aca="false">INDEX(QH_V,M57)+N57*(INDEX(QH_V,M57+1)-INDEX(QH_V,M57))</f>
        <v>53.1631130894924</v>
      </c>
      <c r="L57" s="40" t="n">
        <f aca="false">K57*1000000/dt_s+J57/2</f>
        <v>14841.454063504</v>
      </c>
      <c r="M57" s="44" t="n">
        <f aca="false">MATCH(F57,INDEX(QH_f,0,$F$4),1)</f>
        <v>62</v>
      </c>
      <c r="N57" s="45" t="n">
        <f aca="false">(F57-INDEX(QH_f,M57,$F$4))/(INDEX(QH_f,M57+1,$F$4)-INDEX(QH_f,M57,$F$4))</f>
        <v>0.361884691356133</v>
      </c>
    </row>
    <row r="58" customFormat="false" ht="15" hidden="false" customHeight="false" outlineLevel="0" collapsed="false">
      <c r="A58" s="14" t="n">
        <v>42</v>
      </c>
      <c r="B58" s="40" t="n">
        <f aca="false">IFERROR(INDEX(Lu_Q,MATCH(A58,Lu_t,0),$C$4),0)</f>
        <v>0</v>
      </c>
      <c r="C58" s="40" t="n">
        <f aca="false">(B57+B58)/2</f>
        <v>0</v>
      </c>
      <c r="D58" s="40" t="n">
        <f aca="false">L57</f>
        <v>14841.454063504</v>
      </c>
      <c r="E58" s="40" t="n">
        <f aca="false">J57</f>
        <v>147.845299512182</v>
      </c>
      <c r="F58" s="40" t="n">
        <f aca="false">D58+C58-E58</f>
        <v>14693.6087639918</v>
      </c>
      <c r="G58" s="41" t="n">
        <f aca="false">INDEX(QH_Z,M58)+N58*(INDEX(QH_Z,M58+1)-INDEX(QH_Z,M58))</f>
        <v>77.0661867579703</v>
      </c>
      <c r="H58" s="42" t="n">
        <f aca="false">INDEX(QH_qtc,M58)+N58*(INDEX(QH_qtc,M58+1)-INDEX(QH_qtc,M58))</f>
        <v>141.956543923517</v>
      </c>
      <c r="I58" s="43" t="n">
        <f aca="false">IF($F$4=2,0,INDEX(QH_qsc,M58)+N58*(INDEX(QH_qsc,M58+1)-INDEX(QH_qsc,M58)))</f>
        <v>0</v>
      </c>
      <c r="J58" s="40" t="n">
        <f aca="false">H58+I58</f>
        <v>141.956543923517</v>
      </c>
      <c r="K58" s="23" t="n">
        <f aca="false">INDEX(QH_V,M58)+N58*(INDEX(QH_V,M58+1)-INDEX(QH_V,M58))</f>
        <v>52.6414697713081</v>
      </c>
      <c r="L58" s="40" t="n">
        <f aca="false">K58*1000000/dt_s+J58/2</f>
        <v>14693.6087639918</v>
      </c>
      <c r="M58" s="44" t="n">
        <f aca="false">MATCH(F58,INDEX(QH_f,0,$F$4),1)</f>
        <v>61</v>
      </c>
      <c r="N58" s="45" t="n">
        <f aca="false">(F58-INDEX(QH_f,M58,$F$4))/(INDEX(QH_f,M58+1,$F$4)-INDEX(QH_f,M58,$F$4))</f>
        <v>0.66186757970259</v>
      </c>
    </row>
    <row r="59" customFormat="false" ht="15" hidden="false" customHeight="false" outlineLevel="0" collapsed="false">
      <c r="A59" s="14" t="n">
        <v>43</v>
      </c>
      <c r="B59" s="40" t="n">
        <f aca="false">IFERROR(INDEX(Lu_Q,MATCH(A59,Lu_t,0),$C$4),0)</f>
        <v>0</v>
      </c>
      <c r="C59" s="40" t="n">
        <f aca="false">(B58+B59)/2</f>
        <v>0</v>
      </c>
      <c r="D59" s="40" t="n">
        <f aca="false">L58</f>
        <v>14693.6087639918</v>
      </c>
      <c r="E59" s="40" t="n">
        <f aca="false">J58</f>
        <v>141.956543923517</v>
      </c>
      <c r="F59" s="40" t="n">
        <f aca="false">D59+C59-E59</f>
        <v>14551.6522200683</v>
      </c>
      <c r="G59" s="41" t="n">
        <f aca="false">INDEX(QH_Z,M59)+N59*(INDEX(QH_Z,M59+1)-INDEX(QH_Z,M59))</f>
        <v>76.9987214772942</v>
      </c>
      <c r="H59" s="42" t="n">
        <f aca="false">INDEX(QH_qtc,M59)+N59*(INDEX(QH_qtc,M59+1)-INDEX(QH_qtc,M59))</f>
        <v>136.32060955605</v>
      </c>
      <c r="I59" s="43" t="n">
        <f aca="false">IF($F$4=2,0,INDEX(QH_qsc,M59)+N59*(INDEX(QH_qsc,M59+1)-INDEX(QH_qsc,M59)))</f>
        <v>0</v>
      </c>
      <c r="J59" s="40" t="n">
        <f aca="false">H59+I59</f>
        <v>136.32060955605</v>
      </c>
      <c r="K59" s="23" t="n">
        <f aca="false">INDEX(QH_V,M59)+N59*(INDEX(QH_V,M59+1)-INDEX(QH_V,M59))</f>
        <v>52.1405708950449</v>
      </c>
      <c r="L59" s="40" t="n">
        <f aca="false">K59*1000000/dt_s+J59/2</f>
        <v>14551.6522200683</v>
      </c>
      <c r="M59" s="44" t="n">
        <f aca="false">MATCH(F59,INDEX(QH_f,0,$F$4),1)</f>
        <v>60</v>
      </c>
      <c r="N59" s="45" t="n">
        <f aca="false">(F59-INDEX(QH_f,M59,$F$4))/(INDEX(QH_f,M59+1,$F$4)-INDEX(QH_f,M59,$F$4))</f>
        <v>0.987214772942251</v>
      </c>
    </row>
    <row r="60" customFormat="false" ht="15" hidden="false" customHeight="false" outlineLevel="0" collapsed="false">
      <c r="A60" s="14" t="n">
        <v>44</v>
      </c>
      <c r="B60" s="40" t="n">
        <f aca="false">IFERROR(INDEX(Lu_Q,MATCH(A60,Lu_t,0),$C$4),0)</f>
        <v>0</v>
      </c>
      <c r="C60" s="40" t="n">
        <f aca="false">(B59+B60)/2</f>
        <v>0</v>
      </c>
      <c r="D60" s="40" t="n">
        <f aca="false">L59</f>
        <v>14551.6522200683</v>
      </c>
      <c r="E60" s="40" t="n">
        <f aca="false">J59</f>
        <v>136.32060955605</v>
      </c>
      <c r="F60" s="40" t="n">
        <f aca="false">D60+C60-E60</f>
        <v>14415.3316105122</v>
      </c>
      <c r="G60" s="41" t="n">
        <f aca="false">INDEX(QH_Z,M60)+N60*(INDEX(QH_Z,M60+1)-INDEX(QH_Z,M60))</f>
        <v>76.9334904970737</v>
      </c>
      <c r="H60" s="42" t="n">
        <f aca="false">INDEX(QH_qtc,M60)+N60*(INDEX(QH_qtc,M60+1)-INDEX(QH_qtc,M60))</f>
        <v>130.945212180844</v>
      </c>
      <c r="I60" s="43" t="n">
        <f aca="false">IF($F$4=2,0,INDEX(QH_qsc,M60)+N60*(INDEX(QH_qsc,M60+1)-INDEX(QH_qsc,M60)))</f>
        <v>0</v>
      </c>
      <c r="J60" s="40" t="n">
        <f aca="false">H60+I60</f>
        <v>130.945212180844</v>
      </c>
      <c r="K60" s="23" t="n">
        <f aca="false">INDEX(QH_V,M60)+N60*(INDEX(QH_V,M60+1)-INDEX(QH_V,M60))</f>
        <v>51.6594924159185</v>
      </c>
      <c r="L60" s="40" t="n">
        <f aca="false">K60*1000000/dt_s+J60/2</f>
        <v>14415.3316105122</v>
      </c>
      <c r="M60" s="44" t="n">
        <f aca="false">MATCH(F60,INDEX(QH_f,0,$F$4),1)</f>
        <v>60</v>
      </c>
      <c r="N60" s="45" t="n">
        <f aca="false">(F60-INDEX(QH_f,M60,$F$4))/(INDEX(QH_f,M60+1,$F$4)-INDEX(QH_f,M60,$F$4))</f>
        <v>0.334904970736905</v>
      </c>
    </row>
    <row r="61" customFormat="false" ht="15" hidden="false" customHeight="false" outlineLevel="0" collapsed="false">
      <c r="A61" s="14" t="n">
        <v>45</v>
      </c>
      <c r="B61" s="40" t="n">
        <f aca="false">IFERROR(INDEX(Lu_Q,MATCH(A61,Lu_t,0),$C$4),0)</f>
        <v>0</v>
      </c>
      <c r="C61" s="40" t="n">
        <f aca="false">(B60+B61)/2</f>
        <v>0</v>
      </c>
      <c r="D61" s="40" t="n">
        <f aca="false">L60</f>
        <v>14415.3316105122</v>
      </c>
      <c r="E61" s="40" t="n">
        <f aca="false">J60</f>
        <v>130.945212180844</v>
      </c>
      <c r="F61" s="40" t="n">
        <f aca="false">D61+C61-E61</f>
        <v>14284.3863983314</v>
      </c>
      <c r="G61" s="41" t="n">
        <f aca="false">INDEX(QH_Z,M61)+N61*(INDEX(QH_Z,M61+1)-INDEX(QH_Z,M61))</f>
        <v>76.8706278986934</v>
      </c>
      <c r="H61" s="42" t="n">
        <f aca="false">INDEX(QH_qtc,M61)+N61*(INDEX(QH_qtc,M61+1)-INDEX(QH_qtc,M61))</f>
        <v>125.800931146559</v>
      </c>
      <c r="I61" s="43" t="n">
        <f aca="false">IF($F$4=2,0,INDEX(QH_qsc,M61)+N61*(INDEX(QH_qsc,M61+1)-INDEX(QH_qsc,M61)))</f>
        <v>0</v>
      </c>
      <c r="J61" s="40" t="n">
        <f aca="false">H61+I61</f>
        <v>125.800931146559</v>
      </c>
      <c r="K61" s="23" t="n">
        <f aca="false">INDEX(QH_V,M61)+N61*(INDEX(QH_V,M61+1)-INDEX(QH_V,M61))</f>
        <v>51.1973493579292</v>
      </c>
      <c r="L61" s="40" t="n">
        <f aca="false">K61*1000000/dt_s+J61/2</f>
        <v>14284.3863983314</v>
      </c>
      <c r="M61" s="44" t="n">
        <f aca="false">MATCH(F61,INDEX(QH_f,0,$F$4),1)</f>
        <v>59</v>
      </c>
      <c r="N61" s="45" t="n">
        <f aca="false">(F61-INDEX(QH_f,M61,$F$4))/(INDEX(QH_f,M61+1,$F$4)-INDEX(QH_f,M61,$F$4))</f>
        <v>0.706278986933985</v>
      </c>
    </row>
    <row r="62" customFormat="false" ht="15" hidden="false" customHeight="false" outlineLevel="0" collapsed="false">
      <c r="A62" s="14" t="n">
        <v>46</v>
      </c>
      <c r="B62" s="40" t="n">
        <f aca="false">IFERROR(INDEX(Lu_Q,MATCH(A62,Lu_t,0),$C$4),0)</f>
        <v>0</v>
      </c>
      <c r="C62" s="40" t="n">
        <f aca="false">(B61+B62)/2</f>
        <v>0</v>
      </c>
      <c r="D62" s="40" t="n">
        <f aca="false">L61</f>
        <v>14284.3863983314</v>
      </c>
      <c r="E62" s="40" t="n">
        <f aca="false">J61</f>
        <v>125.800931146559</v>
      </c>
      <c r="F62" s="40" t="n">
        <f aca="false">D62+C62-E62</f>
        <v>14158.5854671848</v>
      </c>
      <c r="G62" s="41" t="n">
        <f aca="false">INDEX(QH_Z,M62)+N62*(INDEX(QH_Z,M62+1)-INDEX(QH_Z,M62))</f>
        <v>76.810010089712</v>
      </c>
      <c r="H62" s="42" t="n">
        <f aca="false">INDEX(QH_qtc,M62)+N62*(INDEX(QH_qtc,M62+1)-INDEX(QH_qtc,M62))</f>
        <v>120.879874847235</v>
      </c>
      <c r="I62" s="43" t="n">
        <f aca="false">IF($F$4=2,0,INDEX(QH_qsc,M62)+N62*(INDEX(QH_qsc,M62+1)-INDEX(QH_qsc,M62)))</f>
        <v>0</v>
      </c>
      <c r="J62" s="40" t="n">
        <f aca="false">H62+I62</f>
        <v>120.879874847235</v>
      </c>
      <c r="K62" s="23" t="n">
        <f aca="false">INDEX(QH_V,M62)+N62*(INDEX(QH_V,M62+1)-INDEX(QH_V,M62))</f>
        <v>50.7533239071403</v>
      </c>
      <c r="L62" s="40" t="n">
        <f aca="false">K62*1000000/dt_s+J62/2</f>
        <v>14158.5854671848</v>
      </c>
      <c r="M62" s="44" t="n">
        <f aca="false">MATCH(F62,INDEX(QH_f,0,$F$4),1)</f>
        <v>59</v>
      </c>
      <c r="N62" s="45" t="n">
        <f aca="false">(F62-INDEX(QH_f,M62,$F$4))/(INDEX(QH_f,M62+1,$F$4)-INDEX(QH_f,M62,$F$4))</f>
        <v>0.100100897119934</v>
      </c>
    </row>
    <row r="63" customFormat="false" ht="15" hidden="false" customHeight="false" outlineLevel="0" collapsed="false">
      <c r="A63" s="14" t="n">
        <v>47</v>
      </c>
      <c r="B63" s="40" t="n">
        <f aca="false">IFERROR(INDEX(Lu_Q,MATCH(A63,Lu_t,0),$C$4),0)</f>
        <v>0</v>
      </c>
      <c r="C63" s="40" t="n">
        <f aca="false">(B62+B63)/2</f>
        <v>0</v>
      </c>
      <c r="D63" s="40" t="n">
        <f aca="false">L62</f>
        <v>14158.5854671848</v>
      </c>
      <c r="E63" s="40" t="n">
        <f aca="false">J62</f>
        <v>120.879874847235</v>
      </c>
      <c r="F63" s="40" t="n">
        <f aca="false">D63+C63-E63</f>
        <v>14037.7055923376</v>
      </c>
      <c r="G63" s="41" t="n">
        <f aca="false">INDEX(QH_Z,M63)+N63*(INDEX(QH_Z,M63+1)-INDEX(QH_Z,M63))</f>
        <v>76.7514232393186</v>
      </c>
      <c r="H63" s="42" t="n">
        <f aca="false">INDEX(QH_qtc,M63)+N63*(INDEX(QH_qtc,M63+1)-INDEX(QH_qtc,M63))</f>
        <v>116.186703540091</v>
      </c>
      <c r="I63" s="43" t="n">
        <f aca="false">IF($F$4=2,0,INDEX(QH_qsc,M63)+N63*(INDEX(QH_qsc,M63+1)-INDEX(QH_qsc,M63)))</f>
        <v>0</v>
      </c>
      <c r="J63" s="40" t="n">
        <f aca="false">H63+I63</f>
        <v>116.186703540091</v>
      </c>
      <c r="K63" s="23" t="n">
        <f aca="false">INDEX(QH_V,M63)+N63*(INDEX(QH_V,M63+1)-INDEX(QH_V,M63))</f>
        <v>50.3266040660432</v>
      </c>
      <c r="L63" s="40" t="n">
        <f aca="false">K63*1000000/dt_s+J63/2</f>
        <v>14037.7055923376</v>
      </c>
      <c r="M63" s="44" t="n">
        <f aca="false">MATCH(F63,INDEX(QH_f,0,$F$4),1)</f>
        <v>58</v>
      </c>
      <c r="N63" s="45" t="n">
        <f aca="false">(F63-INDEX(QH_f,M63,$F$4))/(INDEX(QH_f,M63+1,$F$4)-INDEX(QH_f,M63,$F$4))</f>
        <v>0.514232393186462</v>
      </c>
    </row>
    <row r="64" customFormat="false" ht="15" hidden="false" customHeight="false" outlineLevel="0" collapsed="false">
      <c r="A64" s="14" t="n">
        <v>48</v>
      </c>
      <c r="B64" s="40" t="n">
        <f aca="false">IFERROR(INDEX(Lu_Q,MATCH(A64,Lu_t,0),$C$4),0)</f>
        <v>0</v>
      </c>
      <c r="C64" s="40" t="n">
        <f aca="false">(B63+B64)/2</f>
        <v>0</v>
      </c>
      <c r="D64" s="40" t="n">
        <f aca="false">L63</f>
        <v>14037.7055923376</v>
      </c>
      <c r="E64" s="40" t="n">
        <f aca="false">J63</f>
        <v>116.186703540091</v>
      </c>
      <c r="F64" s="40" t="n">
        <f aca="false">D64+C64-E64</f>
        <v>13921.5188887975</v>
      </c>
      <c r="G64" s="41" t="n">
        <f aca="false">INDEX(QH_Z,M64)+N64*(INDEX(QH_Z,M64+1)-INDEX(QH_Z,M64))</f>
        <v>76.6950078449555</v>
      </c>
      <c r="H64" s="42" t="n">
        <f aca="false">INDEX(QH_qtc,M64)+N64*(INDEX(QH_qtc,M64+1)-INDEX(QH_qtc,M64))</f>
        <v>111.686844370893</v>
      </c>
      <c r="I64" s="43" t="n">
        <f aca="false">IF($F$4=2,0,INDEX(QH_qsc,M64)+N64*(INDEX(QH_qsc,M64+1)-INDEX(QH_qsc,M64)))</f>
        <v>0</v>
      </c>
      <c r="J64" s="40" t="n">
        <f aca="false">H64+I64</f>
        <v>111.686844370893</v>
      </c>
      <c r="K64" s="23" t="n">
        <f aca="false">INDEX(QH_V,M64)+N64*(INDEX(QH_V,M64+1)-INDEX(QH_V,M64))</f>
        <v>49.9164316798034</v>
      </c>
      <c r="L64" s="40" t="n">
        <f aca="false">K64*1000000/dt_s+J64/2</f>
        <v>13921.5188887975</v>
      </c>
      <c r="M64" s="44" t="n">
        <f aca="false">MATCH(F64,INDEX(QH_f,0,$F$4),1)</f>
        <v>57</v>
      </c>
      <c r="N64" s="45" t="n">
        <f aca="false">(F64-INDEX(QH_f,M64,$F$4))/(INDEX(QH_f,M64+1,$F$4)-INDEX(QH_f,M64,$F$4))</f>
        <v>0.950078449554823</v>
      </c>
    </row>
  </sheetData>
  <mergeCells count="12">
    <mergeCell ref="A3:B3"/>
    <mergeCell ref="D3:E3"/>
    <mergeCell ref="F3:G3"/>
    <mergeCell ref="A4:B4"/>
    <mergeCell ref="D4:E4"/>
    <mergeCell ref="A6:E6"/>
    <mergeCell ref="A7:E7"/>
    <mergeCell ref="A8:E8"/>
    <mergeCell ref="A9:E9"/>
    <mergeCell ref="A10:E10"/>
    <mergeCell ref="A11:E11"/>
    <mergeCell ref="A12:E12"/>
  </mergeCells>
  <conditionalFormatting sqref="A16:N64">
    <cfRule type="expression" priority="2" aboveAverage="0" equalAverage="0" bottom="0" percent="0" rank="0" text="" dxfId="0">
      <formula>$G16=MAX($G$16:$G$64)</formula>
    </cfRule>
  </conditionalFormatting>
  <dataValidations count="2">
    <dataValidation allowBlank="false" errorStyle="stop" operator="between" showDropDown="false" showErrorMessage="false" showInputMessage="false" sqref="C3" type="list">
      <formula1>"1,0.2"</formula1>
      <formula2>0</formula2>
    </dataValidation>
    <dataValidation allowBlank="false" errorStyle="stop" operator="between" showDropDown="false" showErrorMessage="false" showInputMessage="false" sqref="F3" type="list">
      <formula1>"Hai tràn,Kẹt van"</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L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3" min="2" style="0" width="9"/>
    <col collapsed="false" customWidth="true" hidden="false" outlineLevel="0" max="4" min="4" style="0" width="11"/>
    <col collapsed="false" customWidth="true" hidden="false" outlineLevel="0" max="5" min="5" style="0" width="9"/>
    <col collapsed="false" customWidth="true" hidden="false" outlineLevel="0" max="7" min="6" style="0" width="11"/>
    <col collapsed="false" customWidth="true" hidden="false" outlineLevel="0" max="8" min="8" style="0" width="9"/>
    <col collapsed="false" customWidth="true" hidden="false" outlineLevel="0" max="10" min="9" style="0" width="11"/>
    <col collapsed="false" customWidth="true" hidden="false" outlineLevel="0" max="12" min="11" style="0" width="12"/>
  </cols>
  <sheetData>
    <row r="1" customFormat="false" ht="17.35" hidden="false" customHeight="false" outlineLevel="0" collapsed="false">
      <c r="A1" s="6" t="s">
        <v>126</v>
      </c>
    </row>
    <row r="2" customFormat="false" ht="15" hidden="false" customHeight="false" outlineLevel="0" collapsed="false">
      <c r="A2" s="7" t="s">
        <v>127</v>
      </c>
    </row>
    <row r="4" customFormat="false" ht="15" hidden="false" customHeight="false" outlineLevel="0" collapsed="false">
      <c r="A4" s="10" t="s">
        <v>128</v>
      </c>
      <c r="B4" s="10"/>
      <c r="C4" s="11" t="n">
        <v>74.7</v>
      </c>
      <c r="D4" s="10" t="s">
        <v>129</v>
      </c>
      <c r="E4" s="10"/>
      <c r="F4" s="11" t="n">
        <v>79.5</v>
      </c>
      <c r="G4" s="10" t="s">
        <v>130</v>
      </c>
      <c r="H4" s="10"/>
      <c r="I4" s="33" t="n">
        <v>0.1</v>
      </c>
    </row>
    <row r="6" customFormat="false" ht="45" hidden="false" customHeight="true" outlineLevel="0" collapsed="false">
      <c r="A6" s="9" t="s">
        <v>131</v>
      </c>
      <c r="B6" s="9" t="s">
        <v>80</v>
      </c>
      <c r="C6" s="9" t="s">
        <v>88</v>
      </c>
      <c r="D6" s="9" t="s">
        <v>90</v>
      </c>
      <c r="E6" s="9" t="s">
        <v>91</v>
      </c>
      <c r="F6" s="9" t="s">
        <v>93</v>
      </c>
      <c r="G6" s="9" t="s">
        <v>94</v>
      </c>
      <c r="H6" s="9" t="s">
        <v>81</v>
      </c>
      <c r="I6" s="9" t="s">
        <v>87</v>
      </c>
      <c r="J6" s="9" t="s">
        <v>132</v>
      </c>
      <c r="K6" s="9" t="s">
        <v>133</v>
      </c>
      <c r="L6" s="9" t="s">
        <v>134</v>
      </c>
    </row>
    <row r="7" customFormat="false" ht="15" hidden="false" customHeight="false" outlineLevel="0" collapsed="false">
      <c r="A7" s="46" t="n">
        <f aca="false">IF(B7="","",ROW()-6)</f>
        <v>1</v>
      </c>
      <c r="B7" s="47" t="n">
        <f aca="false">Z_dau_in</f>
        <v>74.7</v>
      </c>
      <c r="C7" s="24" t="n">
        <f aca="false">IF(B7="","",MAX(B7-TC_Z,0))</f>
        <v>0</v>
      </c>
      <c r="D7" s="32" t="n">
        <f aca="false">IF(B7="","",TC_s*(1-0.2*(TC_xmb+(TC_n-1)*TC_xmt)*C7/(TC_n*TC_b))*TC_m*TC_n*TC_b*SQRT(2*g_)*C7^1.5)</f>
        <v>0</v>
      </c>
      <c r="E7" s="24" t="n">
        <f aca="false">IF(B7="","",MAX(B7-SC_Z,0))</f>
        <v>3.7</v>
      </c>
      <c r="F7" s="32" t="n">
        <f aca="false">IF(B7="","",SC_s*(1-0.2*(SC_xmb+(SC_n-1)*SC_xmt)*E7/(SC_n*SC_b))*SC_m*SC_n*SC_b*SQRT(2*g_)*E7^1.5)</f>
        <v>63.5823321712985</v>
      </c>
      <c r="G7" s="32" t="n">
        <f aca="false">IF(B7="","",D7+F7)</f>
        <v>63.5823321712985</v>
      </c>
      <c r="H7" s="25" t="n">
        <f aca="false">IF(B7="","",INDEX(Bang_F,MATCH(B7,Bang_Z,1))+(B7-INDEX(Bang_Z,MATCH(B7,Bang_Z,1)))*(INDEX(Bang_F,MATCH(B7,Bang_Z,1)+1)-INDEX(Bang_F,MATCH(B7,Bang_Z,1))))</f>
        <v>6.262</v>
      </c>
      <c r="I7" s="25" t="n">
        <f aca="false">IF(B7="","",INDEX(Bang_W,MATCH(B7,Bang_Z,1))+(B7-INDEX(Bang_Z,MATCH(B7,Bang_Z,1)))*(INDEX(Bang_F,MATCH(B7,Bang_Z,1))+H7)/2)</f>
        <v>36.4117</v>
      </c>
      <c r="J7" s="32" t="n">
        <f aca="false">IF(B7="","",I7*1000000/dt_s)</f>
        <v>10114.3611111111</v>
      </c>
      <c r="K7" s="32" t="n">
        <f aca="false">IF(B7="","",J7+G7/2)</f>
        <v>10146.1522771968</v>
      </c>
      <c r="L7" s="32" t="n">
        <f aca="false">IF(B7="","",J7+D7/2)</f>
        <v>10114.3611111111</v>
      </c>
    </row>
    <row r="8" customFormat="false" ht="15" hidden="false" customHeight="false" outlineLevel="0" collapsed="false">
      <c r="A8" s="46" t="n">
        <f aca="false">IF(B8="","",ROW()-6)</f>
        <v>2</v>
      </c>
      <c r="B8" s="47" t="n">
        <f aca="false">IF(B7="","",IF(B7+Buoc_in&gt;Z_cuoi_in+0.000001,"",ROUND(B7+Buoc_in,2)))</f>
        <v>74.8</v>
      </c>
      <c r="C8" s="24" t="n">
        <f aca="false">IF(B8="","",MAX(B8-TC_Z,0))</f>
        <v>0.0999999999999943</v>
      </c>
      <c r="D8" s="32" t="n">
        <f aca="false">IF(B8="","",TC_s*(1-0.2*(TC_xmb+(TC_n-1)*TC_xmt)*C8/(TC_n*TC_b))*TC_m*TC_n*TC_b*SQRT(2*g_)*C8^1.5)</f>
        <v>1.35607334510988</v>
      </c>
      <c r="E8" s="24" t="n">
        <f aca="false">IF(B8="","",MAX(B8-SC_Z,0))</f>
        <v>3.8</v>
      </c>
      <c r="F8" s="32" t="n">
        <f aca="false">IF(B8="","",SC_s*(1-0.2*(SC_xmb+(SC_n-1)*SC_xmt)*E8/(SC_n*SC_b))*SC_m*SC_n*SC_b*SQRT(2*g_)*E8^1.5)</f>
        <v>65.970621369179</v>
      </c>
      <c r="G8" s="32" t="n">
        <f aca="false">IF(B8="","",D8+F8)</f>
        <v>67.3266947142889</v>
      </c>
      <c r="H8" s="25" t="n">
        <f aca="false">IF(B8="","",INDEX(Bang_F,MATCH(B8,Bang_Z,1))+(B8-INDEX(Bang_Z,MATCH(B8,Bang_Z,1)))*(INDEX(Bang_F,MATCH(B8,Bang_Z,1)+1)-INDEX(Bang_F,MATCH(B8,Bang_Z,1))))</f>
        <v>6.328</v>
      </c>
      <c r="I8" s="25" t="n">
        <f aca="false">IF(B8="","",INDEX(Bang_W,MATCH(B8,Bang_Z,1))+(B8-INDEX(Bang_Z,MATCH(B8,Bang_Z,1)))*(INDEX(Bang_F,MATCH(B8,Bang_Z,1))+H8)/2)</f>
        <v>37.0412</v>
      </c>
      <c r="J8" s="32" t="n">
        <f aca="false">IF(B8="","",I8*1000000/dt_s)</f>
        <v>10289.2222222222</v>
      </c>
      <c r="K8" s="32" t="n">
        <f aca="false">IF(B8="","",J8+G8/2)</f>
        <v>10322.8855695794</v>
      </c>
      <c r="L8" s="32" t="n">
        <f aca="false">IF(B8="","",J8+D8/2)</f>
        <v>10289.9002588948</v>
      </c>
    </row>
    <row r="9" customFormat="false" ht="15" hidden="false" customHeight="false" outlineLevel="0" collapsed="false">
      <c r="A9" s="46" t="n">
        <f aca="false">IF(B9="","",ROW()-6)</f>
        <v>3</v>
      </c>
      <c r="B9" s="47" t="n">
        <f aca="false">IF(B8="","",IF(B8+Buoc_in&gt;Z_cuoi_in+0.000001,"",ROUND(B8+Buoc_in,2)))</f>
        <v>74.9</v>
      </c>
      <c r="C9" s="24" t="n">
        <f aca="false">IF(B9="","",MAX(B9-TC_Z,0))</f>
        <v>0.200000000000003</v>
      </c>
      <c r="D9" s="32" t="n">
        <f aca="false">IF(B9="","",TC_s*(1-0.2*(TC_xmb+(TC_n-1)*TC_xmt)*C9/(TC_n*TC_b))*TC_m*TC_n*TC_b*SQRT(2*g_)*C9^1.5)</f>
        <v>3.82022239770543</v>
      </c>
      <c r="E9" s="24" t="n">
        <f aca="false">IF(B9="","",MAX(B9-SC_Z,0))</f>
        <v>3.90000000000001</v>
      </c>
      <c r="F9" s="32" t="n">
        <f aca="false">IF(B9="","",SC_s*(1-0.2*(SC_xmb+(SC_n-1)*SC_xmt)*E9/(SC_n*SC_b))*SC_m*SC_n*SC_b*SQRT(2*g_)*E9^1.5)</f>
        <v>68.3768576814924</v>
      </c>
      <c r="G9" s="32" t="n">
        <f aca="false">IF(B9="","",D9+F9)</f>
        <v>72.1970800791978</v>
      </c>
      <c r="H9" s="25" t="n">
        <f aca="false">IF(B9="","",INDEX(Bang_F,MATCH(B9,Bang_Z,1))+(B9-INDEX(Bang_Z,MATCH(B9,Bang_Z,1)))*(INDEX(Bang_F,MATCH(B9,Bang_Z,1)+1)-INDEX(Bang_F,MATCH(B9,Bang_Z,1))))</f>
        <v>6.394</v>
      </c>
      <c r="I9" s="25" t="n">
        <f aca="false">IF(B9="","",INDEX(Bang_W,MATCH(B9,Bang_Z,1))+(B9-INDEX(Bang_Z,MATCH(B9,Bang_Z,1)))*(INDEX(Bang_F,MATCH(B9,Bang_Z,1))+H9)/2)</f>
        <v>37.6773</v>
      </c>
      <c r="J9" s="32" t="n">
        <f aca="false">IF(B9="","",I9*1000000/dt_s)</f>
        <v>10465.9166666667</v>
      </c>
      <c r="K9" s="32" t="n">
        <f aca="false">IF(B9="","",J9+G9/2)</f>
        <v>10502.0152067063</v>
      </c>
      <c r="L9" s="32" t="n">
        <f aca="false">IF(B9="","",J9+D9/2)</f>
        <v>10467.8267778655</v>
      </c>
    </row>
    <row r="10" customFormat="false" ht="15" hidden="false" customHeight="false" outlineLevel="0" collapsed="false">
      <c r="A10" s="46" t="n">
        <f aca="false">IF(B10="","",ROW()-6)</f>
        <v>4</v>
      </c>
      <c r="B10" s="47" t="n">
        <f aca="false">IF(B9="","",IF(B9+Buoc_in&gt;Z_cuoi_in+0.000001,"",ROUND(B9+Buoc_in,2)))</f>
        <v>75</v>
      </c>
      <c r="C10" s="24" t="n">
        <f aca="false">IF(B10="","",MAX(B10-TC_Z,0))</f>
        <v>0.299999999999997</v>
      </c>
      <c r="D10" s="32" t="n">
        <f aca="false">IF(B10="","",TC_s*(1-0.2*(TC_xmb+(TC_n-1)*TC_xmt)*C10/(TC_n*TC_b))*TC_m*TC_n*TC_b*SQRT(2*g_)*C10^1.5)</f>
        <v>6.99002956993345</v>
      </c>
      <c r="E10" s="24" t="n">
        <f aca="false">IF(B10="","",MAX(B10-SC_Z,0))</f>
        <v>4</v>
      </c>
      <c r="F10" s="32" t="n">
        <f aca="false">IF(B10="","",SC_s*(1-0.2*(SC_xmb+(SC_n-1)*SC_xmt)*E10/(SC_n*SC_b))*SC_m*SC_n*SC_b*SQRT(2*g_)*E10^1.5)</f>
        <v>70.8002795384312</v>
      </c>
      <c r="G10" s="32" t="n">
        <f aca="false">IF(B10="","",D10+F10)</f>
        <v>77.7903091083647</v>
      </c>
      <c r="H10" s="25" t="n">
        <f aca="false">IF(B10="","",INDEX(Bang_F,MATCH(B10,Bang_Z,1))+(B10-INDEX(Bang_Z,MATCH(B10,Bang_Z,1)))*(INDEX(Bang_F,MATCH(B10,Bang_Z,1)+1)-INDEX(Bang_F,MATCH(B10,Bang_Z,1))))</f>
        <v>6.46</v>
      </c>
      <c r="I10" s="25" t="n">
        <f aca="false">IF(B10="","",INDEX(Bang_W,MATCH(B10,Bang_Z,1))+(B10-INDEX(Bang_Z,MATCH(B10,Bang_Z,1)))*(INDEX(Bang_F,MATCH(B10,Bang_Z,1))+H10)/2)</f>
        <v>38.32</v>
      </c>
      <c r="J10" s="32" t="n">
        <f aca="false">IF(B10="","",I10*1000000/dt_s)</f>
        <v>10644.4444444444</v>
      </c>
      <c r="K10" s="32" t="n">
        <f aca="false">IF(B10="","",J10+G10/2)</f>
        <v>10683.3395989986</v>
      </c>
      <c r="L10" s="32" t="n">
        <f aca="false">IF(B10="","",J10+D10/2)</f>
        <v>10647.9394592294</v>
      </c>
    </row>
    <row r="11" customFormat="false" ht="15" hidden="false" customHeight="false" outlineLevel="0" collapsed="false">
      <c r="A11" s="46" t="n">
        <f aca="false">IF(B11="","",ROW()-6)</f>
        <v>5</v>
      </c>
      <c r="B11" s="47" t="n">
        <f aca="false">IF(B10="","",IF(B10+Buoc_in&gt;Z_cuoi_in+0.000001,"",ROUND(B10+Buoc_in,2)))</f>
        <v>75.1</v>
      </c>
      <c r="C11" s="24" t="n">
        <f aca="false">IF(B11="","",MAX(B11-TC_Z,0))</f>
        <v>0.399999999999992</v>
      </c>
      <c r="D11" s="32" t="n">
        <f aca="false">IF(B11="","",TC_s*(1-0.2*(TC_xmb+(TC_n-1)*TC_xmt)*C11/(TC_n*TC_b))*TC_m*TC_n*TC_b*SQRT(2*g_)*C11^1.5)</f>
        <v>10.718488434938</v>
      </c>
      <c r="E11" s="24" t="n">
        <f aca="false">IF(B11="","",MAX(B11-SC_Z,0))</f>
        <v>4.09999999999999</v>
      </c>
      <c r="F11" s="32" t="n">
        <f aca="false">IF(B11="","",SC_s*(1-0.2*(SC_xmb+(SC_n-1)*SC_xmt)*E11/(SC_n*SC_b))*SC_m*SC_n*SC_b*SQRT(2*g_)*E11^1.5)</f>
        <v>73.2401474497564</v>
      </c>
      <c r="G11" s="32" t="n">
        <f aca="false">IF(B11="","",D11+F11)</f>
        <v>83.9586358846944</v>
      </c>
      <c r="H11" s="25" t="n">
        <f aca="false">IF(B11="","",INDEX(Bang_F,MATCH(B11,Bang_Z,1))+(B11-INDEX(Bang_Z,MATCH(B11,Bang_Z,1)))*(INDEX(Bang_F,MATCH(B11,Bang_Z,1)+1)-INDEX(Bang_F,MATCH(B11,Bang_Z,1))))</f>
        <v>6.504</v>
      </c>
      <c r="I11" s="25" t="n">
        <f aca="false">IF(B11="","",INDEX(Bang_W,MATCH(B11,Bang_Z,1))+(B11-INDEX(Bang_Z,MATCH(B11,Bang_Z,1)))*(INDEX(Bang_F,MATCH(B11,Bang_Z,1))+H11)/2)</f>
        <v>38.9682</v>
      </c>
      <c r="J11" s="32" t="n">
        <f aca="false">IF(B11="","",I11*1000000/dt_s)</f>
        <v>10824.5</v>
      </c>
      <c r="K11" s="32" t="n">
        <f aca="false">IF(B11="","",J11+G11/2)</f>
        <v>10866.4793179423</v>
      </c>
      <c r="L11" s="32" t="n">
        <f aca="false">IF(B11="","",J11+D11/2)</f>
        <v>10829.8592442175</v>
      </c>
    </row>
    <row r="12" customFormat="false" ht="15" hidden="false" customHeight="false" outlineLevel="0" collapsed="false">
      <c r="A12" s="46" t="n">
        <f aca="false">IF(B12="","",ROW()-6)</f>
        <v>6</v>
      </c>
      <c r="B12" s="47" t="n">
        <f aca="false">IF(B11="","",IF(B11+Buoc_in&gt;Z_cuoi_in+0.000001,"",ROUND(B11+Buoc_in,2)))</f>
        <v>75.2</v>
      </c>
      <c r="C12" s="24" t="n">
        <f aca="false">IF(B12="","",MAX(B12-TC_Z,0))</f>
        <v>0.5</v>
      </c>
      <c r="D12" s="32" t="n">
        <f aca="false">IF(B12="","",TC_s*(1-0.2*(TC_xmb+(TC_n-1)*TC_xmt)*C12/(TC_n*TC_b))*TC_m*TC_n*TC_b*SQRT(2*g_)*C12^1.5)</f>
        <v>14.9189369935705</v>
      </c>
      <c r="E12" s="24" t="n">
        <f aca="false">IF(B12="","",MAX(B12-SC_Z,0))</f>
        <v>4.2</v>
      </c>
      <c r="F12" s="32" t="n">
        <f aca="false">IF(B12="","",SC_s*(1-0.2*(SC_xmb+(SC_n-1)*SC_xmt)*E12/(SC_n*SC_b))*SC_m*SC_n*SC_b*SQRT(2*g_)*E12^1.5)</f>
        <v>75.6957427314796</v>
      </c>
      <c r="G12" s="32" t="n">
        <f aca="false">IF(B12="","",D12+F12)</f>
        <v>90.61467972505</v>
      </c>
      <c r="H12" s="25" t="n">
        <f aca="false">IF(B12="","",INDEX(Bang_F,MATCH(B12,Bang_Z,1))+(B12-INDEX(Bang_Z,MATCH(B12,Bang_Z,1)))*(INDEX(Bang_F,MATCH(B12,Bang_Z,1)+1)-INDEX(Bang_F,MATCH(B12,Bang_Z,1))))</f>
        <v>6.548</v>
      </c>
      <c r="I12" s="25" t="n">
        <f aca="false">IF(B12="","",INDEX(Bang_W,MATCH(B12,Bang_Z,1))+(B12-INDEX(Bang_Z,MATCH(B12,Bang_Z,1)))*(INDEX(Bang_F,MATCH(B12,Bang_Z,1))+H12)/2)</f>
        <v>39.6208</v>
      </c>
      <c r="J12" s="32" t="n">
        <f aca="false">IF(B12="","",I12*1000000/dt_s)</f>
        <v>11005.7777777778</v>
      </c>
      <c r="K12" s="32" t="n">
        <f aca="false">IF(B12="","",J12+G12/2)</f>
        <v>11051.0851176403</v>
      </c>
      <c r="L12" s="32" t="n">
        <f aca="false">IF(B12="","",J12+D12/2)</f>
        <v>11013.2372462746</v>
      </c>
    </row>
    <row r="13" customFormat="false" ht="15" hidden="false" customHeight="false" outlineLevel="0" collapsed="false">
      <c r="A13" s="46" t="n">
        <f aca="false">IF(B13="","",ROW()-6)</f>
        <v>7</v>
      </c>
      <c r="B13" s="47" t="n">
        <f aca="false">IF(B12="","",IF(B12+Buoc_in&gt;Z_cuoi_in+0.000001,"",ROUND(B12+Buoc_in,2)))</f>
        <v>75.3</v>
      </c>
      <c r="C13" s="24" t="n">
        <f aca="false">IF(B13="","",MAX(B13-TC_Z,0))</f>
        <v>0.599999999999994</v>
      </c>
      <c r="D13" s="32" t="n">
        <f aca="false">IF(B13="","",TC_s*(1-0.2*(TC_xmb+(TC_n-1)*TC_xmt)*C13/(TC_n*TC_b))*TC_m*TC_n*TC_b*SQRT(2*g_)*C13^1.5)</f>
        <v>19.5317833521674</v>
      </c>
      <c r="E13" s="24" t="n">
        <f aca="false">IF(B13="","",MAX(B13-SC_Z,0))</f>
        <v>4.3</v>
      </c>
      <c r="F13" s="32" t="n">
        <f aca="false">IF(B13="","",SC_s*(1-0.2*(SC_xmb+(SC_n-1)*SC_xmt)*E13/(SC_n*SC_b))*SC_m*SC_n*SC_b*SQRT(2*g_)*E13^1.5)</f>
        <v>78.166366336407</v>
      </c>
      <c r="G13" s="32" t="n">
        <f aca="false">IF(B13="","",D13+F13)</f>
        <v>97.6981496885743</v>
      </c>
      <c r="H13" s="25" t="n">
        <f aca="false">IF(B13="","",INDEX(Bang_F,MATCH(B13,Bang_Z,1))+(B13-INDEX(Bang_Z,MATCH(B13,Bang_Z,1)))*(INDEX(Bang_F,MATCH(B13,Bang_Z,1)+1)-INDEX(Bang_F,MATCH(B13,Bang_Z,1))))</f>
        <v>6.592</v>
      </c>
      <c r="I13" s="25" t="n">
        <f aca="false">IF(B13="","",INDEX(Bang_W,MATCH(B13,Bang_Z,1))+(B13-INDEX(Bang_Z,MATCH(B13,Bang_Z,1)))*(INDEX(Bang_F,MATCH(B13,Bang_Z,1))+H13)/2)</f>
        <v>40.2778</v>
      </c>
      <c r="J13" s="32" t="n">
        <f aca="false">IF(B13="","",I13*1000000/dt_s)</f>
        <v>11188.2777777778</v>
      </c>
      <c r="K13" s="32" t="n">
        <f aca="false">IF(B13="","",J13+G13/2)</f>
        <v>11237.1268526221</v>
      </c>
      <c r="L13" s="32" t="n">
        <f aca="false">IF(B13="","",J13+D13/2)</f>
        <v>11198.0436694539</v>
      </c>
    </row>
    <row r="14" customFormat="false" ht="15" hidden="false" customHeight="false" outlineLevel="0" collapsed="false">
      <c r="A14" s="46" t="n">
        <f aca="false">IF(B14="","",ROW()-6)</f>
        <v>8</v>
      </c>
      <c r="B14" s="47" t="n">
        <f aca="false">IF(B13="","",IF(B13+Buoc_in&gt;Z_cuoi_in+0.000001,"",ROUND(B13+Buoc_in,2)))</f>
        <v>75.4</v>
      </c>
      <c r="C14" s="24" t="n">
        <f aca="false">IF(B14="","",MAX(B14-TC_Z,0))</f>
        <v>0.700000000000003</v>
      </c>
      <c r="D14" s="32" t="n">
        <f aca="false">IF(B14="","",TC_s*(1-0.2*(TC_xmb+(TC_n-1)*TC_xmt)*C14/(TC_n*TC_b))*TC_m*TC_n*TC_b*SQRT(2*g_)*C14^1.5)</f>
        <v>24.512466136324</v>
      </c>
      <c r="E14" s="24" t="n">
        <f aca="false">IF(B14="","",MAX(B14-SC_Z,0))</f>
        <v>4.40000000000001</v>
      </c>
      <c r="F14" s="32" t="n">
        <f aca="false">IF(B14="","",SC_s*(1-0.2*(SC_xmb+(SC_n-1)*SC_xmt)*E14/(SC_n*SC_b))*SC_m*SC_n*SC_b*SQRT(2*g_)*E14^1.5)</f>
        <v>80.6513377777803</v>
      </c>
      <c r="G14" s="32" t="n">
        <f aca="false">IF(B14="","",D14+F14)</f>
        <v>105.163803914104</v>
      </c>
      <c r="H14" s="25" t="n">
        <f aca="false">IF(B14="","",INDEX(Bang_F,MATCH(B14,Bang_Z,1))+(B14-INDEX(Bang_Z,MATCH(B14,Bang_Z,1)))*(INDEX(Bang_F,MATCH(B14,Bang_Z,1)+1)-INDEX(Bang_F,MATCH(B14,Bang_Z,1))))</f>
        <v>6.636</v>
      </c>
      <c r="I14" s="25" t="n">
        <f aca="false">IF(B14="","",INDEX(Bang_W,MATCH(B14,Bang_Z,1))+(B14-INDEX(Bang_Z,MATCH(B14,Bang_Z,1)))*(INDEX(Bang_F,MATCH(B14,Bang_Z,1))+H14)/2)</f>
        <v>40.9392</v>
      </c>
      <c r="J14" s="32" t="n">
        <f aca="false">IF(B14="","",I14*1000000/dt_s)</f>
        <v>11372</v>
      </c>
      <c r="K14" s="32" t="n">
        <f aca="false">IF(B14="","",J14+G14/2)</f>
        <v>11424.5819019571</v>
      </c>
      <c r="L14" s="32" t="n">
        <f aca="false">IF(B14="","",J14+D14/2)</f>
        <v>11384.2562330682</v>
      </c>
    </row>
    <row r="15" customFormat="false" ht="15" hidden="false" customHeight="false" outlineLevel="0" collapsed="false">
      <c r="A15" s="46" t="n">
        <f aca="false">IF(B15="","",ROW()-6)</f>
        <v>9</v>
      </c>
      <c r="B15" s="47" t="n">
        <f aca="false">IF(B14="","",IF(B14+Buoc_in&gt;Z_cuoi_in+0.000001,"",ROUND(B14+Buoc_in,2)))</f>
        <v>75.5</v>
      </c>
      <c r="C15" s="24" t="n">
        <f aca="false">IF(B15="","",MAX(B15-TC_Z,0))</f>
        <v>0.799999999999997</v>
      </c>
      <c r="D15" s="32" t="n">
        <f aca="false">IF(B15="","",TC_s*(1-0.2*(TC_xmb+(TC_n-1)*TC_xmt)*C15/(TC_n*TC_b))*TC_m*TC_n*TC_b*SQRT(2*g_)*C15^1.5)</f>
        <v>29.8258319136882</v>
      </c>
      <c r="E15" s="24" t="n">
        <f aca="false">IF(B15="","",MAX(B15-SC_Z,0))</f>
        <v>4.5</v>
      </c>
      <c r="F15" s="32" t="n">
        <f aca="false">IF(B15="","",SC_s*(1-0.2*(SC_xmb+(SC_n-1)*SC_xmt)*E15/(SC_n*SC_b))*SC_m*SC_n*SC_b*SQRT(2*g_)*E15^1.5)</f>
        <v>83.149994136579</v>
      </c>
      <c r="G15" s="32" t="n">
        <f aca="false">IF(B15="","",D15+F15)</f>
        <v>112.975826050267</v>
      </c>
      <c r="H15" s="25" t="n">
        <f aca="false">IF(B15="","",INDEX(Bang_F,MATCH(B15,Bang_Z,1))+(B15-INDEX(Bang_Z,MATCH(B15,Bang_Z,1)))*(INDEX(Bang_F,MATCH(B15,Bang_Z,1)+1)-INDEX(Bang_F,MATCH(B15,Bang_Z,1))))</f>
        <v>6.68</v>
      </c>
      <c r="I15" s="25" t="n">
        <f aca="false">IF(B15="","",INDEX(Bang_W,MATCH(B15,Bang_Z,1))+(B15-INDEX(Bang_Z,MATCH(B15,Bang_Z,1)))*(INDEX(Bang_F,MATCH(B15,Bang_Z,1))+H15)/2)</f>
        <v>41.605</v>
      </c>
      <c r="J15" s="32" t="n">
        <f aca="false">IF(B15="","",I15*1000000/dt_s)</f>
        <v>11556.9444444444</v>
      </c>
      <c r="K15" s="32" t="n">
        <f aca="false">IF(B15="","",J15+G15/2)</f>
        <v>11613.4323574696</v>
      </c>
      <c r="L15" s="32" t="n">
        <f aca="false">IF(B15="","",J15+D15/2)</f>
        <v>11571.8573604013</v>
      </c>
    </row>
    <row r="16" customFormat="false" ht="15" hidden="false" customHeight="false" outlineLevel="0" collapsed="false">
      <c r="A16" s="46" t="n">
        <f aca="false">IF(B16="","",ROW()-6)</f>
        <v>10</v>
      </c>
      <c r="B16" s="47" t="n">
        <f aca="false">IF(B15="","",IF(B15+Buoc_in&gt;Z_cuoi_in+0.000001,"",ROUND(B15+Buoc_in,2)))</f>
        <v>75.6</v>
      </c>
      <c r="C16" s="24" t="n">
        <f aca="false">IF(B16="","",MAX(B16-TC_Z,0))</f>
        <v>0.899999999999992</v>
      </c>
      <c r="D16" s="32" t="n">
        <f aca="false">IF(B16="","",TC_s*(1-0.2*(TC_xmb+(TC_n-1)*TC_xmt)*C16/(TC_n*TC_b))*TC_m*TC_n*TC_b*SQRT(2*g_)*C16^1.5)</f>
        <v>35.4430953844951</v>
      </c>
      <c r="E16" s="24" t="n">
        <f aca="false">IF(B16="","",MAX(B16-SC_Z,0))</f>
        <v>4.59999999999999</v>
      </c>
      <c r="F16" s="32" t="n">
        <f aca="false">IF(B16="","",SC_s*(1-0.2*(SC_xmb+(SC_n-1)*SC_xmt)*E16/(SC_n*SC_b))*SC_m*SC_n*SC_b*SQRT(2*g_)*E16^1.5)</f>
        <v>85.6616891442152</v>
      </c>
      <c r="G16" s="32" t="n">
        <f aca="false">IF(B16="","",D16+F16)</f>
        <v>121.10478452871</v>
      </c>
      <c r="H16" s="25" t="n">
        <f aca="false">IF(B16="","",INDEX(Bang_F,MATCH(B16,Bang_Z,1))+(B16-INDEX(Bang_Z,MATCH(B16,Bang_Z,1)))*(INDEX(Bang_F,MATCH(B16,Bang_Z,1)+1)-INDEX(Bang_F,MATCH(B16,Bang_Z,1))))</f>
        <v>6.724</v>
      </c>
      <c r="I16" s="25" t="n">
        <f aca="false">IF(B16="","",INDEX(Bang_W,MATCH(B16,Bang_Z,1))+(B16-INDEX(Bang_Z,MATCH(B16,Bang_Z,1)))*(INDEX(Bang_F,MATCH(B16,Bang_Z,1))+H16)/2)</f>
        <v>42.2752</v>
      </c>
      <c r="J16" s="32" t="n">
        <f aca="false">IF(B16="","",I16*1000000/dt_s)</f>
        <v>11743.1111111111</v>
      </c>
      <c r="K16" s="32" t="n">
        <f aca="false">IF(B16="","",J16+G16/2)</f>
        <v>11803.6635033755</v>
      </c>
      <c r="L16" s="32" t="n">
        <f aca="false">IF(B16="","",J16+D16/2)</f>
        <v>11760.8326588033</v>
      </c>
    </row>
    <row r="17" customFormat="false" ht="15" hidden="false" customHeight="false" outlineLevel="0" collapsed="false">
      <c r="A17" s="46" t="n">
        <f aca="false">IF(B17="","",ROW()-6)</f>
        <v>11</v>
      </c>
      <c r="B17" s="47" t="n">
        <f aca="false">IF(B16="","",IF(B16+Buoc_in&gt;Z_cuoi_in+0.000001,"",ROUND(B16+Buoc_in,2)))</f>
        <v>75.7</v>
      </c>
      <c r="C17" s="24" t="n">
        <f aca="false">IF(B17="","",MAX(B17-TC_Z,0))</f>
        <v>1</v>
      </c>
      <c r="D17" s="32" t="n">
        <f aca="false">IF(B17="","",TC_s*(1-0.2*(TC_xmb+(TC_n-1)*TC_xmt)*C17/(TC_n*TC_b))*TC_m*TC_n*TC_b*SQRT(2*g_)*C17^1.5)</f>
        <v>41.3400280863475</v>
      </c>
      <c r="E17" s="24" t="n">
        <f aca="false">IF(B17="","",MAX(B17-SC_Z,0))</f>
        <v>4.7</v>
      </c>
      <c r="F17" s="32" t="n">
        <f aca="false">IF(B17="","",SC_s*(1-0.2*(SC_xmb+(SC_n-1)*SC_xmt)*E17/(SC_n*SC_b))*SC_m*SC_n*SC_b*SQRT(2*g_)*E17^1.5)</f>
        <v>88.1857923333177</v>
      </c>
      <c r="G17" s="32" t="n">
        <f aca="false">IF(B17="","",D17+F17)</f>
        <v>129.525820419665</v>
      </c>
      <c r="H17" s="25" t="n">
        <f aca="false">IF(B17="","",INDEX(Bang_F,MATCH(B17,Bang_Z,1))+(B17-INDEX(Bang_Z,MATCH(B17,Bang_Z,1)))*(INDEX(Bang_F,MATCH(B17,Bang_Z,1)+1)-INDEX(Bang_F,MATCH(B17,Bang_Z,1))))</f>
        <v>6.768</v>
      </c>
      <c r="I17" s="25" t="n">
        <f aca="false">IF(B17="","",INDEX(Bang_W,MATCH(B17,Bang_Z,1))+(B17-INDEX(Bang_Z,MATCH(B17,Bang_Z,1)))*(INDEX(Bang_F,MATCH(B17,Bang_Z,1))+H17)/2)</f>
        <v>42.9498</v>
      </c>
      <c r="J17" s="32" t="n">
        <f aca="false">IF(B17="","",I17*1000000/dt_s)</f>
        <v>11930.5</v>
      </c>
      <c r="K17" s="32" t="n">
        <f aca="false">IF(B17="","",J17+G17/2)</f>
        <v>11995.2629102098</v>
      </c>
      <c r="L17" s="32" t="n">
        <f aca="false">IF(B17="","",J17+D17/2)</f>
        <v>11951.1700140432</v>
      </c>
    </row>
    <row r="18" customFormat="false" ht="15" hidden="false" customHeight="false" outlineLevel="0" collapsed="false">
      <c r="A18" s="46" t="n">
        <f aca="false">IF(B18="","",ROW()-6)</f>
        <v>12</v>
      </c>
      <c r="B18" s="47" t="n">
        <f aca="false">IF(B17="","",IF(B17+Buoc_in&gt;Z_cuoi_in+0.000001,"",ROUND(B17+Buoc_in,2)))</f>
        <v>75.8</v>
      </c>
      <c r="C18" s="24" t="n">
        <f aca="false">IF(B18="","",MAX(B18-TC_Z,0))</f>
        <v>1.09999999999999</v>
      </c>
      <c r="D18" s="32" t="n">
        <f aca="false">IF(B18="","",TC_s*(1-0.2*(TC_xmb+(TC_n-1)*TC_xmt)*C18/(TC_n*TC_b))*TC_m*TC_n*TC_b*SQRT(2*g_)*C18^1.5)</f>
        <v>47.4958009369941</v>
      </c>
      <c r="E18" s="24" t="n">
        <f aca="false">IF(B18="","",MAX(B18-SC_Z,0))</f>
        <v>4.8</v>
      </c>
      <c r="F18" s="32" t="n">
        <f aca="false">IF(B18="","",SC_s*(1-0.2*(SC_xmb+(SC_n-1)*SC_xmt)*E18/(SC_n*SC_b))*SC_m*SC_n*SC_b*SQRT(2*g_)*E18^1.5)</f>
        <v>90.7216882501655</v>
      </c>
      <c r="G18" s="32" t="n">
        <f aca="false">IF(B18="","",D18+F18)</f>
        <v>138.21748918716</v>
      </c>
      <c r="H18" s="25" t="n">
        <f aca="false">IF(B18="","",INDEX(Bang_F,MATCH(B18,Bang_Z,1))+(B18-INDEX(Bang_Z,MATCH(B18,Bang_Z,1)))*(INDEX(Bang_F,MATCH(B18,Bang_Z,1)+1)-INDEX(Bang_F,MATCH(B18,Bang_Z,1))))</f>
        <v>6.812</v>
      </c>
      <c r="I18" s="25" t="n">
        <f aca="false">IF(B18="","",INDEX(Bang_W,MATCH(B18,Bang_Z,1))+(B18-INDEX(Bang_Z,MATCH(B18,Bang_Z,1)))*(INDEX(Bang_F,MATCH(B18,Bang_Z,1))+H18)/2)</f>
        <v>43.6288</v>
      </c>
      <c r="J18" s="32" t="n">
        <f aca="false">IF(B18="","",I18*1000000/dt_s)</f>
        <v>12119.1111111111</v>
      </c>
      <c r="K18" s="32" t="n">
        <f aca="false">IF(B18="","",J18+G18/2)</f>
        <v>12188.2198557047</v>
      </c>
      <c r="L18" s="32" t="n">
        <f aca="false">IF(B18="","",J18+D18/2)</f>
        <v>12142.8590115796</v>
      </c>
    </row>
    <row r="19" customFormat="false" ht="15" hidden="false" customHeight="false" outlineLevel="0" collapsed="false">
      <c r="A19" s="46" t="n">
        <f aca="false">IF(B19="","",ROW()-6)</f>
        <v>13</v>
      </c>
      <c r="B19" s="47" t="n">
        <f aca="false">IF(B18="","",IF(B18+Buoc_in&gt;Z_cuoi_in+0.000001,"",ROUND(B18+Buoc_in,2)))</f>
        <v>75.9</v>
      </c>
      <c r="C19" s="24" t="n">
        <f aca="false">IF(B19="","",MAX(B19-TC_Z,0))</f>
        <v>1.2</v>
      </c>
      <c r="D19" s="32" t="n">
        <f aca="false">IF(B19="","",TC_s*(1-0.2*(TC_xmb+(TC_n-1)*TC_xmt)*C19/(TC_n*TC_b))*TC_m*TC_n*TC_b*SQRT(2*g_)*C19^1.5)</f>
        <v>53.8922043648744</v>
      </c>
      <c r="E19" s="24" t="n">
        <f aca="false">IF(B19="","",MAX(B19-SC_Z,0))</f>
        <v>4.90000000000001</v>
      </c>
      <c r="F19" s="32" t="n">
        <f aca="false">IF(B19="","",SC_s*(1-0.2*(SC_xmb+(SC_n-1)*SC_xmt)*E19/(SC_n*SC_b))*SC_m*SC_n*SC_b*SQRT(2*g_)*E19^1.5)</f>
        <v>93.2687757230616</v>
      </c>
      <c r="G19" s="32" t="n">
        <f aca="false">IF(B19="","",D19+F19)</f>
        <v>147.160980087936</v>
      </c>
      <c r="H19" s="25" t="n">
        <f aca="false">IF(B19="","",INDEX(Bang_F,MATCH(B19,Bang_Z,1))+(B19-INDEX(Bang_Z,MATCH(B19,Bang_Z,1)))*(INDEX(Bang_F,MATCH(B19,Bang_Z,1)+1)-INDEX(Bang_F,MATCH(B19,Bang_Z,1))))</f>
        <v>6.856</v>
      </c>
      <c r="I19" s="25" t="n">
        <f aca="false">IF(B19="","",INDEX(Bang_W,MATCH(B19,Bang_Z,1))+(B19-INDEX(Bang_Z,MATCH(B19,Bang_Z,1)))*(INDEX(Bang_F,MATCH(B19,Bang_Z,1))+H19)/2)</f>
        <v>44.3122</v>
      </c>
      <c r="J19" s="32" t="n">
        <f aca="false">IF(B19="","",I19*1000000/dt_s)</f>
        <v>12308.9444444445</v>
      </c>
      <c r="K19" s="32" t="n">
        <f aca="false">IF(B19="","",J19+G19/2)</f>
        <v>12382.5249344884</v>
      </c>
      <c r="L19" s="32" t="n">
        <f aca="false">IF(B19="","",J19+D19/2)</f>
        <v>12335.8905466269</v>
      </c>
    </row>
    <row r="20" customFormat="false" ht="15" hidden="false" customHeight="false" outlineLevel="0" collapsed="false">
      <c r="A20" s="46" t="n">
        <f aca="false">IF(B20="","",ROW()-6)</f>
        <v>14</v>
      </c>
      <c r="B20" s="47" t="n">
        <f aca="false">IF(B19="","",IF(B19+Buoc_in&gt;Z_cuoi_in+0.000001,"",ROUND(B19+Buoc_in,2)))</f>
        <v>76</v>
      </c>
      <c r="C20" s="24" t="n">
        <f aca="false">IF(B20="","",MAX(B20-TC_Z,0))</f>
        <v>1.3</v>
      </c>
      <c r="D20" s="32" t="n">
        <f aca="false">IF(B20="","",TC_s*(1-0.2*(TC_xmb+(TC_n-1)*TC_xmt)*C20/(TC_n*TC_b))*TC_m*TC_n*TC_b*SQRT(2*g_)*C20^1.5)</f>
        <v>60.513100525369</v>
      </c>
      <c r="E20" s="24" t="n">
        <f aca="false">IF(B20="","",MAX(B20-SC_Z,0))</f>
        <v>5</v>
      </c>
      <c r="F20" s="32" t="n">
        <f aca="false">IF(B20="","",SC_s*(1-0.2*(SC_xmb+(SC_n-1)*SC_xmt)*E20/(SC_n*SC_b))*SC_m*SC_n*SC_b*SQRT(2*g_)*E20^1.5)</f>
        <v>95.8264671815673</v>
      </c>
      <c r="G20" s="32" t="n">
        <f aca="false">IF(B20="","",D20+F20)</f>
        <v>156.339567706936</v>
      </c>
      <c r="H20" s="25" t="n">
        <f aca="false">IF(B20="","",INDEX(Bang_F,MATCH(B20,Bang_Z,1))+(B20-INDEX(Bang_Z,MATCH(B20,Bang_Z,1)))*(INDEX(Bang_F,MATCH(B20,Bang_Z,1)+1)-INDEX(Bang_F,MATCH(B20,Bang_Z,1))))</f>
        <v>6.9</v>
      </c>
      <c r="I20" s="25" t="n">
        <f aca="false">IF(B20="","",INDEX(Bang_W,MATCH(B20,Bang_Z,1))+(B20-INDEX(Bang_Z,MATCH(B20,Bang_Z,1)))*(INDEX(Bang_F,MATCH(B20,Bang_Z,1))+H20)/2)</f>
        <v>45</v>
      </c>
      <c r="J20" s="32" t="n">
        <f aca="false">IF(B20="","",I20*1000000/dt_s)</f>
        <v>12500</v>
      </c>
      <c r="K20" s="32" t="n">
        <f aca="false">IF(B20="","",J20+G20/2)</f>
        <v>12578.1697838535</v>
      </c>
      <c r="L20" s="32" t="n">
        <f aca="false">IF(B20="","",J20+D20/2)</f>
        <v>12530.2565502627</v>
      </c>
    </row>
    <row r="21" customFormat="false" ht="15" hidden="false" customHeight="false" outlineLevel="0" collapsed="false">
      <c r="A21" s="46" t="n">
        <f aca="false">IF(B21="","",ROW()-6)</f>
        <v>15</v>
      </c>
      <c r="B21" s="47" t="n">
        <f aca="false">IF(B20="","",IF(B20+Buoc_in&gt;Z_cuoi_in+0.000001,"",ROUND(B20+Buoc_in,2)))</f>
        <v>76.1</v>
      </c>
      <c r="C21" s="24" t="n">
        <f aca="false">IF(B21="","",MAX(B21-TC_Z,0))</f>
        <v>1.39999999999999</v>
      </c>
      <c r="D21" s="32" t="n">
        <f aca="false">IF(B21="","",TC_s*(1-0.2*(TC_xmb+(TC_n-1)*TC_xmt)*C21/(TC_n*TC_b))*TC_m*TC_n*TC_b*SQRT(2*g_)*C21^1.5)</f>
        <v>67.3440253851466</v>
      </c>
      <c r="E21" s="24" t="n">
        <f aca="false">IF(B21="","",MAX(B21-SC_Z,0))</f>
        <v>5.09999999999999</v>
      </c>
      <c r="F21" s="32" t="n">
        <f aca="false">IF(B21="","",SC_s*(1-0.2*(SC_xmb+(SC_n-1)*SC_xmt)*E21/(SC_n*SC_b))*SC_m*SC_n*SC_b*SQRT(2*g_)*E21^1.5)</f>
        <v>98.3941880220887</v>
      </c>
      <c r="G21" s="32" t="n">
        <f aca="false">IF(B21="","",D21+F21)</f>
        <v>165.738213407235</v>
      </c>
      <c r="H21" s="25" t="n">
        <f aca="false">IF(B21="","",INDEX(Bang_F,MATCH(B21,Bang_Z,1))+(B21-INDEX(Bang_Z,MATCH(B21,Bang_Z,1)))*(INDEX(Bang_F,MATCH(B21,Bang_Z,1)+1)-INDEX(Bang_F,MATCH(B21,Bang_Z,1))))</f>
        <v>6.95</v>
      </c>
      <c r="I21" s="25" t="n">
        <f aca="false">IF(B21="","",INDEX(Bang_W,MATCH(B21,Bang_Z,1))+(B21-INDEX(Bang_Z,MATCH(B21,Bang_Z,1)))*(INDEX(Bang_F,MATCH(B21,Bang_Z,1))+H21)/2)</f>
        <v>45.6925</v>
      </c>
      <c r="J21" s="32" t="n">
        <f aca="false">IF(B21="","",I21*1000000/dt_s)</f>
        <v>12692.3611111111</v>
      </c>
      <c r="K21" s="32" t="n">
        <f aca="false">IF(B21="","",J21+G21/2)</f>
        <v>12775.2302178147</v>
      </c>
      <c r="L21" s="32" t="n">
        <f aca="false">IF(B21="","",J21+D21/2)</f>
        <v>12726.0331238037</v>
      </c>
    </row>
    <row r="22" customFormat="false" ht="15" hidden="false" customHeight="false" outlineLevel="0" collapsed="false">
      <c r="A22" s="46" t="n">
        <f aca="false">IF(B22="","",ROW()-6)</f>
        <v>16</v>
      </c>
      <c r="B22" s="47" t="n">
        <f aca="false">IF(B21="","",IF(B21+Buoc_in&gt;Z_cuoi_in+0.000001,"",ROUND(B21+Buoc_in,2)))</f>
        <v>76.2</v>
      </c>
      <c r="C22" s="24" t="n">
        <f aca="false">IF(B22="","",MAX(B22-TC_Z,0))</f>
        <v>1.5</v>
      </c>
      <c r="D22" s="32" t="n">
        <f aca="false">IF(B22="","",TC_s*(1-0.2*(TC_xmb+(TC_n-1)*TC_xmt)*C22/(TC_n*TC_b))*TC_m*TC_n*TC_b*SQRT(2*g_)*C22^1.5)</f>
        <v>74.3718915424663</v>
      </c>
      <c r="E22" s="24" t="n">
        <f aca="false">IF(B22="","",MAX(B22-SC_Z,0))</f>
        <v>5.2</v>
      </c>
      <c r="F22" s="32" t="n">
        <f aca="false">IF(B22="","",SC_s*(1-0.2*(SC_xmb+(SC_n-1)*SC_xmt)*E22/(SC_n*SC_b))*SC_m*SC_n*SC_b*SQRT(2*g_)*E22^1.5)</f>
        <v>100.971376015771</v>
      </c>
      <c r="G22" s="32" t="n">
        <f aca="false">IF(B22="","",D22+F22)</f>
        <v>175.343267558237</v>
      </c>
      <c r="H22" s="25" t="n">
        <f aca="false">IF(B22="","",INDEX(Bang_F,MATCH(B22,Bang_Z,1))+(B22-INDEX(Bang_Z,MATCH(B22,Bang_Z,1)))*(INDEX(Bang_F,MATCH(B22,Bang_Z,1)+1)-INDEX(Bang_F,MATCH(B22,Bang_Z,1))))</f>
        <v>7</v>
      </c>
      <c r="I22" s="25" t="n">
        <f aca="false">IF(B22="","",INDEX(Bang_W,MATCH(B22,Bang_Z,1))+(B22-INDEX(Bang_Z,MATCH(B22,Bang_Z,1)))*(INDEX(Bang_F,MATCH(B22,Bang_Z,1))+H22)/2)</f>
        <v>46.39</v>
      </c>
      <c r="J22" s="32" t="n">
        <f aca="false">IF(B22="","",I22*1000000/dt_s)</f>
        <v>12886.1111111111</v>
      </c>
      <c r="K22" s="32" t="n">
        <f aca="false">IF(B22="","",J22+G22/2)</f>
        <v>12973.7827448902</v>
      </c>
      <c r="L22" s="32" t="n">
        <f aca="false">IF(B22="","",J22+D22/2)</f>
        <v>12923.2970568824</v>
      </c>
    </row>
    <row r="23" customFormat="false" ht="15" hidden="false" customHeight="false" outlineLevel="0" collapsed="false">
      <c r="A23" s="46" t="n">
        <f aca="false">IF(B23="","",ROW()-6)</f>
        <v>17</v>
      </c>
      <c r="B23" s="47" t="n">
        <f aca="false">IF(B22="","",IF(B22+Buoc_in&gt;Z_cuoi_in+0.000001,"",ROUND(B22+Buoc_in,2)))</f>
        <v>76.3</v>
      </c>
      <c r="C23" s="24" t="n">
        <f aca="false">IF(B23="","",MAX(B23-TC_Z,0))</f>
        <v>1.59999999999999</v>
      </c>
      <c r="D23" s="32" t="n">
        <f aca="false">IF(B23="","",TC_s*(1-0.2*(TC_xmb+(TC_n-1)*TC_xmt)*C23/(TC_n*TC_b))*TC_m*TC_n*TC_b*SQRT(2*g_)*C23^1.5)</f>
        <v>81.584761049376</v>
      </c>
      <c r="E23" s="24" t="n">
        <f aca="false">IF(B23="","",MAX(B23-SC_Z,0))</f>
        <v>5.3</v>
      </c>
      <c r="F23" s="32" t="n">
        <f aca="false">IF(B23="","",SC_s*(1-0.2*(SC_xmb+(SC_n-1)*SC_xmt)*E23/(SC_n*SC_b))*SC_m*SC_n*SC_b*SQRT(2*g_)*E23^1.5)</f>
        <v>103.557480755095</v>
      </c>
      <c r="G23" s="32" t="n">
        <f aca="false">IF(B23="","",D23+F23)</f>
        <v>185.142241804471</v>
      </c>
      <c r="H23" s="25" t="n">
        <f aca="false">IF(B23="","",INDEX(Bang_F,MATCH(B23,Bang_Z,1))+(B23-INDEX(Bang_Z,MATCH(B23,Bang_Z,1)))*(INDEX(Bang_F,MATCH(B23,Bang_Z,1)+1)-INDEX(Bang_F,MATCH(B23,Bang_Z,1))))</f>
        <v>7.05</v>
      </c>
      <c r="I23" s="25" t="n">
        <f aca="false">IF(B23="","",INDEX(Bang_W,MATCH(B23,Bang_Z,1))+(B23-INDEX(Bang_Z,MATCH(B23,Bang_Z,1)))*(INDEX(Bang_F,MATCH(B23,Bang_Z,1))+H23)/2)</f>
        <v>47.0925</v>
      </c>
      <c r="J23" s="32" t="n">
        <f aca="false">IF(B23="","",I23*1000000/dt_s)</f>
        <v>13081.25</v>
      </c>
      <c r="K23" s="32" t="n">
        <f aca="false">IF(B23="","",J23+G23/2)</f>
        <v>13173.8211209022</v>
      </c>
      <c r="L23" s="32" t="n">
        <f aca="false">IF(B23="","",J23+D23/2)</f>
        <v>13122.0423805247</v>
      </c>
    </row>
    <row r="24" customFormat="false" ht="15" hidden="false" customHeight="false" outlineLevel="0" collapsed="false">
      <c r="A24" s="46" t="n">
        <f aca="false">IF(B24="","",ROW()-6)</f>
        <v>18</v>
      </c>
      <c r="B24" s="47" t="n">
        <f aca="false">IF(B23="","",IF(B23+Buoc_in&gt;Z_cuoi_in+0.000001,"",ROUND(B23+Buoc_in,2)))</f>
        <v>76.4</v>
      </c>
      <c r="C24" s="24" t="n">
        <f aca="false">IF(B24="","",MAX(B24-TC_Z,0))</f>
        <v>1.7</v>
      </c>
      <c r="D24" s="32" t="n">
        <f aca="false">IF(B24="","",TC_s*(1-0.2*(TC_xmb+(TC_n-1)*TC_xmt)*C24/(TC_n*TC_b))*TC_m*TC_n*TC_b*SQRT(2*g_)*C24^1.5)</f>
        <v>88.971668263715</v>
      </c>
      <c r="E24" s="24" t="n">
        <f aca="false">IF(B24="","",MAX(B24-SC_Z,0))</f>
        <v>5.40000000000001</v>
      </c>
      <c r="F24" s="32" t="n">
        <f aca="false">IF(B24="","",SC_s*(1-0.2*(SC_xmb+(SC_n-1)*SC_xmt)*E24/(SC_n*SC_b))*SC_m*SC_n*SC_b*SQRT(2*g_)*E24^1.5)</f>
        <v>106.151963135941</v>
      </c>
      <c r="G24" s="32" t="n">
        <f aca="false">IF(B24="","",D24+F24)</f>
        <v>195.123631399656</v>
      </c>
      <c r="H24" s="25" t="n">
        <f aca="false">IF(B24="","",INDEX(Bang_F,MATCH(B24,Bang_Z,1))+(B24-INDEX(Bang_Z,MATCH(B24,Bang_Z,1)))*(INDEX(Bang_F,MATCH(B24,Bang_Z,1)+1)-INDEX(Bang_F,MATCH(B24,Bang_Z,1))))</f>
        <v>7.1</v>
      </c>
      <c r="I24" s="25" t="n">
        <f aca="false">IF(B24="","",INDEX(Bang_W,MATCH(B24,Bang_Z,1))+(B24-INDEX(Bang_Z,MATCH(B24,Bang_Z,1)))*(INDEX(Bang_F,MATCH(B24,Bang_Z,1))+H24)/2)</f>
        <v>47.8</v>
      </c>
      <c r="J24" s="32" t="n">
        <f aca="false">IF(B24="","",I24*1000000/dt_s)</f>
        <v>13277.7777777778</v>
      </c>
      <c r="K24" s="32" t="n">
        <f aca="false">IF(B24="","",J24+G24/2)</f>
        <v>13375.3395934776</v>
      </c>
      <c r="L24" s="32" t="n">
        <f aca="false">IF(B24="","",J24+D24/2)</f>
        <v>13322.2636119096</v>
      </c>
    </row>
    <row r="25" customFormat="false" ht="15" hidden="false" customHeight="false" outlineLevel="0" collapsed="false">
      <c r="A25" s="46" t="n">
        <f aca="false">IF(B25="","",ROW()-6)</f>
        <v>19</v>
      </c>
      <c r="B25" s="47" t="n">
        <f aca="false">IF(B24="","",IF(B24+Buoc_in&gt;Z_cuoi_in+0.000001,"",ROUND(B24+Buoc_in,2)))</f>
        <v>76.5</v>
      </c>
      <c r="C25" s="24" t="n">
        <f aca="false">IF(B25="","",MAX(B25-TC_Z,0))</f>
        <v>1.8</v>
      </c>
      <c r="D25" s="32" t="n">
        <f aca="false">IF(B25="","",TC_s*(1-0.2*(TC_xmb+(TC_n-1)*TC_xmt)*C25/(TC_n*TC_b))*TC_m*TC_n*TC_b*SQRT(2*g_)*C25^1.5)</f>
        <v>96.5224793264543</v>
      </c>
      <c r="E25" s="24" t="n">
        <f aca="false">IF(B25="","",MAX(B25-SC_Z,0))</f>
        <v>5.5</v>
      </c>
      <c r="F25" s="32" t="n">
        <f aca="false">IF(B25="","",SC_s*(1-0.2*(SC_xmb+(SC_n-1)*SC_xmt)*E25/(SC_n*SC_b))*SC_m*SC_n*SC_b*SQRT(2*g_)*E25^1.5)</f>
        <v>108.7542948722</v>
      </c>
      <c r="G25" s="32" t="n">
        <f aca="false">IF(B25="","",D25+F25)</f>
        <v>205.276774198654</v>
      </c>
      <c r="H25" s="25" t="n">
        <f aca="false">IF(B25="","",INDEX(Bang_F,MATCH(B25,Bang_Z,1))+(B25-INDEX(Bang_Z,MATCH(B25,Bang_Z,1)))*(INDEX(Bang_F,MATCH(B25,Bang_Z,1)+1)-INDEX(Bang_F,MATCH(B25,Bang_Z,1))))</f>
        <v>7.15</v>
      </c>
      <c r="I25" s="25" t="n">
        <f aca="false">IF(B25="","",INDEX(Bang_W,MATCH(B25,Bang_Z,1))+(B25-INDEX(Bang_Z,MATCH(B25,Bang_Z,1)))*(INDEX(Bang_F,MATCH(B25,Bang_Z,1))+H25)/2)</f>
        <v>48.5125</v>
      </c>
      <c r="J25" s="32" t="n">
        <f aca="false">IF(B25="","",I25*1000000/dt_s)</f>
        <v>13475.6944444444</v>
      </c>
      <c r="K25" s="32" t="n">
        <f aca="false">IF(B25="","",J25+G25/2)</f>
        <v>13578.3328315438</v>
      </c>
      <c r="L25" s="32" t="n">
        <f aca="false">IF(B25="","",J25+D25/2)</f>
        <v>13523.9556841077</v>
      </c>
    </row>
    <row r="26" customFormat="false" ht="15" hidden="false" customHeight="false" outlineLevel="0" collapsed="false">
      <c r="A26" s="46" t="n">
        <f aca="false">IF(B26="","",ROW()-6)</f>
        <v>20</v>
      </c>
      <c r="B26" s="47" t="n">
        <f aca="false">IF(B25="","",IF(B25+Buoc_in&gt;Z_cuoi_in+0.000001,"",ROUND(B25+Buoc_in,2)))</f>
        <v>76.6</v>
      </c>
      <c r="C26" s="24" t="n">
        <f aca="false">IF(B26="","",MAX(B26-TC_Z,0))</f>
        <v>1.89999999999999</v>
      </c>
      <c r="D26" s="32" t="n">
        <f aca="false">IF(B26="","",TC_s*(1-0.2*(TC_xmb+(TC_n-1)*TC_xmt)*C26/(TC_n*TC_b))*TC_m*TC_n*TC_b*SQRT(2*g_)*C26^1.5)</f>
        <v>104.227779014988</v>
      </c>
      <c r="E26" s="24" t="n">
        <f aca="false">IF(B26="","",MAX(B26-SC_Z,0))</f>
        <v>5.59999999999999</v>
      </c>
      <c r="F26" s="32" t="n">
        <f aca="false">IF(B26="","",SC_s*(1-0.2*(SC_xmb+(SC_n-1)*SC_xmt)*E26/(SC_n*SC_b))*SC_m*SC_n*SC_b*SQRT(2*g_)*E26^1.5)</f>
        <v>111.363958040314</v>
      </c>
      <c r="G26" s="32" t="n">
        <f aca="false">IF(B26="","",D26+F26)</f>
        <v>215.591737055302</v>
      </c>
      <c r="H26" s="25" t="n">
        <f aca="false">IF(B26="","",INDEX(Bang_F,MATCH(B26,Bang_Z,1))+(B26-INDEX(Bang_Z,MATCH(B26,Bang_Z,1)))*(INDEX(Bang_F,MATCH(B26,Bang_Z,1)+1)-INDEX(Bang_F,MATCH(B26,Bang_Z,1))))</f>
        <v>7.2</v>
      </c>
      <c r="I26" s="25" t="n">
        <f aca="false">IF(B26="","",INDEX(Bang_W,MATCH(B26,Bang_Z,1))+(B26-INDEX(Bang_Z,MATCH(B26,Bang_Z,1)))*(INDEX(Bang_F,MATCH(B26,Bang_Z,1))+H26)/2)</f>
        <v>49.23</v>
      </c>
      <c r="J26" s="32" t="n">
        <f aca="false">IF(B26="","",I26*1000000/dt_s)</f>
        <v>13675</v>
      </c>
      <c r="K26" s="32" t="n">
        <f aca="false">IF(B26="","",J26+G26/2)</f>
        <v>13782.7958685276</v>
      </c>
      <c r="L26" s="32" t="n">
        <f aca="false">IF(B26="","",J26+D26/2)</f>
        <v>13727.1138895075</v>
      </c>
    </row>
    <row r="27" customFormat="false" ht="15" hidden="false" customHeight="false" outlineLevel="0" collapsed="false">
      <c r="A27" s="46" t="n">
        <f aca="false">IF(B27="","",ROW()-6)</f>
        <v>21</v>
      </c>
      <c r="B27" s="47" t="n">
        <f aca="false">IF(B26="","",IF(B26+Buoc_in&gt;Z_cuoi_in+0.000001,"",ROUND(B26+Buoc_in,2)))</f>
        <v>76.7</v>
      </c>
      <c r="C27" s="24" t="n">
        <f aca="false">IF(B27="","",MAX(B27-TC_Z,0))</f>
        <v>2</v>
      </c>
      <c r="D27" s="32" t="n">
        <f aca="false">IF(B27="","",TC_s*(1-0.2*(TC_xmb+(TC_n-1)*TC_xmt)*C27/(TC_n*TC_b))*TC_m*TC_n*TC_b*SQRT(2*g_)*C27^1.5)</f>
        <v>112.078778434457</v>
      </c>
      <c r="E27" s="24" t="n">
        <f aca="false">IF(B27="","",MAX(B27-SC_Z,0))</f>
        <v>5.7</v>
      </c>
      <c r="F27" s="32" t="n">
        <f aca="false">IF(B27="","",SC_s*(1-0.2*(SC_xmb+(SC_n-1)*SC_xmt)*E27/(SC_n*SC_b))*SC_m*SC_n*SC_b*SQRT(2*g_)*E27^1.5)</f>
        <v>113.980444651385</v>
      </c>
      <c r="G27" s="32" t="n">
        <f aca="false">IF(B27="","",D27+F27)</f>
        <v>226.059223085842</v>
      </c>
      <c r="H27" s="25" t="n">
        <f aca="false">IF(B27="","",INDEX(Bang_F,MATCH(B27,Bang_Z,1))+(B27-INDEX(Bang_Z,MATCH(B27,Bang_Z,1)))*(INDEX(Bang_F,MATCH(B27,Bang_Z,1)+1)-INDEX(Bang_F,MATCH(B27,Bang_Z,1))))</f>
        <v>7.25</v>
      </c>
      <c r="I27" s="25" t="n">
        <f aca="false">IF(B27="","",INDEX(Bang_W,MATCH(B27,Bang_Z,1))+(B27-INDEX(Bang_Z,MATCH(B27,Bang_Z,1)))*(INDEX(Bang_F,MATCH(B27,Bang_Z,1))+H27)/2)</f>
        <v>49.9525</v>
      </c>
      <c r="J27" s="32" t="n">
        <f aca="false">IF(B27="","",I27*1000000/dt_s)</f>
        <v>13875.6944444445</v>
      </c>
      <c r="K27" s="32" t="n">
        <f aca="false">IF(B27="","",J27+G27/2)</f>
        <v>13988.7240559874</v>
      </c>
      <c r="L27" s="32" t="n">
        <f aca="false">IF(B27="","",J27+D27/2)</f>
        <v>13931.7338336617</v>
      </c>
    </row>
    <row r="28" customFormat="false" ht="15" hidden="false" customHeight="false" outlineLevel="0" collapsed="false">
      <c r="A28" s="46" t="n">
        <f aca="false">IF(B28="","",ROW()-6)</f>
        <v>22</v>
      </c>
      <c r="B28" s="47" t="n">
        <f aca="false">IF(B27="","",IF(B27+Buoc_in&gt;Z_cuoi_in+0.000001,"",ROUND(B27+Buoc_in,2)))</f>
        <v>76.8</v>
      </c>
      <c r="C28" s="24" t="n">
        <f aca="false">IF(B28="","",MAX(B28-TC_Z,0))</f>
        <v>2.09999999999999</v>
      </c>
      <c r="D28" s="32" t="n">
        <f aca="false">IF(B28="","",TC_s*(1-0.2*(TC_xmb+(TC_n-1)*TC_xmt)*C28/(TC_n*TC_b))*TC_m*TC_n*TC_b*SQRT(2*g_)*C28^1.5)</f>
        <v>120.067238827198</v>
      </c>
      <c r="E28" s="24" t="n">
        <f aca="false">IF(B28="","",MAX(B28-SC_Z,0))</f>
        <v>5.8</v>
      </c>
      <c r="F28" s="32" t="n">
        <f aca="false">IF(B28="","",SC_s*(1-0.2*(SC_xmb+(SC_n-1)*SC_xmt)*E28/(SC_n*SC_b))*SC_m*SC_n*SC_b*SQRT(2*g_)*E28^1.5)</f>
        <v>116.6032562487</v>
      </c>
      <c r="G28" s="32" t="n">
        <f aca="false">IF(B28="","",D28+F28)</f>
        <v>236.670495075898</v>
      </c>
      <c r="H28" s="25" t="n">
        <f aca="false">IF(B28="","",INDEX(Bang_F,MATCH(B28,Bang_Z,1))+(B28-INDEX(Bang_Z,MATCH(B28,Bang_Z,1)))*(INDEX(Bang_F,MATCH(B28,Bang_Z,1)+1)-INDEX(Bang_F,MATCH(B28,Bang_Z,1))))</f>
        <v>7.3</v>
      </c>
      <c r="I28" s="25" t="n">
        <f aca="false">IF(B28="","",INDEX(Bang_W,MATCH(B28,Bang_Z,1))+(B28-INDEX(Bang_Z,MATCH(B28,Bang_Z,1)))*(INDEX(Bang_F,MATCH(B28,Bang_Z,1))+H28)/2)</f>
        <v>50.68</v>
      </c>
      <c r="J28" s="32" t="n">
        <f aca="false">IF(B28="","",I28*1000000/dt_s)</f>
        <v>14077.7777777778</v>
      </c>
      <c r="K28" s="32" t="n">
        <f aca="false">IF(B28="","",J28+G28/2)</f>
        <v>14196.1130253157</v>
      </c>
      <c r="L28" s="32" t="n">
        <f aca="false">IF(B28="","",J28+D28/2)</f>
        <v>14137.8113971914</v>
      </c>
    </row>
    <row r="29" customFormat="false" ht="15" hidden="false" customHeight="false" outlineLevel="0" collapsed="false">
      <c r="A29" s="46" t="n">
        <f aca="false">IF(B29="","",ROW()-6)</f>
        <v>23</v>
      </c>
      <c r="B29" s="47" t="n">
        <f aca="false">IF(B28="","",IF(B28+Buoc_in&gt;Z_cuoi_in+0.000001,"",ROUND(B28+Buoc_in,2)))</f>
        <v>76.9</v>
      </c>
      <c r="C29" s="24" t="n">
        <f aca="false">IF(B29="","",MAX(B29-TC_Z,0))</f>
        <v>2.2</v>
      </c>
      <c r="D29" s="32" t="n">
        <f aca="false">IF(B29="","",TC_s*(1-0.2*(TC_xmb+(TC_n-1)*TC_xmt)*C29/(TC_n*TC_b))*TC_m*TC_n*TC_b*SQRT(2*g_)*C29^1.5)</f>
        <v>128.185408028651</v>
      </c>
      <c r="E29" s="24" t="n">
        <f aca="false">IF(B29="","",MAX(B29-SC_Z,0))</f>
        <v>5.90000000000001</v>
      </c>
      <c r="F29" s="32" t="n">
        <f aca="false">IF(B29="","",SC_s*(1-0.2*(SC_xmb+(SC_n-1)*SC_xmt)*E29/(SC_n*SC_b))*SC_m*SC_n*SC_b*SQRT(2*g_)*E29^1.5)</f>
        <v>119.23190352874</v>
      </c>
      <c r="G29" s="32" t="n">
        <f aca="false">IF(B29="","",D29+F29)</f>
        <v>247.417311557391</v>
      </c>
      <c r="H29" s="25" t="n">
        <f aca="false">IF(B29="","",INDEX(Bang_F,MATCH(B29,Bang_Z,1))+(B29-INDEX(Bang_Z,MATCH(B29,Bang_Z,1)))*(INDEX(Bang_F,MATCH(B29,Bang_Z,1)+1)-INDEX(Bang_F,MATCH(B29,Bang_Z,1))))</f>
        <v>7.35</v>
      </c>
      <c r="I29" s="25" t="n">
        <f aca="false">IF(B29="","",INDEX(Bang_W,MATCH(B29,Bang_Z,1))+(B29-INDEX(Bang_Z,MATCH(B29,Bang_Z,1)))*(INDEX(Bang_F,MATCH(B29,Bang_Z,1))+H29)/2)</f>
        <v>51.4125</v>
      </c>
      <c r="J29" s="32" t="n">
        <f aca="false">IF(B29="","",I29*1000000/dt_s)</f>
        <v>14281.25</v>
      </c>
      <c r="K29" s="32" t="n">
        <f aca="false">IF(B29="","",J29+G29/2)</f>
        <v>14404.9586557787</v>
      </c>
      <c r="L29" s="32" t="n">
        <f aca="false">IF(B29="","",J29+D29/2)</f>
        <v>14345.3427040143</v>
      </c>
    </row>
    <row r="30" customFormat="false" ht="15" hidden="false" customHeight="false" outlineLevel="0" collapsed="false">
      <c r="A30" s="46" t="n">
        <f aca="false">IF(B30="","",ROW()-6)</f>
        <v>24</v>
      </c>
      <c r="B30" s="47" t="n">
        <f aca="false">IF(B29="","",IF(B29+Buoc_in&gt;Z_cuoi_in+0.000001,"",ROUND(B29+Buoc_in,2)))</f>
        <v>77</v>
      </c>
      <c r="C30" s="24" t="n">
        <f aca="false">IF(B30="","",MAX(B30-TC_Z,0))</f>
        <v>2.3</v>
      </c>
      <c r="D30" s="32" t="n">
        <f aca="false">IF(B30="","",TC_s*(1-0.2*(TC_xmb+(TC_n-1)*TC_xmt)*C30/(TC_n*TC_b))*TC_m*TC_n*TC_b*SQRT(2*g_)*C30^1.5)</f>
        <v>136.42596697324</v>
      </c>
      <c r="E30" s="24" t="n">
        <f aca="false">IF(B30="","",MAX(B30-SC_Z,0))</f>
        <v>6</v>
      </c>
      <c r="F30" s="32" t="n">
        <f aca="false">IF(B30="","",SC_s*(1-0.2*(SC_xmb+(SC_n-1)*SC_xmt)*E30/(SC_n*SC_b))*SC_m*SC_n*SC_b*SQRT(2*g_)*E30^1.5)</f>
        <v>121.865905983913</v>
      </c>
      <c r="G30" s="32" t="n">
        <f aca="false">IF(B30="","",D30+F30)</f>
        <v>258.291872957153</v>
      </c>
      <c r="H30" s="25" t="n">
        <f aca="false">IF(B30="","",INDEX(Bang_F,MATCH(B30,Bang_Z,1))+(B30-INDEX(Bang_Z,MATCH(B30,Bang_Z,1)))*(INDEX(Bang_F,MATCH(B30,Bang_Z,1)+1)-INDEX(Bang_F,MATCH(B30,Bang_Z,1))))</f>
        <v>7.4</v>
      </c>
      <c r="I30" s="25" t="n">
        <f aca="false">IF(B30="","",INDEX(Bang_W,MATCH(B30,Bang_Z,1))+(B30-INDEX(Bang_Z,MATCH(B30,Bang_Z,1)))*(INDEX(Bang_F,MATCH(B30,Bang_Z,1))+H30)/2)</f>
        <v>52.15</v>
      </c>
      <c r="J30" s="32" t="n">
        <f aca="false">IF(B30="","",I30*1000000/dt_s)</f>
        <v>14486.1111111111</v>
      </c>
      <c r="K30" s="32" t="n">
        <f aca="false">IF(B30="","",J30+G30/2)</f>
        <v>14615.2570475897</v>
      </c>
      <c r="L30" s="32" t="n">
        <f aca="false">IF(B30="","",J30+D30/2)</f>
        <v>14554.3240945977</v>
      </c>
    </row>
    <row r="31" customFormat="false" ht="15" hidden="false" customHeight="false" outlineLevel="0" collapsed="false">
      <c r="A31" s="46" t="n">
        <f aca="false">IF(B31="","",ROW()-6)</f>
        <v>25</v>
      </c>
      <c r="B31" s="47" t="n">
        <f aca="false">IF(B30="","",IF(B30+Buoc_in&gt;Z_cuoi_in+0.000001,"",ROUND(B30+Buoc_in,2)))</f>
        <v>77.1</v>
      </c>
      <c r="C31" s="24" t="n">
        <f aca="false">IF(B31="","",MAX(B31-TC_Z,0))</f>
        <v>2.39999999999999</v>
      </c>
      <c r="D31" s="32" t="n">
        <f aca="false">IF(B31="","",TC_s*(1-0.2*(TC_xmb+(TC_n-1)*TC_xmt)*C31/(TC_n*TC_b))*TC_m*TC_n*TC_b*SQRT(2*g_)*C31^1.5)</f>
        <v>144.781984279243</v>
      </c>
      <c r="E31" s="24" t="n">
        <f aca="false">IF(B31="","",MAX(B31-SC_Z,0))</f>
        <v>6.09999999999999</v>
      </c>
      <c r="F31" s="32" t="n">
        <f aca="false">IF(B31="","",SC_s*(1-0.2*(SC_xmb+(SC_n-1)*SC_xmt)*E31/(SC_n*SC_b))*SC_m*SC_n*SC_b*SQRT(2*g_)*E31^1.5)</f>
        <v>124.504791565409</v>
      </c>
      <c r="G31" s="32" t="n">
        <f aca="false">IF(B31="","",D31+F31)</f>
        <v>269.286775844652</v>
      </c>
      <c r="H31" s="25" t="n">
        <f aca="false">IF(B31="","",INDEX(Bang_F,MATCH(B31,Bang_Z,1))+(B31-INDEX(Bang_Z,MATCH(B31,Bang_Z,1)))*(INDEX(Bang_F,MATCH(B31,Bang_Z,1)+1)-INDEX(Bang_F,MATCH(B31,Bang_Z,1))))</f>
        <v>7.451</v>
      </c>
      <c r="I31" s="25" t="n">
        <f aca="false">IF(B31="","",INDEX(Bang_W,MATCH(B31,Bang_Z,1))+(B31-INDEX(Bang_Z,MATCH(B31,Bang_Z,1)))*(INDEX(Bang_F,MATCH(B31,Bang_Z,1))+H31)/2)</f>
        <v>52.89255</v>
      </c>
      <c r="J31" s="32" t="n">
        <f aca="false">IF(B31="","",I31*1000000/dt_s)</f>
        <v>14692.375</v>
      </c>
      <c r="K31" s="32" t="n">
        <f aca="false">IF(B31="","",J31+G31/2)</f>
        <v>14827.0183879223</v>
      </c>
      <c r="L31" s="32" t="n">
        <f aca="false">IF(B31="","",J31+D31/2)</f>
        <v>14764.7659921396</v>
      </c>
    </row>
    <row r="32" customFormat="false" ht="15" hidden="false" customHeight="false" outlineLevel="0" collapsed="false">
      <c r="A32" s="46" t="n">
        <f aca="false">IF(B32="","",ROW()-6)</f>
        <v>26</v>
      </c>
      <c r="B32" s="47" t="n">
        <f aca="false">IF(B31="","",IF(B31+Buoc_in&gt;Z_cuoi_in+0.000001,"",ROUND(B31+Buoc_in,2)))</f>
        <v>77.2</v>
      </c>
      <c r="C32" s="24" t="n">
        <f aca="false">IF(B32="","",MAX(B32-TC_Z,0))</f>
        <v>2.5</v>
      </c>
      <c r="D32" s="32" t="n">
        <f aca="false">IF(B32="","",TC_s*(1-0.2*(TC_xmb+(TC_n-1)*TC_xmt)*C32/(TC_n*TC_b))*TC_m*TC_n*TC_b*SQRT(2*g_)*C32^1.5)</f>
        <v>153.246877396052</v>
      </c>
      <c r="E32" s="24" t="n">
        <f aca="false">IF(B32="","",MAX(B32-SC_Z,0))</f>
        <v>6.2</v>
      </c>
      <c r="F32" s="32" t="n">
        <f aca="false">IF(B32="","",SC_s*(1-0.2*(SC_xmb+(SC_n-1)*SC_xmt)*E32/(SC_n*SC_b))*SC_m*SC_n*SC_b*SQRT(2*g_)*E32^1.5)</f>
        <v>127.148096364715</v>
      </c>
      <c r="G32" s="32" t="n">
        <f aca="false">IF(B32="","",D32+F32)</f>
        <v>280.394973760767</v>
      </c>
      <c r="H32" s="25" t="n">
        <f aca="false">IF(B32="","",INDEX(Bang_F,MATCH(B32,Bang_Z,1))+(B32-INDEX(Bang_Z,MATCH(B32,Bang_Z,1)))*(INDEX(Bang_F,MATCH(B32,Bang_Z,1)+1)-INDEX(Bang_F,MATCH(B32,Bang_Z,1))))</f>
        <v>7.502</v>
      </c>
      <c r="I32" s="25" t="n">
        <f aca="false">IF(B32="","",INDEX(Bang_W,MATCH(B32,Bang_Z,1))+(B32-INDEX(Bang_Z,MATCH(B32,Bang_Z,1)))*(INDEX(Bang_F,MATCH(B32,Bang_Z,1))+H32)/2)</f>
        <v>53.6402</v>
      </c>
      <c r="J32" s="32" t="n">
        <f aca="false">IF(B32="","",I32*1000000/dt_s)</f>
        <v>14900.0555555556</v>
      </c>
      <c r="K32" s="32" t="n">
        <f aca="false">IF(B32="","",J32+G32/2)</f>
        <v>15040.2530424359</v>
      </c>
      <c r="L32" s="32" t="n">
        <f aca="false">IF(B32="","",J32+D32/2)</f>
        <v>14976.6789942536</v>
      </c>
    </row>
    <row r="33" customFormat="false" ht="15" hidden="false" customHeight="false" outlineLevel="0" collapsed="false">
      <c r="A33" s="46" t="n">
        <f aca="false">IF(B33="","",ROW()-6)</f>
        <v>27</v>
      </c>
      <c r="B33" s="47" t="n">
        <f aca="false">IF(B32="","",IF(B32+Buoc_in&gt;Z_cuoi_in+0.000001,"",ROUND(B32+Buoc_in,2)))</f>
        <v>77.3</v>
      </c>
      <c r="C33" s="24" t="n">
        <f aca="false">IF(B33="","",MAX(B33-TC_Z,0))</f>
        <v>2.59999999999999</v>
      </c>
      <c r="D33" s="32" t="n">
        <f aca="false">IF(B33="","",TC_s*(1-0.2*(TC_xmb+(TC_n-1)*TC_xmt)*C33/(TC_n*TC_b))*TC_m*TC_n*TC_b*SQRT(2*g_)*C33^1.5)</f>
        <v>161.814379132626</v>
      </c>
      <c r="E33" s="24" t="n">
        <f aca="false">IF(B33="","",MAX(B33-SC_Z,0))</f>
        <v>6.3</v>
      </c>
      <c r="F33" s="32" t="n">
        <f aca="false">IF(B33="","",SC_s*(1-0.2*(SC_xmb+(SC_n-1)*SC_xmt)*E33/(SC_n*SC_b))*SC_m*SC_n*SC_b*SQRT(2*g_)*E33^1.5)</f>
        <v>129.795364312473</v>
      </c>
      <c r="G33" s="32" t="n">
        <f aca="false">IF(B33="","",D33+F33)</f>
        <v>291.609743445099</v>
      </c>
      <c r="H33" s="25" t="n">
        <f aca="false">IF(B33="","",INDEX(Bang_F,MATCH(B33,Bang_Z,1))+(B33-INDEX(Bang_Z,MATCH(B33,Bang_Z,1)))*(INDEX(Bang_F,MATCH(B33,Bang_Z,1)+1)-INDEX(Bang_F,MATCH(B33,Bang_Z,1))))</f>
        <v>7.553</v>
      </c>
      <c r="I33" s="25" t="n">
        <f aca="false">IF(B33="","",INDEX(Bang_W,MATCH(B33,Bang_Z,1))+(B33-INDEX(Bang_Z,MATCH(B33,Bang_Z,1)))*(INDEX(Bang_F,MATCH(B33,Bang_Z,1))+H33)/2)</f>
        <v>54.39295</v>
      </c>
      <c r="J33" s="32" t="n">
        <f aca="false">IF(B33="","",I33*1000000/dt_s)</f>
        <v>15109.1527777778</v>
      </c>
      <c r="K33" s="32" t="n">
        <f aca="false">IF(B33="","",J33+G33/2)</f>
        <v>15254.9576495003</v>
      </c>
      <c r="L33" s="32" t="n">
        <f aca="false">IF(B33="","",J33+D33/2)</f>
        <v>15190.0599673441</v>
      </c>
    </row>
    <row r="34" customFormat="false" ht="15" hidden="false" customHeight="false" outlineLevel="0" collapsed="false">
      <c r="A34" s="46" t="n">
        <f aca="false">IF(B34="","",ROW()-6)</f>
        <v>28</v>
      </c>
      <c r="B34" s="47" t="n">
        <f aca="false">IF(B33="","",IF(B33+Buoc_in&gt;Z_cuoi_in+0.000001,"",ROUND(B33+Buoc_in,2)))</f>
        <v>77.4</v>
      </c>
      <c r="C34" s="24" t="n">
        <f aca="false">IF(B34="","",MAX(B34-TC_Z,0))</f>
        <v>2.7</v>
      </c>
      <c r="D34" s="32" t="n">
        <f aca="false">IF(B34="","",TC_s*(1-0.2*(TC_xmb+(TC_n-1)*TC_xmt)*C34/(TC_n*TC_b))*TC_m*TC_n*TC_b*SQRT(2*g_)*C34^1.5)</f>
        <v>170.478508636859</v>
      </c>
      <c r="E34" s="24" t="n">
        <f aca="false">IF(B34="","",MAX(B34-SC_Z,0))</f>
        <v>6.40000000000001</v>
      </c>
      <c r="F34" s="32" t="n">
        <f aca="false">IF(B34="","",SC_s*(1-0.2*(SC_xmb+(SC_n-1)*SC_xmt)*E34/(SC_n*SC_b))*SC_m*SC_n*SC_b*SQRT(2*g_)*E34^1.5)</f>
        <v>132.44614689345</v>
      </c>
      <c r="G34" s="32" t="n">
        <f aca="false">IF(B34="","",D34+F34)</f>
        <v>302.924655530309</v>
      </c>
      <c r="H34" s="25" t="n">
        <f aca="false">IF(B34="","",INDEX(Bang_F,MATCH(B34,Bang_Z,1))+(B34-INDEX(Bang_Z,MATCH(B34,Bang_Z,1)))*(INDEX(Bang_F,MATCH(B34,Bang_Z,1)+1)-INDEX(Bang_F,MATCH(B34,Bang_Z,1))))</f>
        <v>7.604</v>
      </c>
      <c r="I34" s="25" t="n">
        <f aca="false">IF(B34="","",INDEX(Bang_W,MATCH(B34,Bang_Z,1))+(B34-INDEX(Bang_Z,MATCH(B34,Bang_Z,1)))*(INDEX(Bang_F,MATCH(B34,Bang_Z,1))+H34)/2)</f>
        <v>55.1508</v>
      </c>
      <c r="J34" s="32" t="n">
        <f aca="false">IF(B34="","",I34*1000000/dt_s)</f>
        <v>15319.6666666667</v>
      </c>
      <c r="K34" s="32" t="n">
        <f aca="false">IF(B34="","",J34+G34/2)</f>
        <v>15471.1289944318</v>
      </c>
      <c r="L34" s="32" t="n">
        <f aca="false">IF(B34="","",J34+D34/2)</f>
        <v>15404.9059209851</v>
      </c>
    </row>
    <row r="35" customFormat="false" ht="15" hidden="false" customHeight="false" outlineLevel="0" collapsed="false">
      <c r="A35" s="46" t="n">
        <f aca="false">IF(B35="","",ROW()-6)</f>
        <v>29</v>
      </c>
      <c r="B35" s="47" t="n">
        <f aca="false">IF(B34="","",IF(B34+Buoc_in&gt;Z_cuoi_in+0.000001,"",ROUND(B34+Buoc_in,2)))</f>
        <v>77.5</v>
      </c>
      <c r="C35" s="24" t="n">
        <f aca="false">IF(B35="","",MAX(B35-TC_Z,0))</f>
        <v>2.8</v>
      </c>
      <c r="D35" s="32" t="n">
        <f aca="false">IF(B35="","",TC_s*(1-0.2*(TC_xmb+(TC_n-1)*TC_xmt)*C35/(TC_n*TC_b))*TC_m*TC_n*TC_b*SQRT(2*g_)*C35^1.5)</f>
        <v>179.233546085657</v>
      </c>
      <c r="E35" s="24" t="n">
        <f aca="false">IF(B35="","",MAX(B35-SC_Z,0))</f>
        <v>6.5</v>
      </c>
      <c r="F35" s="32" t="n">
        <f aca="false">IF(B35="","",SC_s*(1-0.2*(SC_xmb+(SC_n-1)*SC_xmt)*E35/(SC_n*SC_b))*SC_m*SC_n*SC_b*SQRT(2*g_)*E35^1.5)</f>
        <v>135.10000287652</v>
      </c>
      <c r="G35" s="32" t="n">
        <f aca="false">IF(B35="","",D35+F35)</f>
        <v>314.333548962176</v>
      </c>
      <c r="H35" s="25" t="n">
        <f aca="false">IF(B35="","",INDEX(Bang_F,MATCH(B35,Bang_Z,1))+(B35-INDEX(Bang_Z,MATCH(B35,Bang_Z,1)))*(INDEX(Bang_F,MATCH(B35,Bang_Z,1)+1)-INDEX(Bang_F,MATCH(B35,Bang_Z,1))))</f>
        <v>7.655</v>
      </c>
      <c r="I35" s="25" t="n">
        <f aca="false">IF(B35="","",INDEX(Bang_W,MATCH(B35,Bang_Z,1))+(B35-INDEX(Bang_Z,MATCH(B35,Bang_Z,1)))*(INDEX(Bang_F,MATCH(B35,Bang_Z,1))+H35)/2)</f>
        <v>55.91375</v>
      </c>
      <c r="J35" s="32" t="n">
        <f aca="false">IF(B35="","",I35*1000000/dt_s)</f>
        <v>15531.5972222222</v>
      </c>
      <c r="K35" s="32" t="n">
        <f aca="false">IF(B35="","",J35+G35/2)</f>
        <v>15688.7639967033</v>
      </c>
      <c r="L35" s="32" t="n">
        <f aca="false">IF(B35="","",J35+D35/2)</f>
        <v>15621.2139952651</v>
      </c>
    </row>
    <row r="36" customFormat="false" ht="15" hidden="false" customHeight="false" outlineLevel="0" collapsed="false">
      <c r="A36" s="46" t="n">
        <f aca="false">IF(B36="","",ROW()-6)</f>
        <v>30</v>
      </c>
      <c r="B36" s="47" t="n">
        <f aca="false">IF(B35="","",IF(B35+Buoc_in&gt;Z_cuoi_in+0.000001,"",ROUND(B35+Buoc_in,2)))</f>
        <v>77.6</v>
      </c>
      <c r="C36" s="24" t="n">
        <f aca="false">IF(B36="","",MAX(B36-TC_Z,0))</f>
        <v>2.89999999999999</v>
      </c>
      <c r="D36" s="32" t="n">
        <f aca="false">IF(B36="","",TC_s*(1-0.2*(TC_xmb+(TC_n-1)*TC_xmt)*C36/(TC_n*TC_b))*TC_m*TC_n*TC_b*SQRT(2*g_)*C36^1.5)</f>
        <v>188.074010491318</v>
      </c>
      <c r="E36" s="24" t="n">
        <f aca="false">IF(B36="","",MAX(B36-SC_Z,0))</f>
        <v>6.59999999999999</v>
      </c>
      <c r="F36" s="32" t="n">
        <f aca="false">IF(B36="","",SC_s*(1-0.2*(SC_xmb+(SC_n-1)*SC_xmt)*E36/(SC_n*SC_b))*SC_m*SC_n*SC_b*SQRT(2*g_)*E36^1.5)</f>
        <v>137.756498058636</v>
      </c>
      <c r="G36" s="32" t="n">
        <f aca="false">IF(B36="","",D36+F36)</f>
        <v>325.830508549954</v>
      </c>
      <c r="H36" s="25" t="n">
        <f aca="false">IF(B36="","",INDEX(Bang_F,MATCH(B36,Bang_Z,1))+(B36-INDEX(Bang_Z,MATCH(B36,Bang_Z,1)))*(INDEX(Bang_F,MATCH(B36,Bang_Z,1)+1)-INDEX(Bang_F,MATCH(B36,Bang_Z,1))))</f>
        <v>7.706</v>
      </c>
      <c r="I36" s="25" t="n">
        <f aca="false">IF(B36="","",INDEX(Bang_W,MATCH(B36,Bang_Z,1))+(B36-INDEX(Bang_Z,MATCH(B36,Bang_Z,1)))*(INDEX(Bang_F,MATCH(B36,Bang_Z,1))+H36)/2)</f>
        <v>56.6818</v>
      </c>
      <c r="J36" s="32" t="n">
        <f aca="false">IF(B36="","",I36*1000000/dt_s)</f>
        <v>15744.9444444444</v>
      </c>
      <c r="K36" s="32" t="n">
        <f aca="false">IF(B36="","",J36+G36/2)</f>
        <v>15907.8596987194</v>
      </c>
      <c r="L36" s="32" t="n">
        <f aca="false">IF(B36="","",J36+D36/2)</f>
        <v>15838.9814496901</v>
      </c>
    </row>
    <row r="37" customFormat="false" ht="15" hidden="false" customHeight="false" outlineLevel="0" collapsed="false">
      <c r="A37" s="46" t="n">
        <f aca="false">IF(B37="","",ROW()-6)</f>
        <v>31</v>
      </c>
      <c r="B37" s="47" t="n">
        <f aca="false">IF(B36="","",IF(B36+Buoc_in&gt;Z_cuoi_in+0.000001,"",ROUND(B36+Buoc_in,2)))</f>
        <v>77.7</v>
      </c>
      <c r="C37" s="24" t="n">
        <f aca="false">IF(B37="","",MAX(B37-TC_Z,0))</f>
        <v>3</v>
      </c>
      <c r="D37" s="32" t="n">
        <f aca="false">IF(B37="","",TC_s*(1-0.2*(TC_xmb+(TC_n-1)*TC_xmt)*C37/(TC_n*TC_b))*TC_m*TC_n*TC_b*SQRT(2*g_)*C37^1.5)</f>
        <v>196.99464014267</v>
      </c>
      <c r="E37" s="24" t="n">
        <f aca="false">IF(B37="","",MAX(B37-SC_Z,0))</f>
        <v>6.7</v>
      </c>
      <c r="F37" s="32" t="n">
        <f aca="false">IF(B37="","",SC_s*(1-0.2*(SC_xmb+(SC_n-1)*SC_xmt)*E37/(SC_n*SC_b))*SC_m*SC_n*SC_b*SQRT(2*g_)*E37^1.5)</f>
        <v>140.415205021859</v>
      </c>
      <c r="G37" s="32" t="n">
        <f aca="false">IF(B37="","",D37+F37)</f>
        <v>337.409845164529</v>
      </c>
      <c r="H37" s="25" t="n">
        <f aca="false">IF(B37="","",INDEX(Bang_F,MATCH(B37,Bang_Z,1))+(B37-INDEX(Bang_Z,MATCH(B37,Bang_Z,1)))*(INDEX(Bang_F,MATCH(B37,Bang_Z,1)+1)-INDEX(Bang_F,MATCH(B37,Bang_Z,1))))</f>
        <v>7.757</v>
      </c>
      <c r="I37" s="25" t="n">
        <f aca="false">IF(B37="","",INDEX(Bang_W,MATCH(B37,Bang_Z,1))+(B37-INDEX(Bang_Z,MATCH(B37,Bang_Z,1)))*(INDEX(Bang_F,MATCH(B37,Bang_Z,1))+H37)/2)</f>
        <v>57.45495</v>
      </c>
      <c r="J37" s="32" t="n">
        <f aca="false">IF(B37="","",I37*1000000/dt_s)</f>
        <v>15959.7083333333</v>
      </c>
      <c r="K37" s="32" t="n">
        <f aca="false">IF(B37="","",J37+G37/2)</f>
        <v>16128.4132559156</v>
      </c>
      <c r="L37" s="32" t="n">
        <f aca="false">IF(B37="","",J37+D37/2)</f>
        <v>16058.2056534047</v>
      </c>
    </row>
    <row r="38" customFormat="false" ht="15" hidden="false" customHeight="false" outlineLevel="0" collapsed="false">
      <c r="A38" s="46" t="n">
        <f aca="false">IF(B38="","",ROW()-6)</f>
        <v>32</v>
      </c>
      <c r="B38" s="47" t="n">
        <f aca="false">IF(B37="","",IF(B37+Buoc_in&gt;Z_cuoi_in+0.000001,"",ROUND(B37+Buoc_in,2)))</f>
        <v>77.8</v>
      </c>
      <c r="C38" s="24" t="n">
        <f aca="false">IF(B38="","",MAX(B38-TC_Z,0))</f>
        <v>3.09999999999999</v>
      </c>
      <c r="D38" s="32" t="n">
        <f aca="false">IF(B38="","",TC_s*(1-0.2*(TC_xmb+(TC_n-1)*TC_xmt)*C38/(TC_n*TC_b))*TC_m*TC_n*TC_b*SQRT(2*g_)*C38^1.5)</f>
        <v>205.990375287798</v>
      </c>
      <c r="E38" s="24" t="n">
        <f aca="false">IF(B38="","",MAX(B38-SC_Z,0))</f>
        <v>6.8</v>
      </c>
      <c r="F38" s="32" t="n">
        <f aca="false">IF(B38="","",SC_s*(1-0.2*(SC_xmb+(SC_n-1)*SC_xmt)*E38/(SC_n*SC_b))*SC_m*SC_n*SC_b*SQRT(2*g_)*E38^1.5)</f>
        <v>143.075702902579</v>
      </c>
      <c r="G38" s="32" t="n">
        <f aca="false">IF(B38="","",D38+F38)</f>
        <v>349.066078190377</v>
      </c>
      <c r="H38" s="25" t="n">
        <f aca="false">IF(B38="","",INDEX(Bang_F,MATCH(B38,Bang_Z,1))+(B38-INDEX(Bang_Z,MATCH(B38,Bang_Z,1)))*(INDEX(Bang_F,MATCH(B38,Bang_Z,1)+1)-INDEX(Bang_F,MATCH(B38,Bang_Z,1))))</f>
        <v>7.808</v>
      </c>
      <c r="I38" s="25" t="n">
        <f aca="false">IF(B38="","",INDEX(Bang_W,MATCH(B38,Bang_Z,1))+(B38-INDEX(Bang_Z,MATCH(B38,Bang_Z,1)))*(INDEX(Bang_F,MATCH(B38,Bang_Z,1))+H38)/2)</f>
        <v>58.2332</v>
      </c>
      <c r="J38" s="32" t="n">
        <f aca="false">IF(B38="","",I38*1000000/dt_s)</f>
        <v>16175.8888888889</v>
      </c>
      <c r="K38" s="32" t="n">
        <f aca="false">IF(B38="","",J38+G38/2)</f>
        <v>16350.4219279841</v>
      </c>
      <c r="L38" s="32" t="n">
        <f aca="false">IF(B38="","",J38+D38/2)</f>
        <v>16278.8840765328</v>
      </c>
    </row>
    <row r="39" customFormat="false" ht="15" hidden="false" customHeight="false" outlineLevel="0" collapsed="false">
      <c r="A39" s="46" t="n">
        <f aca="false">IF(B39="","",ROW()-6)</f>
        <v>33</v>
      </c>
      <c r="B39" s="47" t="n">
        <f aca="false">IF(B38="","",IF(B38+Buoc_in&gt;Z_cuoi_in+0.000001,"",ROUND(B38+Buoc_in,2)))</f>
        <v>77.9</v>
      </c>
      <c r="C39" s="24" t="n">
        <f aca="false">IF(B39="","",MAX(B39-TC_Z,0))</f>
        <v>3.2</v>
      </c>
      <c r="D39" s="32" t="n">
        <f aca="false">IF(B39="","",TC_s*(1-0.2*(TC_xmb+(TC_n-1)*TC_xmt)*C39/(TC_n*TC_b))*TC_m*TC_n*TC_b*SQRT(2*g_)*C39^1.5)</f>
        <v>215.056342734965</v>
      </c>
      <c r="E39" s="24" t="n">
        <f aca="false">IF(B39="","",MAX(B39-SC_Z,0))</f>
        <v>6.90000000000001</v>
      </c>
      <c r="F39" s="32" t="n">
        <f aca="false">IF(B39="","",SC_s*(1-0.2*(SC_xmb+(SC_n-1)*SC_xmt)*E39/(SC_n*SC_b))*SC_m*SC_n*SC_b*SQRT(2*g_)*E39^1.5)</f>
        <v>145.737577172147</v>
      </c>
      <c r="G39" s="32" t="n">
        <f aca="false">IF(B39="","",D39+F39)</f>
        <v>360.793919907112</v>
      </c>
      <c r="H39" s="25" t="n">
        <f aca="false">IF(B39="","",INDEX(Bang_F,MATCH(B39,Bang_Z,1))+(B39-INDEX(Bang_Z,MATCH(B39,Bang_Z,1)))*(INDEX(Bang_F,MATCH(B39,Bang_Z,1)+1)-INDEX(Bang_F,MATCH(B39,Bang_Z,1))))</f>
        <v>7.859</v>
      </c>
      <c r="I39" s="25" t="n">
        <f aca="false">IF(B39="","",INDEX(Bang_W,MATCH(B39,Bang_Z,1))+(B39-INDEX(Bang_Z,MATCH(B39,Bang_Z,1)))*(INDEX(Bang_F,MATCH(B39,Bang_Z,1))+H39)/2)</f>
        <v>59.01655</v>
      </c>
      <c r="J39" s="32" t="n">
        <f aca="false">IF(B39="","",I39*1000000/dt_s)</f>
        <v>16393.4861111111</v>
      </c>
      <c r="K39" s="32" t="n">
        <f aca="false">IF(B39="","",J39+G39/2)</f>
        <v>16573.8830710647</v>
      </c>
      <c r="L39" s="32" t="n">
        <f aca="false">IF(B39="","",J39+D39/2)</f>
        <v>16501.0142824786</v>
      </c>
    </row>
    <row r="40" customFormat="false" ht="15" hidden="false" customHeight="false" outlineLevel="0" collapsed="false">
      <c r="A40" s="46" t="n">
        <f aca="false">IF(B40="","",ROW()-6)</f>
        <v>34</v>
      </c>
      <c r="B40" s="47" t="n">
        <f aca="false">IF(B39="","",IF(B39+Buoc_in&gt;Z_cuoi_in+0.000001,"",ROUND(B39+Buoc_in,2)))</f>
        <v>78</v>
      </c>
      <c r="C40" s="24" t="n">
        <f aca="false">IF(B40="","",MAX(B40-TC_Z,0))</f>
        <v>3.3</v>
      </c>
      <c r="D40" s="32" t="n">
        <f aca="false">IF(B40="","",TC_s*(1-0.2*(TC_xmb+(TC_n-1)*TC_xmt)*C40/(TC_n*TC_b))*TC_m*TC_n*TC_b*SQRT(2*g_)*C40^1.5)</f>
        <v>224.187842103828</v>
      </c>
      <c r="E40" s="24" t="n">
        <f aca="false">IF(B40="","",MAX(B40-SC_Z,0))</f>
        <v>7</v>
      </c>
      <c r="F40" s="32" t="n">
        <f aca="false">IF(B40="","",SC_s*(1-0.2*(SC_xmb+(SC_n-1)*SC_xmt)*E40/(SC_n*SC_b))*SC_m*SC_n*SC_b*SQRT(2*g_)*E40^1.5)</f>
        <v>148.400419428181</v>
      </c>
      <c r="G40" s="32" t="n">
        <f aca="false">IF(B40="","",D40+F40)</f>
        <v>372.588261532008</v>
      </c>
      <c r="H40" s="25" t="n">
        <f aca="false">IF(B40="","",INDEX(Bang_F,MATCH(B40,Bang_Z,1))+(B40-INDEX(Bang_Z,MATCH(B40,Bang_Z,1)))*(INDEX(Bang_F,MATCH(B40,Bang_Z,1)+1)-INDEX(Bang_F,MATCH(B40,Bang_Z,1))))</f>
        <v>7.91</v>
      </c>
      <c r="I40" s="25" t="n">
        <f aca="false">IF(B40="","",INDEX(Bang_W,MATCH(B40,Bang_Z,1))+(B40-INDEX(Bang_Z,MATCH(B40,Bang_Z,1)))*(INDEX(Bang_F,MATCH(B40,Bang_Z,1))+H40)/2)</f>
        <v>59.805</v>
      </c>
      <c r="J40" s="32" t="n">
        <f aca="false">IF(B40="","",I40*1000000/dt_s)</f>
        <v>16612.5</v>
      </c>
      <c r="K40" s="32" t="n">
        <f aca="false">IF(B40="","",J40+G40/2)</f>
        <v>16798.794130766</v>
      </c>
      <c r="L40" s="32" t="n">
        <f aca="false">IF(B40="","",J40+D40/2)</f>
        <v>16724.5939210519</v>
      </c>
    </row>
    <row r="41" customFormat="false" ht="15" hidden="false" customHeight="false" outlineLevel="0" collapsed="false">
      <c r="A41" s="46" t="n">
        <f aca="false">IF(B41="","",ROW()-6)</f>
        <v>35</v>
      </c>
      <c r="B41" s="47" t="n">
        <f aca="false">IF(B40="","",IF(B40+Buoc_in&gt;Z_cuoi_in+0.000001,"",ROUND(B40+Buoc_in,2)))</f>
        <v>78.1</v>
      </c>
      <c r="C41" s="24" t="n">
        <f aca="false">IF(B41="","",MAX(B41-TC_Z,0))</f>
        <v>3.39999999999999</v>
      </c>
      <c r="D41" s="32" t="n">
        <f aca="false">IF(B41="","",TC_s*(1-0.2*(TC_xmb+(TC_n-1)*TC_xmt)*C41/(TC_n*TC_b))*TC_m*TC_n*TC_b*SQRT(2*g_)*C41^1.5)</f>
        <v>233.380333503697</v>
      </c>
      <c r="E41" s="24" t="n">
        <f aca="false">IF(B41="","",MAX(B41-SC_Z,0))</f>
        <v>7.09999999999999</v>
      </c>
      <c r="F41" s="32" t="n">
        <f aca="false">IF(B41="","",SC_s*(1-0.2*(SC_xmb+(SC_n-1)*SC_xmt)*E41/(SC_n*SC_b))*SC_m*SC_n*SC_b*SQRT(2*g_)*E41^1.5)</f>
        <v>151.063827195888</v>
      </c>
      <c r="G41" s="32" t="n">
        <f aca="false">IF(B41="","",D41+F41)</f>
        <v>384.444160699586</v>
      </c>
      <c r="H41" s="25" t="n">
        <f aca="false">IF(B41="","",INDEX(Bang_F,MATCH(B41,Bang_Z,1))+(B41-INDEX(Bang_Z,MATCH(B41,Bang_Z,1)))*(INDEX(Bang_F,MATCH(B41,Bang_Z,1)+1)-INDEX(Bang_F,MATCH(B41,Bang_Z,1))))</f>
        <v>7.962</v>
      </c>
      <c r="I41" s="25" t="n">
        <f aca="false">IF(B41="","",INDEX(Bang_W,MATCH(B41,Bang_Z,1))+(B41-INDEX(Bang_Z,MATCH(B41,Bang_Z,1)))*(INDEX(Bang_F,MATCH(B41,Bang_Z,1))+H41)/2)</f>
        <v>60.5986</v>
      </c>
      <c r="J41" s="32" t="n">
        <f aca="false">IF(B41="","",I41*1000000/dt_s)</f>
        <v>16832.9444444444</v>
      </c>
      <c r="K41" s="32" t="n">
        <f aca="false">IF(B41="","",J41+G41/2)</f>
        <v>17025.1665247942</v>
      </c>
      <c r="L41" s="32" t="n">
        <f aca="false">IF(B41="","",J41+D41/2)</f>
        <v>16949.6346111963</v>
      </c>
    </row>
    <row r="42" customFormat="false" ht="15" hidden="false" customHeight="false" outlineLevel="0" collapsed="false">
      <c r="A42" s="46" t="n">
        <f aca="false">IF(B42="","",ROW()-6)</f>
        <v>36</v>
      </c>
      <c r="B42" s="47" t="n">
        <f aca="false">IF(B41="","",IF(B41+Buoc_in&gt;Z_cuoi_in+0.000001,"",ROUND(B41+Buoc_in,2)))</f>
        <v>78.2</v>
      </c>
      <c r="C42" s="24" t="n">
        <f aca="false">IF(B42="","",MAX(B42-TC_Z,0))</f>
        <v>3.5</v>
      </c>
      <c r="D42" s="32" t="n">
        <f aca="false">IF(B42="","",TC_s*(1-0.2*(TC_xmb+(TC_n-1)*TC_xmt)*C42/(TC_n*TC_b))*TC_m*TC_n*TC_b*SQRT(2*g_)*C42^1.5)</f>
        <v>242.629426451589</v>
      </c>
      <c r="E42" s="24" t="n">
        <f aca="false">IF(B42="","",MAX(B42-SC_Z,0))</f>
        <v>7.2</v>
      </c>
      <c r="F42" s="32" t="n">
        <f aca="false">IF(B42="","",SC_s*(1-0.2*(SC_xmb+(SC_n-1)*SC_xmt)*E42/(SC_n*SC_b))*SC_m*SC_n*SC_b*SQRT(2*g_)*E42^1.5)</f>
        <v>153.727403738762</v>
      </c>
      <c r="G42" s="32" t="n">
        <f aca="false">IF(B42="","",D42+F42)</f>
        <v>396.356830190351</v>
      </c>
      <c r="H42" s="25" t="n">
        <f aca="false">IF(B42="","",INDEX(Bang_F,MATCH(B42,Bang_Z,1))+(B42-INDEX(Bang_Z,MATCH(B42,Bang_Z,1)))*(INDEX(Bang_F,MATCH(B42,Bang_Z,1)+1)-INDEX(Bang_F,MATCH(B42,Bang_Z,1))))</f>
        <v>8.014</v>
      </c>
      <c r="I42" s="25" t="n">
        <f aca="false">IF(B42="","",INDEX(Bang_W,MATCH(B42,Bang_Z,1))+(B42-INDEX(Bang_Z,MATCH(B42,Bang_Z,1)))*(INDEX(Bang_F,MATCH(B42,Bang_Z,1))+H42)/2)</f>
        <v>61.3974</v>
      </c>
      <c r="J42" s="32" t="n">
        <f aca="false">IF(B42="","",I42*1000000/dt_s)</f>
        <v>17054.8333333333</v>
      </c>
      <c r="K42" s="32" t="n">
        <f aca="false">IF(B42="","",J42+G42/2)</f>
        <v>17253.0117484285</v>
      </c>
      <c r="L42" s="32" t="n">
        <f aca="false">IF(B42="","",J42+D42/2)</f>
        <v>17176.1480465591</v>
      </c>
    </row>
    <row r="43" customFormat="false" ht="15" hidden="false" customHeight="false" outlineLevel="0" collapsed="false">
      <c r="A43" s="46" t="n">
        <f aca="false">IF(B43="","",ROW()-6)</f>
        <v>37</v>
      </c>
      <c r="B43" s="47" t="n">
        <f aca="false">IF(B42="","",IF(B42+Buoc_in&gt;Z_cuoi_in+0.000001,"",ROUND(B42+Buoc_in,2)))</f>
        <v>78.3</v>
      </c>
      <c r="C43" s="24" t="n">
        <f aca="false">IF(B43="","",MAX(B43-TC_Z,0))</f>
        <v>3.59999999999999</v>
      </c>
      <c r="D43" s="32" t="n">
        <f aca="false">IF(B43="","",TC_s*(1-0.2*(TC_xmb+(TC_n-1)*TC_xmt)*C43/(TC_n*TC_b))*TC_m*TC_n*TC_b*SQRT(2*g_)*C43^1.5)</f>
        <v>251.930869872162</v>
      </c>
      <c r="E43" s="24" t="n">
        <f aca="false">IF(B43="","",MAX(B43-SC_Z,0))</f>
        <v>7.3</v>
      </c>
      <c r="F43" s="32" t="n">
        <f aca="false">IF(B43="","",SC_s*(1-0.2*(SC_xmb+(SC_n-1)*SC_xmt)*E43/(SC_n*SC_b))*SC_m*SC_n*SC_b*SQRT(2*g_)*E43^1.5)</f>
        <v>156.3907578781</v>
      </c>
      <c r="G43" s="32" t="n">
        <f aca="false">IF(B43="","",D43+F43)</f>
        <v>408.321627750262</v>
      </c>
      <c r="H43" s="25" t="n">
        <f aca="false">IF(B43="","",INDEX(Bang_F,MATCH(B43,Bang_Z,1))+(B43-INDEX(Bang_Z,MATCH(B43,Bang_Z,1)))*(INDEX(Bang_F,MATCH(B43,Bang_Z,1)+1)-INDEX(Bang_F,MATCH(B43,Bang_Z,1))))</f>
        <v>8.066</v>
      </c>
      <c r="I43" s="25" t="n">
        <f aca="false">IF(B43="","",INDEX(Bang_W,MATCH(B43,Bang_Z,1))+(B43-INDEX(Bang_Z,MATCH(B43,Bang_Z,1)))*(INDEX(Bang_F,MATCH(B43,Bang_Z,1))+H43)/2)</f>
        <v>62.2014</v>
      </c>
      <c r="J43" s="32" t="n">
        <f aca="false">IF(B43="","",I43*1000000/dt_s)</f>
        <v>17278.1666666667</v>
      </c>
      <c r="K43" s="32" t="n">
        <f aca="false">IF(B43="","",J43+G43/2)</f>
        <v>17482.3274805418</v>
      </c>
      <c r="L43" s="32" t="n">
        <f aca="false">IF(B43="","",J43+D43/2)</f>
        <v>17404.1321016027</v>
      </c>
    </row>
    <row r="44" customFormat="false" ht="15" hidden="false" customHeight="false" outlineLevel="0" collapsed="false">
      <c r="A44" s="46" t="n">
        <f aca="false">IF(B44="","",ROW()-6)</f>
        <v>38</v>
      </c>
      <c r="B44" s="47" t="n">
        <f aca="false">IF(B43="","",IF(B43+Buoc_in&gt;Z_cuoi_in+0.000001,"",ROUND(B43+Buoc_in,2)))</f>
        <v>78.4</v>
      </c>
      <c r="C44" s="24" t="n">
        <f aca="false">IF(B44="","",MAX(B44-TC_Z,0))</f>
        <v>3.7</v>
      </c>
      <c r="D44" s="32" t="n">
        <f aca="false">IF(B44="","",TC_s*(1-0.2*(TC_xmb+(TC_n-1)*TC_xmt)*C44/(TC_n*TC_b))*TC_m*TC_n*TC_b*SQRT(2*g_)*C44^1.5)</f>
        <v>261.280543045733</v>
      </c>
      <c r="E44" s="24" t="n">
        <f aca="false">IF(B44="","",MAX(B44-SC_Z,0))</f>
        <v>7.40000000000001</v>
      </c>
      <c r="F44" s="32" t="n">
        <f aca="false">IF(B44="","",SC_s*(1-0.2*(SC_xmb+(SC_n-1)*SC_xmt)*E44/(SC_n*SC_b))*SC_m*SC_n*SC_b*SQRT(2*g_)*E44^1.5)</f>
        <v>159.053503820805</v>
      </c>
      <c r="G44" s="32" t="n">
        <f aca="false">IF(B44="","",D44+F44)</f>
        <v>420.334046866538</v>
      </c>
      <c r="H44" s="25" t="n">
        <f aca="false">IF(B44="","",INDEX(Bang_F,MATCH(B44,Bang_Z,1))+(B44-INDEX(Bang_Z,MATCH(B44,Bang_Z,1)))*(INDEX(Bang_F,MATCH(B44,Bang_Z,1)+1)-INDEX(Bang_F,MATCH(B44,Bang_Z,1))))</f>
        <v>8.118</v>
      </c>
      <c r="I44" s="25" t="n">
        <f aca="false">IF(B44="","",INDEX(Bang_W,MATCH(B44,Bang_Z,1))+(B44-INDEX(Bang_Z,MATCH(B44,Bang_Z,1)))*(INDEX(Bang_F,MATCH(B44,Bang_Z,1))+H44)/2)</f>
        <v>63.0106</v>
      </c>
      <c r="J44" s="32" t="n">
        <f aca="false">IF(B44="","",I44*1000000/dt_s)</f>
        <v>17502.9444444445</v>
      </c>
      <c r="K44" s="32" t="n">
        <f aca="false">IF(B44="","",J44+G44/2)</f>
        <v>17713.1114678777</v>
      </c>
      <c r="L44" s="32" t="n">
        <f aca="false">IF(B44="","",J44+D44/2)</f>
        <v>17633.5847159673</v>
      </c>
    </row>
    <row r="45" customFormat="false" ht="15" hidden="false" customHeight="false" outlineLevel="0" collapsed="false">
      <c r="A45" s="46" t="n">
        <f aca="false">IF(B45="","",ROW()-6)</f>
        <v>39</v>
      </c>
      <c r="B45" s="47" t="n">
        <f aca="false">IF(B44="","",IF(B44+Buoc_in&gt;Z_cuoi_in+0.000001,"",ROUND(B44+Buoc_in,2)))</f>
        <v>78.5</v>
      </c>
      <c r="C45" s="24" t="n">
        <f aca="false">IF(B45="","",MAX(B45-TC_Z,0))</f>
        <v>3.8</v>
      </c>
      <c r="D45" s="32" t="n">
        <f aca="false">IF(B45="","",TC_s*(1-0.2*(TC_xmb+(TC_n-1)*TC_xmt)*C45/(TC_n*TC_b))*TC_m*TC_n*TC_b*SQRT(2*g_)*C45^1.5)</f>
        <v>270.674447390284</v>
      </c>
      <c r="E45" s="24" t="n">
        <f aca="false">IF(B45="","",MAX(B45-SC_Z,0))</f>
        <v>7.5</v>
      </c>
      <c r="F45" s="32" t="n">
        <f aca="false">IF(B45="","",SC_s*(1-0.2*(SC_xmb+(SC_n-1)*SC_xmt)*E45/(SC_n*SC_b))*SC_m*SC_n*SC_b*SQRT(2*g_)*E45^1.5)</f>
        <v>161.715260994972</v>
      </c>
      <c r="G45" s="32" t="n">
        <f aca="false">IF(B45="","",D45+F45)</f>
        <v>432.389708385256</v>
      </c>
      <c r="H45" s="25" t="n">
        <f aca="false">IF(B45="","",INDEX(Bang_F,MATCH(B45,Bang_Z,1))+(B45-INDEX(Bang_Z,MATCH(B45,Bang_Z,1)))*(INDEX(Bang_F,MATCH(B45,Bang_Z,1)+1)-INDEX(Bang_F,MATCH(B45,Bang_Z,1))))</f>
        <v>8.17</v>
      </c>
      <c r="I45" s="25" t="n">
        <f aca="false">IF(B45="","",INDEX(Bang_W,MATCH(B45,Bang_Z,1))+(B45-INDEX(Bang_Z,MATCH(B45,Bang_Z,1)))*(INDEX(Bang_F,MATCH(B45,Bang_Z,1))+H45)/2)</f>
        <v>63.825</v>
      </c>
      <c r="J45" s="32" t="n">
        <f aca="false">IF(B45="","",I45*1000000/dt_s)</f>
        <v>17729.1666666667</v>
      </c>
      <c r="K45" s="32" t="n">
        <f aca="false">IF(B45="","",J45+G45/2)</f>
        <v>17945.3615208593</v>
      </c>
      <c r="L45" s="32" t="n">
        <f aca="false">IF(B45="","",J45+D45/2)</f>
        <v>17864.5038903618</v>
      </c>
    </row>
    <row r="46" customFormat="false" ht="15" hidden="false" customHeight="false" outlineLevel="0" collapsed="false">
      <c r="A46" s="46" t="n">
        <f aca="false">IF(B46="","",ROW()-6)</f>
        <v>40</v>
      </c>
      <c r="B46" s="47" t="n">
        <f aca="false">IF(B45="","",IF(B45+Buoc_in&gt;Z_cuoi_in+0.000001,"",ROUND(B45+Buoc_in,2)))</f>
        <v>78.6</v>
      </c>
      <c r="C46" s="24" t="n">
        <f aca="false">IF(B46="","",MAX(B46-TC_Z,0))</f>
        <v>3.89999999999999</v>
      </c>
      <c r="D46" s="32" t="n">
        <f aca="false">IF(B46="","",TC_s*(1-0.2*(TC_xmb+(TC_n-1)*TC_xmt)*C46/(TC_n*TC_b))*TC_m*TC_n*TC_b*SQRT(2*g_)*C46^1.5)</f>
        <v>280.108698979907</v>
      </c>
      <c r="E46" s="24" t="n">
        <f aca="false">IF(B46="","",MAX(B46-SC_Z,0))</f>
        <v>7.59999999999999</v>
      </c>
      <c r="F46" s="32" t="n">
        <f aca="false">IF(B46="","",SC_s*(1-0.2*(SC_xmb+(SC_n-1)*SC_xmt)*E46/(SC_n*SC_b))*SC_m*SC_n*SC_b*SQRT(2*g_)*E46^1.5)</f>
        <v>164.375653892816</v>
      </c>
      <c r="G46" s="32" t="n">
        <f aca="false">IF(B46="","",D46+F46)</f>
        <v>444.484352872723</v>
      </c>
      <c r="H46" s="25" t="n">
        <f aca="false">IF(B46="","",INDEX(Bang_F,MATCH(B46,Bang_Z,1))+(B46-INDEX(Bang_Z,MATCH(B46,Bang_Z,1)))*(INDEX(Bang_F,MATCH(B46,Bang_Z,1)+1)-INDEX(Bang_F,MATCH(B46,Bang_Z,1))))</f>
        <v>8.222</v>
      </c>
      <c r="I46" s="25" t="n">
        <f aca="false">IF(B46="","",INDEX(Bang_W,MATCH(B46,Bang_Z,1))+(B46-INDEX(Bang_Z,MATCH(B46,Bang_Z,1)))*(INDEX(Bang_F,MATCH(B46,Bang_Z,1))+H46)/2)</f>
        <v>64.6446</v>
      </c>
      <c r="J46" s="32" t="n">
        <f aca="false">IF(B46="","",I46*1000000/dt_s)</f>
        <v>17956.8333333333</v>
      </c>
      <c r="K46" s="32" t="n">
        <f aca="false">IF(B46="","",J46+G46/2)</f>
        <v>18179.0755097697</v>
      </c>
      <c r="L46" s="32" t="n">
        <f aca="false">IF(B46="","",J46+D46/2)</f>
        <v>18096.8876828233</v>
      </c>
    </row>
    <row r="47" customFormat="false" ht="15" hidden="false" customHeight="false" outlineLevel="0" collapsed="false">
      <c r="A47" s="46" t="n">
        <f aca="false">IF(B47="","",ROW()-6)</f>
        <v>41</v>
      </c>
      <c r="B47" s="47" t="n">
        <f aca="false">IF(B46="","",IF(B46+Buoc_in&gt;Z_cuoi_in+0.000001,"",ROUND(B46+Buoc_in,2)))</f>
        <v>78.7</v>
      </c>
      <c r="C47" s="24" t="n">
        <f aca="false">IF(B47="","",MAX(B47-TC_Z,0))</f>
        <v>4</v>
      </c>
      <c r="D47" s="32" t="n">
        <f aca="false">IF(B47="","",TC_s*(1-0.2*(TC_xmb+(TC_n-1)*TC_xmt)*C47/(TC_n*TC_b))*TC_m*TC_n*TC_b*SQRT(2*g_)*C47^1.5)</f>
        <v>289.579521715746</v>
      </c>
      <c r="E47" s="24" t="n">
        <f aca="false">IF(B47="","",MAX(B47-SC_Z,0))</f>
        <v>7.7</v>
      </c>
      <c r="F47" s="32" t="n">
        <f aca="false">IF(B47="","",SC_s*(1-0.2*(SC_xmb+(SC_n-1)*SC_xmt)*E47/(SC_n*SC_b))*SC_m*SC_n*SC_b*SQRT(2*g_)*E47^1.5)</f>
        <v>167.034311920506</v>
      </c>
      <c r="G47" s="32" t="n">
        <f aca="false">IF(B47="","",D47+F47)</f>
        <v>456.613833636252</v>
      </c>
      <c r="H47" s="25" t="n">
        <f aca="false">IF(B47="","",INDEX(Bang_F,MATCH(B47,Bang_Z,1))+(B47-INDEX(Bang_Z,MATCH(B47,Bang_Z,1)))*(INDEX(Bang_F,MATCH(B47,Bang_Z,1)+1)-INDEX(Bang_F,MATCH(B47,Bang_Z,1))))</f>
        <v>8.274</v>
      </c>
      <c r="I47" s="25" t="n">
        <f aca="false">IF(B47="","",INDEX(Bang_W,MATCH(B47,Bang_Z,1))+(B47-INDEX(Bang_Z,MATCH(B47,Bang_Z,1)))*(INDEX(Bang_F,MATCH(B47,Bang_Z,1))+H47)/2)</f>
        <v>65.4694</v>
      </c>
      <c r="J47" s="32" t="n">
        <f aca="false">IF(B47="","",I47*1000000/dt_s)</f>
        <v>18185.9444444445</v>
      </c>
      <c r="K47" s="32" t="n">
        <f aca="false">IF(B47="","",J47+G47/2)</f>
        <v>18414.2513612626</v>
      </c>
      <c r="L47" s="32" t="n">
        <f aca="false">IF(B47="","",J47+D47/2)</f>
        <v>18330.7342053023</v>
      </c>
    </row>
    <row r="48" customFormat="false" ht="15" hidden="false" customHeight="false" outlineLevel="0" collapsed="false">
      <c r="A48" s="46" t="n">
        <f aca="false">IF(B48="","",ROW()-6)</f>
        <v>42</v>
      </c>
      <c r="B48" s="47" t="n">
        <f aca="false">IF(B47="","",IF(B47+Buoc_in&gt;Z_cuoi_in+0.000001,"",ROUND(B47+Buoc_in,2)))</f>
        <v>78.8</v>
      </c>
      <c r="C48" s="24" t="n">
        <f aca="false">IF(B48="","",MAX(B48-TC_Z,0))</f>
        <v>4.09999999999999</v>
      </c>
      <c r="D48" s="32" t="n">
        <f aca="false">IF(B48="","",TC_s*(1-0.2*(TC_xmb+(TC_n-1)*TC_xmt)*C48/(TC_n*TC_b))*TC_m*TC_n*TC_b*SQRT(2*g_)*C48^1.5)</f>
        <v>299.083241077021</v>
      </c>
      <c r="E48" s="24" t="n">
        <f aca="false">IF(B48="","",MAX(B48-SC_Z,0))</f>
        <v>7.8</v>
      </c>
      <c r="F48" s="32" t="n">
        <f aca="false">IF(B48="","",SC_s*(1-0.2*(SC_xmb+(SC_n-1)*SC_xmt)*E48/(SC_n*SC_b))*SC_m*SC_n*SC_b*SQRT(2*g_)*E48^1.5)</f>
        <v>169.690869254516</v>
      </c>
      <c r="G48" s="32" t="n">
        <f aca="false">IF(B48="","",D48+F48)</f>
        <v>468.774110331538</v>
      </c>
      <c r="H48" s="25" t="n">
        <f aca="false">IF(B48="","",INDEX(Bang_F,MATCH(B48,Bang_Z,1))+(B48-INDEX(Bang_Z,MATCH(B48,Bang_Z,1)))*(INDEX(Bang_F,MATCH(B48,Bang_Z,1)+1)-INDEX(Bang_F,MATCH(B48,Bang_Z,1))))</f>
        <v>8.326</v>
      </c>
      <c r="I48" s="25" t="n">
        <f aca="false">IF(B48="","",INDEX(Bang_W,MATCH(B48,Bang_Z,1))+(B48-INDEX(Bang_Z,MATCH(B48,Bang_Z,1)))*(INDEX(Bang_F,MATCH(B48,Bang_Z,1))+H48)/2)</f>
        <v>66.2994</v>
      </c>
      <c r="J48" s="32" t="n">
        <f aca="false">IF(B48="","",I48*1000000/dt_s)</f>
        <v>18416.5</v>
      </c>
      <c r="K48" s="32" t="n">
        <f aca="false">IF(B48="","",J48+G48/2)</f>
        <v>18650.8870551658</v>
      </c>
      <c r="L48" s="32" t="n">
        <f aca="false">IF(B48="","",J48+D48/2)</f>
        <v>18566.0416205385</v>
      </c>
    </row>
    <row r="49" customFormat="false" ht="15" hidden="false" customHeight="false" outlineLevel="0" collapsed="false">
      <c r="A49" s="46" t="n">
        <f aca="false">IF(B49="","",ROW()-6)</f>
        <v>43</v>
      </c>
      <c r="B49" s="47" t="n">
        <f aca="false">IF(B48="","",IF(B48+Buoc_in&gt;Z_cuoi_in+0.000001,"",ROUND(B48+Buoc_in,2)))</f>
        <v>78.9</v>
      </c>
      <c r="C49" s="24" t="n">
        <f aca="false">IF(B49="","",MAX(B49-TC_Z,0))</f>
        <v>4.2</v>
      </c>
      <c r="D49" s="32" t="n">
        <f aca="false">IF(B49="","",TC_s*(1-0.2*(TC_xmb+(TC_n-1)*TC_xmt)*C49/(TC_n*TC_b))*TC_m*TC_n*TC_b*SQRT(2*g_)*C49^1.5)</f>
        <v>308.61627838936</v>
      </c>
      <c r="E49" s="24" t="n">
        <f aca="false">IF(B49="","",MAX(B49-SC_Z,0))</f>
        <v>7.90000000000001</v>
      </c>
      <c r="F49" s="32" t="n">
        <f aca="false">IF(B49="","",SC_s*(1-0.2*(SC_xmb+(SC_n-1)*SC_xmt)*E49/(SC_n*SC_b))*SC_m*SC_n*SC_b*SQRT(2*g_)*E49^1.5)</f>
        <v>172.344964704131</v>
      </c>
      <c r="G49" s="32" t="n">
        <f aca="false">IF(B49="","",D49+F49)</f>
        <v>480.961243093491</v>
      </c>
      <c r="H49" s="25" t="n">
        <f aca="false">IF(B49="","",INDEX(Bang_F,MATCH(B49,Bang_Z,1))+(B49-INDEX(Bang_Z,MATCH(B49,Bang_Z,1)))*(INDEX(Bang_F,MATCH(B49,Bang_Z,1)+1)-INDEX(Bang_F,MATCH(B49,Bang_Z,1))))</f>
        <v>8.378</v>
      </c>
      <c r="I49" s="25" t="n">
        <f aca="false">IF(B49="","",INDEX(Bang_W,MATCH(B49,Bang_Z,1))+(B49-INDEX(Bang_Z,MATCH(B49,Bang_Z,1)))*(INDEX(Bang_F,MATCH(B49,Bang_Z,1))+H49)/2)</f>
        <v>67.1346000000001</v>
      </c>
      <c r="J49" s="32" t="n">
        <f aca="false">IF(B49="","",I49*1000000/dt_s)</f>
        <v>18648.5</v>
      </c>
      <c r="K49" s="32" t="n">
        <f aca="false">IF(B49="","",J49+G49/2)</f>
        <v>18888.9806215468</v>
      </c>
      <c r="L49" s="32" t="n">
        <f aca="false">IF(B49="","",J49+D49/2)</f>
        <v>18802.8081391947</v>
      </c>
    </row>
    <row r="50" customFormat="false" ht="15" hidden="false" customHeight="false" outlineLevel="0" collapsed="false">
      <c r="A50" s="46" t="n">
        <f aca="false">IF(B50="","",ROW()-6)</f>
        <v>44</v>
      </c>
      <c r="B50" s="47" t="n">
        <f aca="false">IF(B49="","",IF(B49+Buoc_in&gt;Z_cuoi_in+0.000001,"",ROUND(B49+Buoc_in,2)))</f>
        <v>79</v>
      </c>
      <c r="C50" s="24" t="n">
        <f aca="false">IF(B50="","",MAX(B50-TC_Z,0))</f>
        <v>4.3</v>
      </c>
      <c r="D50" s="32" t="n">
        <f aca="false">IF(B50="","",TC_s*(1-0.2*(TC_xmb+(TC_n-1)*TC_xmt)*C50/(TC_n*TC_b))*TC_m*TC_n*TC_b*SQRT(2*g_)*C50^1.5)</f>
        <v>318.175145555788</v>
      </c>
      <c r="E50" s="24" t="n">
        <f aca="false">IF(B50="","",MAX(B50-SC_Z,0))</f>
        <v>8</v>
      </c>
      <c r="F50" s="32" t="n">
        <f aca="false">IF(B50="","",SC_s*(1-0.2*(SC_xmb+(SC_n-1)*SC_xmt)*E50/(SC_n*SC_b))*SC_m*SC_n*SC_b*SQRT(2*g_)*E50^1.5)</f>
        <v>174.996241579755</v>
      </c>
      <c r="G50" s="32" t="n">
        <f aca="false">IF(B50="","",D50+F50)</f>
        <v>493.171387135544</v>
      </c>
      <c r="H50" s="25" t="n">
        <f aca="false">IF(B50="","",INDEX(Bang_F,MATCH(B50,Bang_Z,1))+(B50-INDEX(Bang_Z,MATCH(B50,Bang_Z,1)))*(INDEX(Bang_F,MATCH(B50,Bang_Z,1)+1)-INDEX(Bang_F,MATCH(B50,Bang_Z,1))))</f>
        <v>8.43</v>
      </c>
      <c r="I50" s="25" t="n">
        <f aca="false">IF(B50="","",INDEX(Bang_W,MATCH(B50,Bang_Z,1))+(B50-INDEX(Bang_Z,MATCH(B50,Bang_Z,1)))*(INDEX(Bang_F,MATCH(B50,Bang_Z,1))+H50)/2)</f>
        <v>67.975</v>
      </c>
      <c r="J50" s="32" t="n">
        <f aca="false">IF(B50="","",I50*1000000/dt_s)</f>
        <v>18881.9444444444</v>
      </c>
      <c r="K50" s="32" t="n">
        <f aca="false">IF(B50="","",J50+G50/2)</f>
        <v>19128.5301380122</v>
      </c>
      <c r="L50" s="32" t="n">
        <f aca="false">IF(B50="","",J50+D50/2)</f>
        <v>19041.0320172223</v>
      </c>
    </row>
    <row r="51" customFormat="false" ht="15" hidden="false" customHeight="false" outlineLevel="0" collapsed="false">
      <c r="A51" s="46" t="n">
        <f aca="false">IF(B51="","",ROW()-6)</f>
        <v>45</v>
      </c>
      <c r="B51" s="47" t="n">
        <f aca="false">IF(B50="","",IF(B50+Buoc_in&gt;Z_cuoi_in+0.000001,"",ROUND(B50+Buoc_in,2)))</f>
        <v>79.1</v>
      </c>
      <c r="C51" s="24" t="n">
        <f aca="false">IF(B51="","",MAX(B51-TC_Z,0))</f>
        <v>4.39999999999999</v>
      </c>
      <c r="D51" s="32" t="n">
        <f aca="false">IF(B51="","",TC_s*(1-0.2*(TC_xmb+(TC_n-1)*TC_xmt)*C51/(TC_n*TC_b))*TC_m*TC_n*TC_b*SQRT(2*g_)*C51^1.5)</f>
        <v>327.756440202766</v>
      </c>
      <c r="E51" s="24" t="n">
        <f aca="false">IF(B51="","",MAX(B51-SC_Z,0))</f>
        <v>8.09999999999999</v>
      </c>
      <c r="F51" s="32" t="n">
        <f aca="false">IF(B51="","",SC_s*(1-0.2*(SC_xmb+(SC_n-1)*SC_xmt)*E51/(SC_n*SC_b))*SC_m*SC_n*SC_b*SQRT(2*g_)*E51^1.5)</f>
        <v>177.644347566715</v>
      </c>
      <c r="G51" s="32" t="n">
        <f aca="false">IF(B51="","",D51+F51)</f>
        <v>505.400787769482</v>
      </c>
      <c r="H51" s="25" t="n">
        <f aca="false">IF(B51="","",INDEX(Bang_F,MATCH(B51,Bang_Z,1))+(B51-INDEX(Bang_Z,MATCH(B51,Bang_Z,1)))*(INDEX(Bang_F,MATCH(B51,Bang_Z,1)+1)-INDEX(Bang_F,MATCH(B51,Bang_Z,1))))</f>
        <v>8.5</v>
      </c>
      <c r="I51" s="25" t="n">
        <f aca="false">IF(B51="","",INDEX(Bang_W,MATCH(B51,Bang_Z,1))+(B51-INDEX(Bang_Z,MATCH(B51,Bang_Z,1)))*(INDEX(Bang_F,MATCH(B51,Bang_Z,1))+H51)/2)</f>
        <v>68.8214999999999</v>
      </c>
      <c r="J51" s="32" t="n">
        <f aca="false">IF(B51="","",I51*1000000/dt_s)</f>
        <v>19117.0833333333</v>
      </c>
      <c r="K51" s="32" t="n">
        <f aca="false">IF(B51="","",J51+G51/2)</f>
        <v>19369.7837272181</v>
      </c>
      <c r="L51" s="32" t="n">
        <f aca="false">IF(B51="","",J51+D51/2)</f>
        <v>19280.9615534347</v>
      </c>
    </row>
    <row r="52" customFormat="false" ht="15" hidden="false" customHeight="false" outlineLevel="0" collapsed="false">
      <c r="A52" s="46" t="n">
        <f aca="false">IF(B52="","",ROW()-6)</f>
        <v>46</v>
      </c>
      <c r="B52" s="47" t="n">
        <f aca="false">IF(B51="","",IF(B51+Buoc_in&gt;Z_cuoi_in+0.000001,"",ROUND(B51+Buoc_in,2)))</f>
        <v>79.2</v>
      </c>
      <c r="C52" s="24" t="n">
        <f aca="false">IF(B52="","",MAX(B52-TC_Z,0))</f>
        <v>4.5</v>
      </c>
      <c r="D52" s="32" t="n">
        <f aca="false">IF(B52="","",TC_s*(1-0.2*(TC_xmb+(TC_n-1)*TC_xmt)*C52/(TC_n*TC_b))*TC_m*TC_n*TC_b*SQRT(2*g_)*C52^1.5)</f>
        <v>337.356841199439</v>
      </c>
      <c r="E52" s="24" t="n">
        <f aca="false">IF(B52="","",MAX(B52-SC_Z,0))</f>
        <v>8.2</v>
      </c>
      <c r="F52" s="32" t="n">
        <f aca="false">IF(B52="","",SC_s*(1-0.2*(SC_xmb+(SC_n-1)*SC_xmt)*E52/(SC_n*SC_b))*SC_m*SC_n*SC_b*SQRT(2*g_)*E52^1.5)</f>
        <v>180.288934604258</v>
      </c>
      <c r="G52" s="32" t="n">
        <f aca="false">IF(B52="","",D52+F52)</f>
        <v>517.645775803697</v>
      </c>
      <c r="H52" s="25" t="n">
        <f aca="false">IF(B52="","",INDEX(Bang_F,MATCH(B52,Bang_Z,1))+(B52-INDEX(Bang_Z,MATCH(B52,Bang_Z,1)))*(INDEX(Bang_F,MATCH(B52,Bang_Z,1)+1)-INDEX(Bang_F,MATCH(B52,Bang_Z,1))))</f>
        <v>8.57</v>
      </c>
      <c r="I52" s="25" t="n">
        <f aca="false">IF(B52="","",INDEX(Bang_W,MATCH(B52,Bang_Z,1))+(B52-INDEX(Bang_Z,MATCH(B52,Bang_Z,1)))*(INDEX(Bang_F,MATCH(B52,Bang_Z,1))+H52)/2)</f>
        <v>69.675</v>
      </c>
      <c r="J52" s="32" t="n">
        <f aca="false">IF(B52="","",I52*1000000/dt_s)</f>
        <v>19354.1666666667</v>
      </c>
      <c r="K52" s="32" t="n">
        <f aca="false">IF(B52="","",J52+G52/2)</f>
        <v>19612.9895545685</v>
      </c>
      <c r="L52" s="32" t="n">
        <f aca="false">IF(B52="","",J52+D52/2)</f>
        <v>19522.8450872664</v>
      </c>
    </row>
    <row r="53" customFormat="false" ht="15" hidden="false" customHeight="false" outlineLevel="0" collapsed="false">
      <c r="A53" s="46" t="n">
        <f aca="false">IF(B53="","",ROW()-6)</f>
        <v>47</v>
      </c>
      <c r="B53" s="47" t="n">
        <f aca="false">IF(B52="","",IF(B52+Buoc_in&gt;Z_cuoi_in+0.000001,"",ROUND(B52+Buoc_in,2)))</f>
        <v>79.3</v>
      </c>
      <c r="C53" s="24" t="n">
        <f aca="false">IF(B53="","",MAX(B53-TC_Z,0))</f>
        <v>4.59999999999999</v>
      </c>
      <c r="D53" s="32" t="n">
        <f aca="false">IF(B53="","",TC_s*(1-0.2*(TC_xmb+(TC_n-1)*TC_xmt)*C53/(TC_n*TC_b))*TC_m*TC_n*TC_b*SQRT(2*g_)*C53^1.5)</f>
        <v>346.973104513437</v>
      </c>
      <c r="E53" s="24" t="n">
        <f aca="false">IF(B53="","",MAX(B53-SC_Z,0))</f>
        <v>8.3</v>
      </c>
      <c r="F53" s="32" t="n">
        <f aca="false">IF(B53="","",SC_s*(1-0.2*(SC_xmb+(SC_n-1)*SC_xmt)*E53/(SC_n*SC_b))*SC_m*SC_n*SC_b*SQRT(2*g_)*E53^1.5)</f>
        <v>182.929658769459</v>
      </c>
      <c r="G53" s="32" t="n">
        <f aca="false">IF(B53="","",D53+F53)</f>
        <v>529.902763282896</v>
      </c>
      <c r="H53" s="25" t="n">
        <f aca="false">IF(B53="","",INDEX(Bang_F,MATCH(B53,Bang_Z,1))+(B53-INDEX(Bang_Z,MATCH(B53,Bang_Z,1)))*(INDEX(Bang_F,MATCH(B53,Bang_Z,1)+1)-INDEX(Bang_F,MATCH(B53,Bang_Z,1))))</f>
        <v>8.64</v>
      </c>
      <c r="I53" s="25" t="n">
        <f aca="false">IF(B53="","",INDEX(Bang_W,MATCH(B53,Bang_Z,1))+(B53-INDEX(Bang_Z,MATCH(B53,Bang_Z,1)))*(INDEX(Bang_F,MATCH(B53,Bang_Z,1))+H53)/2)</f>
        <v>70.5355</v>
      </c>
      <c r="J53" s="32" t="n">
        <f aca="false">IF(B53="","",I53*1000000/dt_s)</f>
        <v>19593.1944444444</v>
      </c>
      <c r="K53" s="32" t="n">
        <f aca="false">IF(B53="","",J53+G53/2)</f>
        <v>19858.1458260859</v>
      </c>
      <c r="L53" s="32" t="n">
        <f aca="false">IF(B53="","",J53+D53/2)</f>
        <v>19766.6809967012</v>
      </c>
    </row>
    <row r="54" customFormat="false" ht="15" hidden="false" customHeight="false" outlineLevel="0" collapsed="false">
      <c r="A54" s="46" t="n">
        <f aca="false">IF(B54="","",ROW()-6)</f>
        <v>48</v>
      </c>
      <c r="B54" s="47" t="n">
        <f aca="false">IF(B53="","",IF(B53+Buoc_in&gt;Z_cuoi_in+0.000001,"",ROUND(B53+Buoc_in,2)))</f>
        <v>79.4</v>
      </c>
      <c r="C54" s="24" t="n">
        <f aca="false">IF(B54="","",MAX(B54-TC_Z,0))</f>
        <v>4.7</v>
      </c>
      <c r="D54" s="32" t="n">
        <f aca="false">IF(B54="","",TC_s*(1-0.2*(TC_xmb+(TC_n-1)*TC_xmt)*C54/(TC_n*TC_b))*TC_m*TC_n*TC_b*SQRT(2*g_)*C54^1.5)</f>
        <v>356.602059370887</v>
      </c>
      <c r="E54" s="24" t="n">
        <f aca="false">IF(B54="","",MAX(B54-SC_Z,0))</f>
        <v>8.40000000000001</v>
      </c>
      <c r="F54" s="32" t="n">
        <f aca="false">IF(B54="","",SC_s*(1-0.2*(SC_xmb+(SC_n-1)*SC_xmt)*E54/(SC_n*SC_b))*SC_m*SC_n*SC_b*SQRT(2*g_)*E54^1.5)</f>
        <v>185.56618016579</v>
      </c>
      <c r="G54" s="32" t="n">
        <f aca="false">IF(B54="","",D54+F54)</f>
        <v>542.168239536678</v>
      </c>
      <c r="H54" s="25" t="n">
        <f aca="false">IF(B54="","",INDEX(Bang_F,MATCH(B54,Bang_Z,1))+(B54-INDEX(Bang_Z,MATCH(B54,Bang_Z,1)))*(INDEX(Bang_F,MATCH(B54,Bang_Z,1)+1)-INDEX(Bang_F,MATCH(B54,Bang_Z,1))))</f>
        <v>8.71</v>
      </c>
      <c r="I54" s="25" t="n">
        <f aca="false">IF(B54="","",INDEX(Bang_W,MATCH(B54,Bang_Z,1))+(B54-INDEX(Bang_Z,MATCH(B54,Bang_Z,1)))*(INDEX(Bang_F,MATCH(B54,Bang_Z,1))+H54)/2)</f>
        <v>71.4030000000001</v>
      </c>
      <c r="J54" s="32" t="n">
        <f aca="false">IF(B54="","",I54*1000000/dt_s)</f>
        <v>19834.1666666667</v>
      </c>
      <c r="K54" s="32" t="n">
        <f aca="false">IF(B54="","",J54+G54/2)</f>
        <v>20105.250786435</v>
      </c>
      <c r="L54" s="32" t="n">
        <f aca="false">IF(B54="","",J54+D54/2)</f>
        <v>20012.4676963521</v>
      </c>
    </row>
    <row r="55" customFormat="false" ht="15" hidden="false" customHeight="false" outlineLevel="0" collapsed="false">
      <c r="A55" s="46" t="n">
        <f aca="false">IF(B55="","",ROW()-6)</f>
        <v>49</v>
      </c>
      <c r="B55" s="47" t="n">
        <f aca="false">IF(B54="","",IF(B54+Buoc_in&gt;Z_cuoi_in+0.000001,"",ROUND(B54+Buoc_in,2)))</f>
        <v>79.5</v>
      </c>
      <c r="C55" s="24" t="n">
        <f aca="false">IF(B55="","",MAX(B55-TC_Z,0))</f>
        <v>4.8</v>
      </c>
      <c r="D55" s="32" t="n">
        <f aca="false">IF(B55="","",TC_s*(1-0.2*(TC_xmb+(TC_n-1)*TC_xmt)*C55/(TC_n*TC_b))*TC_m*TC_n*TC_b*SQRT(2*g_)*C55^1.5)</f>
        <v>366.240604691981</v>
      </c>
      <c r="E55" s="24" t="n">
        <f aca="false">IF(B55="","",MAX(B55-SC_Z,0))</f>
        <v>8.5</v>
      </c>
      <c r="F55" s="32" t="n">
        <f aca="false">IF(B55="","",SC_s*(1-0.2*(SC_xmb+(SC_n-1)*SC_xmt)*E55/(SC_n*SC_b))*SC_m*SC_n*SC_b*SQRT(2*g_)*E55^1.5)</f>
        <v>188.198162816108</v>
      </c>
      <c r="G55" s="32" t="n">
        <f aca="false">IF(B55="","",D55+F55)</f>
        <v>554.438767508088</v>
      </c>
      <c r="H55" s="25" t="n">
        <f aca="false">IF(B55="","",INDEX(Bang_F,MATCH(B55,Bang_Z,1))+(B55-INDEX(Bang_Z,MATCH(B55,Bang_Z,1)))*(INDEX(Bang_F,MATCH(B55,Bang_Z,1)+1)-INDEX(Bang_F,MATCH(B55,Bang_Z,1))))</f>
        <v>8.78</v>
      </c>
      <c r="I55" s="25" t="n">
        <f aca="false">IF(B55="","",INDEX(Bang_W,MATCH(B55,Bang_Z,1))+(B55-INDEX(Bang_Z,MATCH(B55,Bang_Z,1)))*(INDEX(Bang_F,MATCH(B55,Bang_Z,1))+H55)/2)</f>
        <v>72.2775</v>
      </c>
      <c r="J55" s="32" t="n">
        <f aca="false">IF(B55="","",I55*1000000/dt_s)</f>
        <v>20077.0833333333</v>
      </c>
      <c r="K55" s="32" t="n">
        <f aca="false">IF(B55="","",J55+G55/2)</f>
        <v>20354.3027170874</v>
      </c>
      <c r="L55" s="32" t="n">
        <f aca="false">IF(B55="","",J55+D55/2)</f>
        <v>20260.2036356793</v>
      </c>
    </row>
    <row r="56" customFormat="false" ht="15" hidden="false" customHeight="false" outlineLevel="0" collapsed="false">
      <c r="A56" s="46" t="str">
        <f aca="false">IF(B56="","",ROW()-6)</f>
        <v/>
      </c>
      <c r="B56" s="47" t="str">
        <f aca="false">IF(B55="","",IF(B55+Buoc_in&gt;Z_cuoi_in+0.000001,"",ROUND(B55+Buoc_in,2)))</f>
        <v/>
      </c>
      <c r="C56" s="24" t="str">
        <f aca="false">IF(B56="","",MAX(B56-TC_Z,0))</f>
        <v/>
      </c>
      <c r="D56" s="32" t="str">
        <f aca="false">IF(B56="","",TC_s*(1-0.2*(TC_xmb+(TC_n-1)*TC_xmt)*C56/(TC_n*TC_b))*TC_m*TC_n*TC_b*SQRT(2*g_)*C56^1.5)</f>
        <v/>
      </c>
      <c r="E56" s="24" t="str">
        <f aca="false">IF(B56="","",MAX(B56-SC_Z,0))</f>
        <v/>
      </c>
      <c r="F56" s="32" t="str">
        <f aca="false">IF(B56="","",SC_s*(1-0.2*(SC_xmb+(SC_n-1)*SC_xmt)*E56/(SC_n*SC_b))*SC_m*SC_n*SC_b*SQRT(2*g_)*E56^1.5)</f>
        <v/>
      </c>
      <c r="G56" s="32" t="str">
        <f aca="false">IF(B56="","",D56+F56)</f>
        <v/>
      </c>
      <c r="H56" s="25" t="str">
        <f aca="false">IF(B56="","",INDEX(Bang_F,MATCH(B56,Bang_Z,1))+(B56-INDEX(Bang_Z,MATCH(B56,Bang_Z,1)))*(INDEX(Bang_F,MATCH(B56,Bang_Z,1)+1)-INDEX(Bang_F,MATCH(B56,Bang_Z,1))))</f>
        <v/>
      </c>
      <c r="I56" s="25" t="str">
        <f aca="false">IF(B56="","",INDEX(Bang_W,MATCH(B56,Bang_Z,1))+(B56-INDEX(Bang_Z,MATCH(B56,Bang_Z,1)))*(INDEX(Bang_F,MATCH(B56,Bang_Z,1))+H56)/2)</f>
        <v/>
      </c>
      <c r="J56" s="32" t="str">
        <f aca="false">IF(B56="","",I56*1000000/dt_s)</f>
        <v/>
      </c>
      <c r="K56" s="32" t="str">
        <f aca="false">IF(B56="","",J56+G56/2)</f>
        <v/>
      </c>
      <c r="L56" s="32" t="str">
        <f aca="false">IF(B56="","",J56+D56/2)</f>
        <v/>
      </c>
    </row>
    <row r="57" customFormat="false" ht="15" hidden="false" customHeight="false" outlineLevel="0" collapsed="false">
      <c r="A57" s="46" t="str">
        <f aca="false">IF(B57="","",ROW()-6)</f>
        <v/>
      </c>
      <c r="B57" s="47" t="str">
        <f aca="false">IF(B56="","",IF(B56+Buoc_in&gt;Z_cuoi_in+0.000001,"",ROUND(B56+Buoc_in,2)))</f>
        <v/>
      </c>
      <c r="C57" s="24" t="str">
        <f aca="false">IF(B57="","",MAX(B57-TC_Z,0))</f>
        <v/>
      </c>
      <c r="D57" s="32" t="str">
        <f aca="false">IF(B57="","",TC_s*(1-0.2*(TC_xmb+(TC_n-1)*TC_xmt)*C57/(TC_n*TC_b))*TC_m*TC_n*TC_b*SQRT(2*g_)*C57^1.5)</f>
        <v/>
      </c>
      <c r="E57" s="24" t="str">
        <f aca="false">IF(B57="","",MAX(B57-SC_Z,0))</f>
        <v/>
      </c>
      <c r="F57" s="32" t="str">
        <f aca="false">IF(B57="","",SC_s*(1-0.2*(SC_xmb+(SC_n-1)*SC_xmt)*E57/(SC_n*SC_b))*SC_m*SC_n*SC_b*SQRT(2*g_)*E57^1.5)</f>
        <v/>
      </c>
      <c r="G57" s="32" t="str">
        <f aca="false">IF(B57="","",D57+F57)</f>
        <v/>
      </c>
      <c r="H57" s="25" t="str">
        <f aca="false">IF(B57="","",INDEX(Bang_F,MATCH(B57,Bang_Z,1))+(B57-INDEX(Bang_Z,MATCH(B57,Bang_Z,1)))*(INDEX(Bang_F,MATCH(B57,Bang_Z,1)+1)-INDEX(Bang_F,MATCH(B57,Bang_Z,1))))</f>
        <v/>
      </c>
      <c r="I57" s="25" t="str">
        <f aca="false">IF(B57="","",INDEX(Bang_W,MATCH(B57,Bang_Z,1))+(B57-INDEX(Bang_Z,MATCH(B57,Bang_Z,1)))*(INDEX(Bang_F,MATCH(B57,Bang_Z,1))+H57)/2)</f>
        <v/>
      </c>
      <c r="J57" s="32" t="str">
        <f aca="false">IF(B57="","",I57*1000000/dt_s)</f>
        <v/>
      </c>
      <c r="K57" s="32" t="str">
        <f aca="false">IF(B57="","",J57+G57/2)</f>
        <v/>
      </c>
      <c r="L57" s="32" t="str">
        <f aca="false">IF(B57="","",J57+D57/2)</f>
        <v/>
      </c>
    </row>
    <row r="58" customFormat="false" ht="15" hidden="false" customHeight="false" outlineLevel="0" collapsed="false">
      <c r="A58" s="46" t="str">
        <f aca="false">IF(B58="","",ROW()-6)</f>
        <v/>
      </c>
      <c r="B58" s="47" t="str">
        <f aca="false">IF(B57="","",IF(B57+Buoc_in&gt;Z_cuoi_in+0.000001,"",ROUND(B57+Buoc_in,2)))</f>
        <v/>
      </c>
      <c r="C58" s="24" t="str">
        <f aca="false">IF(B58="","",MAX(B58-TC_Z,0))</f>
        <v/>
      </c>
      <c r="D58" s="32" t="str">
        <f aca="false">IF(B58="","",TC_s*(1-0.2*(TC_xmb+(TC_n-1)*TC_xmt)*C58/(TC_n*TC_b))*TC_m*TC_n*TC_b*SQRT(2*g_)*C58^1.5)</f>
        <v/>
      </c>
      <c r="E58" s="24" t="str">
        <f aca="false">IF(B58="","",MAX(B58-SC_Z,0))</f>
        <v/>
      </c>
      <c r="F58" s="32" t="str">
        <f aca="false">IF(B58="","",SC_s*(1-0.2*(SC_xmb+(SC_n-1)*SC_xmt)*E58/(SC_n*SC_b))*SC_m*SC_n*SC_b*SQRT(2*g_)*E58^1.5)</f>
        <v/>
      </c>
      <c r="G58" s="32" t="str">
        <f aca="false">IF(B58="","",D58+F58)</f>
        <v/>
      </c>
      <c r="H58" s="25" t="str">
        <f aca="false">IF(B58="","",INDEX(Bang_F,MATCH(B58,Bang_Z,1))+(B58-INDEX(Bang_Z,MATCH(B58,Bang_Z,1)))*(INDEX(Bang_F,MATCH(B58,Bang_Z,1)+1)-INDEX(Bang_F,MATCH(B58,Bang_Z,1))))</f>
        <v/>
      </c>
      <c r="I58" s="25" t="str">
        <f aca="false">IF(B58="","",INDEX(Bang_W,MATCH(B58,Bang_Z,1))+(B58-INDEX(Bang_Z,MATCH(B58,Bang_Z,1)))*(INDEX(Bang_F,MATCH(B58,Bang_Z,1))+H58)/2)</f>
        <v/>
      </c>
      <c r="J58" s="32" t="str">
        <f aca="false">IF(B58="","",I58*1000000/dt_s)</f>
        <v/>
      </c>
      <c r="K58" s="32" t="str">
        <f aca="false">IF(B58="","",J58+G58/2)</f>
        <v/>
      </c>
      <c r="L58" s="32" t="str">
        <f aca="false">IF(B58="","",J58+D58/2)</f>
        <v/>
      </c>
    </row>
    <row r="59" customFormat="false" ht="15" hidden="false" customHeight="false" outlineLevel="0" collapsed="false">
      <c r="A59" s="46" t="str">
        <f aca="false">IF(B59="","",ROW()-6)</f>
        <v/>
      </c>
      <c r="B59" s="47" t="str">
        <f aca="false">IF(B58="","",IF(B58+Buoc_in&gt;Z_cuoi_in+0.000001,"",ROUND(B58+Buoc_in,2)))</f>
        <v/>
      </c>
      <c r="C59" s="24" t="str">
        <f aca="false">IF(B59="","",MAX(B59-TC_Z,0))</f>
        <v/>
      </c>
      <c r="D59" s="32" t="str">
        <f aca="false">IF(B59="","",TC_s*(1-0.2*(TC_xmb+(TC_n-1)*TC_xmt)*C59/(TC_n*TC_b))*TC_m*TC_n*TC_b*SQRT(2*g_)*C59^1.5)</f>
        <v/>
      </c>
      <c r="E59" s="24" t="str">
        <f aca="false">IF(B59="","",MAX(B59-SC_Z,0))</f>
        <v/>
      </c>
      <c r="F59" s="32" t="str">
        <f aca="false">IF(B59="","",SC_s*(1-0.2*(SC_xmb+(SC_n-1)*SC_xmt)*E59/(SC_n*SC_b))*SC_m*SC_n*SC_b*SQRT(2*g_)*E59^1.5)</f>
        <v/>
      </c>
      <c r="G59" s="32" t="str">
        <f aca="false">IF(B59="","",D59+F59)</f>
        <v/>
      </c>
      <c r="H59" s="25" t="str">
        <f aca="false">IF(B59="","",INDEX(Bang_F,MATCH(B59,Bang_Z,1))+(B59-INDEX(Bang_Z,MATCH(B59,Bang_Z,1)))*(INDEX(Bang_F,MATCH(B59,Bang_Z,1)+1)-INDEX(Bang_F,MATCH(B59,Bang_Z,1))))</f>
        <v/>
      </c>
      <c r="I59" s="25" t="str">
        <f aca="false">IF(B59="","",INDEX(Bang_W,MATCH(B59,Bang_Z,1))+(B59-INDEX(Bang_Z,MATCH(B59,Bang_Z,1)))*(INDEX(Bang_F,MATCH(B59,Bang_Z,1))+H59)/2)</f>
        <v/>
      </c>
      <c r="J59" s="32" t="str">
        <f aca="false">IF(B59="","",I59*1000000/dt_s)</f>
        <v/>
      </c>
      <c r="K59" s="32" t="str">
        <f aca="false">IF(B59="","",J59+G59/2)</f>
        <v/>
      </c>
      <c r="L59" s="32" t="str">
        <f aca="false">IF(B59="","",J59+D59/2)</f>
        <v/>
      </c>
    </row>
    <row r="60" customFormat="false" ht="15" hidden="false" customHeight="false" outlineLevel="0" collapsed="false">
      <c r="A60" s="46" t="str">
        <f aca="false">IF(B60="","",ROW()-6)</f>
        <v/>
      </c>
      <c r="B60" s="47" t="str">
        <f aca="false">IF(B59="","",IF(B59+Buoc_in&gt;Z_cuoi_in+0.000001,"",ROUND(B59+Buoc_in,2)))</f>
        <v/>
      </c>
      <c r="C60" s="24" t="str">
        <f aca="false">IF(B60="","",MAX(B60-TC_Z,0))</f>
        <v/>
      </c>
      <c r="D60" s="32" t="str">
        <f aca="false">IF(B60="","",TC_s*(1-0.2*(TC_xmb+(TC_n-1)*TC_xmt)*C60/(TC_n*TC_b))*TC_m*TC_n*TC_b*SQRT(2*g_)*C60^1.5)</f>
        <v/>
      </c>
      <c r="E60" s="24" t="str">
        <f aca="false">IF(B60="","",MAX(B60-SC_Z,0))</f>
        <v/>
      </c>
      <c r="F60" s="32" t="str">
        <f aca="false">IF(B60="","",SC_s*(1-0.2*(SC_xmb+(SC_n-1)*SC_xmt)*E60/(SC_n*SC_b))*SC_m*SC_n*SC_b*SQRT(2*g_)*E60^1.5)</f>
        <v/>
      </c>
      <c r="G60" s="32" t="str">
        <f aca="false">IF(B60="","",D60+F60)</f>
        <v/>
      </c>
      <c r="H60" s="25" t="str">
        <f aca="false">IF(B60="","",INDEX(Bang_F,MATCH(B60,Bang_Z,1))+(B60-INDEX(Bang_Z,MATCH(B60,Bang_Z,1)))*(INDEX(Bang_F,MATCH(B60,Bang_Z,1)+1)-INDEX(Bang_F,MATCH(B60,Bang_Z,1))))</f>
        <v/>
      </c>
      <c r="I60" s="25" t="str">
        <f aca="false">IF(B60="","",INDEX(Bang_W,MATCH(B60,Bang_Z,1))+(B60-INDEX(Bang_Z,MATCH(B60,Bang_Z,1)))*(INDEX(Bang_F,MATCH(B60,Bang_Z,1))+H60)/2)</f>
        <v/>
      </c>
      <c r="J60" s="32" t="str">
        <f aca="false">IF(B60="","",I60*1000000/dt_s)</f>
        <v/>
      </c>
      <c r="K60" s="32" t="str">
        <f aca="false">IF(B60="","",J60+G60/2)</f>
        <v/>
      </c>
      <c r="L60" s="32" t="str">
        <f aca="false">IF(B60="","",J60+D60/2)</f>
        <v/>
      </c>
    </row>
    <row r="61" customFormat="false" ht="15" hidden="false" customHeight="false" outlineLevel="0" collapsed="false">
      <c r="A61" s="46" t="str">
        <f aca="false">IF(B61="","",ROW()-6)</f>
        <v/>
      </c>
      <c r="B61" s="47" t="str">
        <f aca="false">IF(B60="","",IF(B60+Buoc_in&gt;Z_cuoi_in+0.000001,"",ROUND(B60+Buoc_in,2)))</f>
        <v/>
      </c>
      <c r="C61" s="24" t="str">
        <f aca="false">IF(B61="","",MAX(B61-TC_Z,0))</f>
        <v/>
      </c>
      <c r="D61" s="32" t="str">
        <f aca="false">IF(B61="","",TC_s*(1-0.2*(TC_xmb+(TC_n-1)*TC_xmt)*C61/(TC_n*TC_b))*TC_m*TC_n*TC_b*SQRT(2*g_)*C61^1.5)</f>
        <v/>
      </c>
      <c r="E61" s="24" t="str">
        <f aca="false">IF(B61="","",MAX(B61-SC_Z,0))</f>
        <v/>
      </c>
      <c r="F61" s="32" t="str">
        <f aca="false">IF(B61="","",SC_s*(1-0.2*(SC_xmb+(SC_n-1)*SC_xmt)*E61/(SC_n*SC_b))*SC_m*SC_n*SC_b*SQRT(2*g_)*E61^1.5)</f>
        <v/>
      </c>
      <c r="G61" s="32" t="str">
        <f aca="false">IF(B61="","",D61+F61)</f>
        <v/>
      </c>
      <c r="H61" s="25" t="str">
        <f aca="false">IF(B61="","",INDEX(Bang_F,MATCH(B61,Bang_Z,1))+(B61-INDEX(Bang_Z,MATCH(B61,Bang_Z,1)))*(INDEX(Bang_F,MATCH(B61,Bang_Z,1)+1)-INDEX(Bang_F,MATCH(B61,Bang_Z,1))))</f>
        <v/>
      </c>
      <c r="I61" s="25" t="str">
        <f aca="false">IF(B61="","",INDEX(Bang_W,MATCH(B61,Bang_Z,1))+(B61-INDEX(Bang_Z,MATCH(B61,Bang_Z,1)))*(INDEX(Bang_F,MATCH(B61,Bang_Z,1))+H61)/2)</f>
        <v/>
      </c>
      <c r="J61" s="32" t="str">
        <f aca="false">IF(B61="","",I61*1000000/dt_s)</f>
        <v/>
      </c>
      <c r="K61" s="32" t="str">
        <f aca="false">IF(B61="","",J61+G61/2)</f>
        <v/>
      </c>
      <c r="L61" s="32" t="str">
        <f aca="false">IF(B61="","",J61+D61/2)</f>
        <v/>
      </c>
    </row>
    <row r="62" customFormat="false" ht="15" hidden="false" customHeight="false" outlineLevel="0" collapsed="false">
      <c r="A62" s="46" t="str">
        <f aca="false">IF(B62="","",ROW()-6)</f>
        <v/>
      </c>
      <c r="B62" s="47" t="str">
        <f aca="false">IF(B61="","",IF(B61+Buoc_in&gt;Z_cuoi_in+0.000001,"",ROUND(B61+Buoc_in,2)))</f>
        <v/>
      </c>
      <c r="C62" s="24" t="str">
        <f aca="false">IF(B62="","",MAX(B62-TC_Z,0))</f>
        <v/>
      </c>
      <c r="D62" s="32" t="str">
        <f aca="false">IF(B62="","",TC_s*(1-0.2*(TC_xmb+(TC_n-1)*TC_xmt)*C62/(TC_n*TC_b))*TC_m*TC_n*TC_b*SQRT(2*g_)*C62^1.5)</f>
        <v/>
      </c>
      <c r="E62" s="24" t="str">
        <f aca="false">IF(B62="","",MAX(B62-SC_Z,0))</f>
        <v/>
      </c>
      <c r="F62" s="32" t="str">
        <f aca="false">IF(B62="","",SC_s*(1-0.2*(SC_xmb+(SC_n-1)*SC_xmt)*E62/(SC_n*SC_b))*SC_m*SC_n*SC_b*SQRT(2*g_)*E62^1.5)</f>
        <v/>
      </c>
      <c r="G62" s="32" t="str">
        <f aca="false">IF(B62="","",D62+F62)</f>
        <v/>
      </c>
      <c r="H62" s="25" t="str">
        <f aca="false">IF(B62="","",INDEX(Bang_F,MATCH(B62,Bang_Z,1))+(B62-INDEX(Bang_Z,MATCH(B62,Bang_Z,1)))*(INDEX(Bang_F,MATCH(B62,Bang_Z,1)+1)-INDEX(Bang_F,MATCH(B62,Bang_Z,1))))</f>
        <v/>
      </c>
      <c r="I62" s="25" t="str">
        <f aca="false">IF(B62="","",INDEX(Bang_W,MATCH(B62,Bang_Z,1))+(B62-INDEX(Bang_Z,MATCH(B62,Bang_Z,1)))*(INDEX(Bang_F,MATCH(B62,Bang_Z,1))+H62)/2)</f>
        <v/>
      </c>
      <c r="J62" s="32" t="str">
        <f aca="false">IF(B62="","",I62*1000000/dt_s)</f>
        <v/>
      </c>
      <c r="K62" s="32" t="str">
        <f aca="false">IF(B62="","",J62+G62/2)</f>
        <v/>
      </c>
      <c r="L62" s="32" t="str">
        <f aca="false">IF(B62="","",J62+D62/2)</f>
        <v/>
      </c>
    </row>
    <row r="63" customFormat="false" ht="15" hidden="false" customHeight="false" outlineLevel="0" collapsed="false">
      <c r="A63" s="46" t="str">
        <f aca="false">IF(B63="","",ROW()-6)</f>
        <v/>
      </c>
      <c r="B63" s="47" t="str">
        <f aca="false">IF(B62="","",IF(B62+Buoc_in&gt;Z_cuoi_in+0.000001,"",ROUND(B62+Buoc_in,2)))</f>
        <v/>
      </c>
      <c r="C63" s="24" t="str">
        <f aca="false">IF(B63="","",MAX(B63-TC_Z,0))</f>
        <v/>
      </c>
      <c r="D63" s="32" t="str">
        <f aca="false">IF(B63="","",TC_s*(1-0.2*(TC_xmb+(TC_n-1)*TC_xmt)*C63/(TC_n*TC_b))*TC_m*TC_n*TC_b*SQRT(2*g_)*C63^1.5)</f>
        <v/>
      </c>
      <c r="E63" s="24" t="str">
        <f aca="false">IF(B63="","",MAX(B63-SC_Z,0))</f>
        <v/>
      </c>
      <c r="F63" s="32" t="str">
        <f aca="false">IF(B63="","",SC_s*(1-0.2*(SC_xmb+(SC_n-1)*SC_xmt)*E63/(SC_n*SC_b))*SC_m*SC_n*SC_b*SQRT(2*g_)*E63^1.5)</f>
        <v/>
      </c>
      <c r="G63" s="32" t="str">
        <f aca="false">IF(B63="","",D63+F63)</f>
        <v/>
      </c>
      <c r="H63" s="25" t="str">
        <f aca="false">IF(B63="","",INDEX(Bang_F,MATCH(B63,Bang_Z,1))+(B63-INDEX(Bang_Z,MATCH(B63,Bang_Z,1)))*(INDEX(Bang_F,MATCH(B63,Bang_Z,1)+1)-INDEX(Bang_F,MATCH(B63,Bang_Z,1))))</f>
        <v/>
      </c>
      <c r="I63" s="25" t="str">
        <f aca="false">IF(B63="","",INDEX(Bang_W,MATCH(B63,Bang_Z,1))+(B63-INDEX(Bang_Z,MATCH(B63,Bang_Z,1)))*(INDEX(Bang_F,MATCH(B63,Bang_Z,1))+H63)/2)</f>
        <v/>
      </c>
      <c r="J63" s="32" t="str">
        <f aca="false">IF(B63="","",I63*1000000/dt_s)</f>
        <v/>
      </c>
      <c r="K63" s="32" t="str">
        <f aca="false">IF(B63="","",J63+G63/2)</f>
        <v/>
      </c>
      <c r="L63" s="32" t="str">
        <f aca="false">IF(B63="","",J63+D63/2)</f>
        <v/>
      </c>
    </row>
    <row r="64" customFormat="false" ht="15" hidden="false" customHeight="false" outlineLevel="0" collapsed="false">
      <c r="A64" s="46" t="str">
        <f aca="false">IF(B64="","",ROW()-6)</f>
        <v/>
      </c>
      <c r="B64" s="47" t="str">
        <f aca="false">IF(B63="","",IF(B63+Buoc_in&gt;Z_cuoi_in+0.000001,"",ROUND(B63+Buoc_in,2)))</f>
        <v/>
      </c>
      <c r="C64" s="24" t="str">
        <f aca="false">IF(B64="","",MAX(B64-TC_Z,0))</f>
        <v/>
      </c>
      <c r="D64" s="32" t="str">
        <f aca="false">IF(B64="","",TC_s*(1-0.2*(TC_xmb+(TC_n-1)*TC_xmt)*C64/(TC_n*TC_b))*TC_m*TC_n*TC_b*SQRT(2*g_)*C64^1.5)</f>
        <v/>
      </c>
      <c r="E64" s="24" t="str">
        <f aca="false">IF(B64="","",MAX(B64-SC_Z,0))</f>
        <v/>
      </c>
      <c r="F64" s="32" t="str">
        <f aca="false">IF(B64="","",SC_s*(1-0.2*(SC_xmb+(SC_n-1)*SC_xmt)*E64/(SC_n*SC_b))*SC_m*SC_n*SC_b*SQRT(2*g_)*E64^1.5)</f>
        <v/>
      </c>
      <c r="G64" s="32" t="str">
        <f aca="false">IF(B64="","",D64+F64)</f>
        <v/>
      </c>
      <c r="H64" s="25" t="str">
        <f aca="false">IF(B64="","",INDEX(Bang_F,MATCH(B64,Bang_Z,1))+(B64-INDEX(Bang_Z,MATCH(B64,Bang_Z,1)))*(INDEX(Bang_F,MATCH(B64,Bang_Z,1)+1)-INDEX(Bang_F,MATCH(B64,Bang_Z,1))))</f>
        <v/>
      </c>
      <c r="I64" s="25" t="str">
        <f aca="false">IF(B64="","",INDEX(Bang_W,MATCH(B64,Bang_Z,1))+(B64-INDEX(Bang_Z,MATCH(B64,Bang_Z,1)))*(INDEX(Bang_F,MATCH(B64,Bang_Z,1))+H64)/2)</f>
        <v/>
      </c>
      <c r="J64" s="32" t="str">
        <f aca="false">IF(B64="","",I64*1000000/dt_s)</f>
        <v/>
      </c>
      <c r="K64" s="32" t="str">
        <f aca="false">IF(B64="","",J64+G64/2)</f>
        <v/>
      </c>
      <c r="L64" s="32" t="str">
        <f aca="false">IF(B64="","",J64+D64/2)</f>
        <v/>
      </c>
    </row>
    <row r="65" customFormat="false" ht="15" hidden="false" customHeight="false" outlineLevel="0" collapsed="false">
      <c r="A65" s="46" t="str">
        <f aca="false">IF(B65="","",ROW()-6)</f>
        <v/>
      </c>
      <c r="B65" s="47" t="str">
        <f aca="false">IF(B64="","",IF(B64+Buoc_in&gt;Z_cuoi_in+0.000001,"",ROUND(B64+Buoc_in,2)))</f>
        <v/>
      </c>
      <c r="C65" s="24" t="str">
        <f aca="false">IF(B65="","",MAX(B65-TC_Z,0))</f>
        <v/>
      </c>
      <c r="D65" s="32" t="str">
        <f aca="false">IF(B65="","",TC_s*(1-0.2*(TC_xmb+(TC_n-1)*TC_xmt)*C65/(TC_n*TC_b))*TC_m*TC_n*TC_b*SQRT(2*g_)*C65^1.5)</f>
        <v/>
      </c>
      <c r="E65" s="24" t="str">
        <f aca="false">IF(B65="","",MAX(B65-SC_Z,0))</f>
        <v/>
      </c>
      <c r="F65" s="32" t="str">
        <f aca="false">IF(B65="","",SC_s*(1-0.2*(SC_xmb+(SC_n-1)*SC_xmt)*E65/(SC_n*SC_b))*SC_m*SC_n*SC_b*SQRT(2*g_)*E65^1.5)</f>
        <v/>
      </c>
      <c r="G65" s="32" t="str">
        <f aca="false">IF(B65="","",D65+F65)</f>
        <v/>
      </c>
      <c r="H65" s="25" t="str">
        <f aca="false">IF(B65="","",INDEX(Bang_F,MATCH(B65,Bang_Z,1))+(B65-INDEX(Bang_Z,MATCH(B65,Bang_Z,1)))*(INDEX(Bang_F,MATCH(B65,Bang_Z,1)+1)-INDEX(Bang_F,MATCH(B65,Bang_Z,1))))</f>
        <v/>
      </c>
      <c r="I65" s="25" t="str">
        <f aca="false">IF(B65="","",INDEX(Bang_W,MATCH(B65,Bang_Z,1))+(B65-INDEX(Bang_Z,MATCH(B65,Bang_Z,1)))*(INDEX(Bang_F,MATCH(B65,Bang_Z,1))+H65)/2)</f>
        <v/>
      </c>
      <c r="J65" s="32" t="str">
        <f aca="false">IF(B65="","",I65*1000000/dt_s)</f>
        <v/>
      </c>
      <c r="K65" s="32" t="str">
        <f aca="false">IF(B65="","",J65+G65/2)</f>
        <v/>
      </c>
      <c r="L65" s="32" t="str">
        <f aca="false">IF(B65="","",J65+D65/2)</f>
        <v/>
      </c>
    </row>
    <row r="66" customFormat="false" ht="15" hidden="false" customHeight="false" outlineLevel="0" collapsed="false">
      <c r="A66" s="46" t="str">
        <f aca="false">IF(B66="","",ROW()-6)</f>
        <v/>
      </c>
      <c r="B66" s="47" t="str">
        <f aca="false">IF(B65="","",IF(B65+Buoc_in&gt;Z_cuoi_in+0.000001,"",ROUND(B65+Buoc_in,2)))</f>
        <v/>
      </c>
      <c r="C66" s="24" t="str">
        <f aca="false">IF(B66="","",MAX(B66-TC_Z,0))</f>
        <v/>
      </c>
      <c r="D66" s="32" t="str">
        <f aca="false">IF(B66="","",TC_s*(1-0.2*(TC_xmb+(TC_n-1)*TC_xmt)*C66/(TC_n*TC_b))*TC_m*TC_n*TC_b*SQRT(2*g_)*C66^1.5)</f>
        <v/>
      </c>
      <c r="E66" s="24" t="str">
        <f aca="false">IF(B66="","",MAX(B66-SC_Z,0))</f>
        <v/>
      </c>
      <c r="F66" s="32" t="str">
        <f aca="false">IF(B66="","",SC_s*(1-0.2*(SC_xmb+(SC_n-1)*SC_xmt)*E66/(SC_n*SC_b))*SC_m*SC_n*SC_b*SQRT(2*g_)*E66^1.5)</f>
        <v/>
      </c>
      <c r="G66" s="32" t="str">
        <f aca="false">IF(B66="","",D66+F66)</f>
        <v/>
      </c>
      <c r="H66" s="25" t="str">
        <f aca="false">IF(B66="","",INDEX(Bang_F,MATCH(B66,Bang_Z,1))+(B66-INDEX(Bang_Z,MATCH(B66,Bang_Z,1)))*(INDEX(Bang_F,MATCH(B66,Bang_Z,1)+1)-INDEX(Bang_F,MATCH(B66,Bang_Z,1))))</f>
        <v/>
      </c>
      <c r="I66" s="25" t="str">
        <f aca="false">IF(B66="","",INDEX(Bang_W,MATCH(B66,Bang_Z,1))+(B66-INDEX(Bang_Z,MATCH(B66,Bang_Z,1)))*(INDEX(Bang_F,MATCH(B66,Bang_Z,1))+H66)/2)</f>
        <v/>
      </c>
      <c r="J66" s="32" t="str">
        <f aca="false">IF(B66="","",I66*1000000/dt_s)</f>
        <v/>
      </c>
      <c r="K66" s="32" t="str">
        <f aca="false">IF(B66="","",J66+G66/2)</f>
        <v/>
      </c>
      <c r="L66" s="32" t="str">
        <f aca="false">IF(B66="","",J66+D66/2)</f>
        <v/>
      </c>
    </row>
    <row r="67" customFormat="false" ht="15" hidden="false" customHeight="false" outlineLevel="0" collapsed="false">
      <c r="A67" s="46" t="str">
        <f aca="false">IF(B67="","",ROW()-6)</f>
        <v/>
      </c>
      <c r="B67" s="47" t="str">
        <f aca="false">IF(B66="","",IF(B66+Buoc_in&gt;Z_cuoi_in+0.000001,"",ROUND(B66+Buoc_in,2)))</f>
        <v/>
      </c>
      <c r="C67" s="24" t="str">
        <f aca="false">IF(B67="","",MAX(B67-TC_Z,0))</f>
        <v/>
      </c>
      <c r="D67" s="32" t="str">
        <f aca="false">IF(B67="","",TC_s*(1-0.2*(TC_xmb+(TC_n-1)*TC_xmt)*C67/(TC_n*TC_b))*TC_m*TC_n*TC_b*SQRT(2*g_)*C67^1.5)</f>
        <v/>
      </c>
      <c r="E67" s="24" t="str">
        <f aca="false">IF(B67="","",MAX(B67-SC_Z,0))</f>
        <v/>
      </c>
      <c r="F67" s="32" t="str">
        <f aca="false">IF(B67="","",SC_s*(1-0.2*(SC_xmb+(SC_n-1)*SC_xmt)*E67/(SC_n*SC_b))*SC_m*SC_n*SC_b*SQRT(2*g_)*E67^1.5)</f>
        <v/>
      </c>
      <c r="G67" s="32" t="str">
        <f aca="false">IF(B67="","",D67+F67)</f>
        <v/>
      </c>
      <c r="H67" s="25" t="str">
        <f aca="false">IF(B67="","",INDEX(Bang_F,MATCH(B67,Bang_Z,1))+(B67-INDEX(Bang_Z,MATCH(B67,Bang_Z,1)))*(INDEX(Bang_F,MATCH(B67,Bang_Z,1)+1)-INDEX(Bang_F,MATCH(B67,Bang_Z,1))))</f>
        <v/>
      </c>
      <c r="I67" s="25" t="str">
        <f aca="false">IF(B67="","",INDEX(Bang_W,MATCH(B67,Bang_Z,1))+(B67-INDEX(Bang_Z,MATCH(B67,Bang_Z,1)))*(INDEX(Bang_F,MATCH(B67,Bang_Z,1))+H67)/2)</f>
        <v/>
      </c>
      <c r="J67" s="32" t="str">
        <f aca="false">IF(B67="","",I67*1000000/dt_s)</f>
        <v/>
      </c>
      <c r="K67" s="32" t="str">
        <f aca="false">IF(B67="","",J67+G67/2)</f>
        <v/>
      </c>
      <c r="L67" s="32" t="str">
        <f aca="false">IF(B67="","",J67+D67/2)</f>
        <v/>
      </c>
    </row>
    <row r="68" customFormat="false" ht="15" hidden="false" customHeight="false" outlineLevel="0" collapsed="false">
      <c r="A68" s="46" t="str">
        <f aca="false">IF(B68="","",ROW()-6)</f>
        <v/>
      </c>
      <c r="B68" s="47" t="str">
        <f aca="false">IF(B67="","",IF(B67+Buoc_in&gt;Z_cuoi_in+0.000001,"",ROUND(B67+Buoc_in,2)))</f>
        <v/>
      </c>
      <c r="C68" s="24" t="str">
        <f aca="false">IF(B68="","",MAX(B68-TC_Z,0))</f>
        <v/>
      </c>
      <c r="D68" s="32" t="str">
        <f aca="false">IF(B68="","",TC_s*(1-0.2*(TC_xmb+(TC_n-1)*TC_xmt)*C68/(TC_n*TC_b))*TC_m*TC_n*TC_b*SQRT(2*g_)*C68^1.5)</f>
        <v/>
      </c>
      <c r="E68" s="24" t="str">
        <f aca="false">IF(B68="","",MAX(B68-SC_Z,0))</f>
        <v/>
      </c>
      <c r="F68" s="32" t="str">
        <f aca="false">IF(B68="","",SC_s*(1-0.2*(SC_xmb+(SC_n-1)*SC_xmt)*E68/(SC_n*SC_b))*SC_m*SC_n*SC_b*SQRT(2*g_)*E68^1.5)</f>
        <v/>
      </c>
      <c r="G68" s="32" t="str">
        <f aca="false">IF(B68="","",D68+F68)</f>
        <v/>
      </c>
      <c r="H68" s="25" t="str">
        <f aca="false">IF(B68="","",INDEX(Bang_F,MATCH(B68,Bang_Z,1))+(B68-INDEX(Bang_Z,MATCH(B68,Bang_Z,1)))*(INDEX(Bang_F,MATCH(B68,Bang_Z,1)+1)-INDEX(Bang_F,MATCH(B68,Bang_Z,1))))</f>
        <v/>
      </c>
      <c r="I68" s="25" t="str">
        <f aca="false">IF(B68="","",INDEX(Bang_W,MATCH(B68,Bang_Z,1))+(B68-INDEX(Bang_Z,MATCH(B68,Bang_Z,1)))*(INDEX(Bang_F,MATCH(B68,Bang_Z,1))+H68)/2)</f>
        <v/>
      </c>
      <c r="J68" s="32" t="str">
        <f aca="false">IF(B68="","",I68*1000000/dt_s)</f>
        <v/>
      </c>
      <c r="K68" s="32" t="str">
        <f aca="false">IF(B68="","",J68+G68/2)</f>
        <v/>
      </c>
      <c r="L68" s="32" t="str">
        <f aca="false">IF(B68="","",J68+D68/2)</f>
        <v/>
      </c>
    </row>
    <row r="69" customFormat="false" ht="15" hidden="false" customHeight="false" outlineLevel="0" collapsed="false">
      <c r="A69" s="46" t="str">
        <f aca="false">IF(B69="","",ROW()-6)</f>
        <v/>
      </c>
      <c r="B69" s="47" t="str">
        <f aca="false">IF(B68="","",IF(B68+Buoc_in&gt;Z_cuoi_in+0.000001,"",ROUND(B68+Buoc_in,2)))</f>
        <v/>
      </c>
      <c r="C69" s="24" t="str">
        <f aca="false">IF(B69="","",MAX(B69-TC_Z,0))</f>
        <v/>
      </c>
      <c r="D69" s="32" t="str">
        <f aca="false">IF(B69="","",TC_s*(1-0.2*(TC_xmb+(TC_n-1)*TC_xmt)*C69/(TC_n*TC_b))*TC_m*TC_n*TC_b*SQRT(2*g_)*C69^1.5)</f>
        <v/>
      </c>
      <c r="E69" s="24" t="str">
        <f aca="false">IF(B69="","",MAX(B69-SC_Z,0))</f>
        <v/>
      </c>
      <c r="F69" s="32" t="str">
        <f aca="false">IF(B69="","",SC_s*(1-0.2*(SC_xmb+(SC_n-1)*SC_xmt)*E69/(SC_n*SC_b))*SC_m*SC_n*SC_b*SQRT(2*g_)*E69^1.5)</f>
        <v/>
      </c>
      <c r="G69" s="32" t="str">
        <f aca="false">IF(B69="","",D69+F69)</f>
        <v/>
      </c>
      <c r="H69" s="25" t="str">
        <f aca="false">IF(B69="","",INDEX(Bang_F,MATCH(B69,Bang_Z,1))+(B69-INDEX(Bang_Z,MATCH(B69,Bang_Z,1)))*(INDEX(Bang_F,MATCH(B69,Bang_Z,1)+1)-INDEX(Bang_F,MATCH(B69,Bang_Z,1))))</f>
        <v/>
      </c>
      <c r="I69" s="25" t="str">
        <f aca="false">IF(B69="","",INDEX(Bang_W,MATCH(B69,Bang_Z,1))+(B69-INDEX(Bang_Z,MATCH(B69,Bang_Z,1)))*(INDEX(Bang_F,MATCH(B69,Bang_Z,1))+H69)/2)</f>
        <v/>
      </c>
      <c r="J69" s="32" t="str">
        <f aca="false">IF(B69="","",I69*1000000/dt_s)</f>
        <v/>
      </c>
      <c r="K69" s="32" t="str">
        <f aca="false">IF(B69="","",J69+G69/2)</f>
        <v/>
      </c>
      <c r="L69" s="32" t="str">
        <f aca="false">IF(B69="","",J69+D69/2)</f>
        <v/>
      </c>
    </row>
    <row r="70" customFormat="false" ht="15" hidden="false" customHeight="false" outlineLevel="0" collapsed="false">
      <c r="A70" s="46" t="str">
        <f aca="false">IF(B70="","",ROW()-6)</f>
        <v/>
      </c>
      <c r="B70" s="47" t="str">
        <f aca="false">IF(B69="","",IF(B69+Buoc_in&gt;Z_cuoi_in+0.000001,"",ROUND(B69+Buoc_in,2)))</f>
        <v/>
      </c>
      <c r="C70" s="24" t="str">
        <f aca="false">IF(B70="","",MAX(B70-TC_Z,0))</f>
        <v/>
      </c>
      <c r="D70" s="32" t="str">
        <f aca="false">IF(B70="","",TC_s*(1-0.2*(TC_xmb+(TC_n-1)*TC_xmt)*C70/(TC_n*TC_b))*TC_m*TC_n*TC_b*SQRT(2*g_)*C70^1.5)</f>
        <v/>
      </c>
      <c r="E70" s="24" t="str">
        <f aca="false">IF(B70="","",MAX(B70-SC_Z,0))</f>
        <v/>
      </c>
      <c r="F70" s="32" t="str">
        <f aca="false">IF(B70="","",SC_s*(1-0.2*(SC_xmb+(SC_n-1)*SC_xmt)*E70/(SC_n*SC_b))*SC_m*SC_n*SC_b*SQRT(2*g_)*E70^1.5)</f>
        <v/>
      </c>
      <c r="G70" s="32" t="str">
        <f aca="false">IF(B70="","",D70+F70)</f>
        <v/>
      </c>
      <c r="H70" s="25" t="str">
        <f aca="false">IF(B70="","",INDEX(Bang_F,MATCH(B70,Bang_Z,1))+(B70-INDEX(Bang_Z,MATCH(B70,Bang_Z,1)))*(INDEX(Bang_F,MATCH(B70,Bang_Z,1)+1)-INDEX(Bang_F,MATCH(B70,Bang_Z,1))))</f>
        <v/>
      </c>
      <c r="I70" s="25" t="str">
        <f aca="false">IF(B70="","",INDEX(Bang_W,MATCH(B70,Bang_Z,1))+(B70-INDEX(Bang_Z,MATCH(B70,Bang_Z,1)))*(INDEX(Bang_F,MATCH(B70,Bang_Z,1))+H70)/2)</f>
        <v/>
      </c>
      <c r="J70" s="32" t="str">
        <f aca="false">IF(B70="","",I70*1000000/dt_s)</f>
        <v/>
      </c>
      <c r="K70" s="32" t="str">
        <f aca="false">IF(B70="","",J70+G70/2)</f>
        <v/>
      </c>
      <c r="L70" s="32" t="str">
        <f aca="false">IF(B70="","",J70+D70/2)</f>
        <v/>
      </c>
    </row>
    <row r="71" customFormat="false" ht="15" hidden="false" customHeight="false" outlineLevel="0" collapsed="false">
      <c r="A71" s="46" t="str">
        <f aca="false">IF(B71="","",ROW()-6)</f>
        <v/>
      </c>
      <c r="B71" s="47" t="str">
        <f aca="false">IF(B70="","",IF(B70+Buoc_in&gt;Z_cuoi_in+0.000001,"",ROUND(B70+Buoc_in,2)))</f>
        <v/>
      </c>
      <c r="C71" s="24" t="str">
        <f aca="false">IF(B71="","",MAX(B71-TC_Z,0))</f>
        <v/>
      </c>
      <c r="D71" s="32" t="str">
        <f aca="false">IF(B71="","",TC_s*(1-0.2*(TC_xmb+(TC_n-1)*TC_xmt)*C71/(TC_n*TC_b))*TC_m*TC_n*TC_b*SQRT(2*g_)*C71^1.5)</f>
        <v/>
      </c>
      <c r="E71" s="24" t="str">
        <f aca="false">IF(B71="","",MAX(B71-SC_Z,0))</f>
        <v/>
      </c>
      <c r="F71" s="32" t="str">
        <f aca="false">IF(B71="","",SC_s*(1-0.2*(SC_xmb+(SC_n-1)*SC_xmt)*E71/(SC_n*SC_b))*SC_m*SC_n*SC_b*SQRT(2*g_)*E71^1.5)</f>
        <v/>
      </c>
      <c r="G71" s="32" t="str">
        <f aca="false">IF(B71="","",D71+F71)</f>
        <v/>
      </c>
      <c r="H71" s="25" t="str">
        <f aca="false">IF(B71="","",INDEX(Bang_F,MATCH(B71,Bang_Z,1))+(B71-INDEX(Bang_Z,MATCH(B71,Bang_Z,1)))*(INDEX(Bang_F,MATCH(B71,Bang_Z,1)+1)-INDEX(Bang_F,MATCH(B71,Bang_Z,1))))</f>
        <v/>
      </c>
      <c r="I71" s="25" t="str">
        <f aca="false">IF(B71="","",INDEX(Bang_W,MATCH(B71,Bang_Z,1))+(B71-INDEX(Bang_Z,MATCH(B71,Bang_Z,1)))*(INDEX(Bang_F,MATCH(B71,Bang_Z,1))+H71)/2)</f>
        <v/>
      </c>
      <c r="J71" s="32" t="str">
        <f aca="false">IF(B71="","",I71*1000000/dt_s)</f>
        <v/>
      </c>
      <c r="K71" s="32" t="str">
        <f aca="false">IF(B71="","",J71+G71/2)</f>
        <v/>
      </c>
      <c r="L71" s="32" t="str">
        <f aca="false">IF(B71="","",J71+D71/2)</f>
        <v/>
      </c>
    </row>
    <row r="72" customFormat="false" ht="15" hidden="false" customHeight="false" outlineLevel="0" collapsed="false">
      <c r="A72" s="46" t="str">
        <f aca="false">IF(B72="","",ROW()-6)</f>
        <v/>
      </c>
      <c r="B72" s="47" t="str">
        <f aca="false">IF(B71="","",IF(B71+Buoc_in&gt;Z_cuoi_in+0.000001,"",ROUND(B71+Buoc_in,2)))</f>
        <v/>
      </c>
      <c r="C72" s="24" t="str">
        <f aca="false">IF(B72="","",MAX(B72-TC_Z,0))</f>
        <v/>
      </c>
      <c r="D72" s="32" t="str">
        <f aca="false">IF(B72="","",TC_s*(1-0.2*(TC_xmb+(TC_n-1)*TC_xmt)*C72/(TC_n*TC_b))*TC_m*TC_n*TC_b*SQRT(2*g_)*C72^1.5)</f>
        <v/>
      </c>
      <c r="E72" s="24" t="str">
        <f aca="false">IF(B72="","",MAX(B72-SC_Z,0))</f>
        <v/>
      </c>
      <c r="F72" s="32" t="str">
        <f aca="false">IF(B72="","",SC_s*(1-0.2*(SC_xmb+(SC_n-1)*SC_xmt)*E72/(SC_n*SC_b))*SC_m*SC_n*SC_b*SQRT(2*g_)*E72^1.5)</f>
        <v/>
      </c>
      <c r="G72" s="32" t="str">
        <f aca="false">IF(B72="","",D72+F72)</f>
        <v/>
      </c>
      <c r="H72" s="25" t="str">
        <f aca="false">IF(B72="","",INDEX(Bang_F,MATCH(B72,Bang_Z,1))+(B72-INDEX(Bang_Z,MATCH(B72,Bang_Z,1)))*(INDEX(Bang_F,MATCH(B72,Bang_Z,1)+1)-INDEX(Bang_F,MATCH(B72,Bang_Z,1))))</f>
        <v/>
      </c>
      <c r="I72" s="25" t="str">
        <f aca="false">IF(B72="","",INDEX(Bang_W,MATCH(B72,Bang_Z,1))+(B72-INDEX(Bang_Z,MATCH(B72,Bang_Z,1)))*(INDEX(Bang_F,MATCH(B72,Bang_Z,1))+H72)/2)</f>
        <v/>
      </c>
      <c r="J72" s="32" t="str">
        <f aca="false">IF(B72="","",I72*1000000/dt_s)</f>
        <v/>
      </c>
      <c r="K72" s="32" t="str">
        <f aca="false">IF(B72="","",J72+G72/2)</f>
        <v/>
      </c>
      <c r="L72" s="32" t="str">
        <f aca="false">IF(B72="","",J72+D72/2)</f>
        <v/>
      </c>
    </row>
    <row r="73" customFormat="false" ht="15" hidden="false" customHeight="false" outlineLevel="0" collapsed="false">
      <c r="A73" s="46" t="str">
        <f aca="false">IF(B73="","",ROW()-6)</f>
        <v/>
      </c>
      <c r="B73" s="47" t="str">
        <f aca="false">IF(B72="","",IF(B72+Buoc_in&gt;Z_cuoi_in+0.000001,"",ROUND(B72+Buoc_in,2)))</f>
        <v/>
      </c>
      <c r="C73" s="24" t="str">
        <f aca="false">IF(B73="","",MAX(B73-TC_Z,0))</f>
        <v/>
      </c>
      <c r="D73" s="32" t="str">
        <f aca="false">IF(B73="","",TC_s*(1-0.2*(TC_xmb+(TC_n-1)*TC_xmt)*C73/(TC_n*TC_b))*TC_m*TC_n*TC_b*SQRT(2*g_)*C73^1.5)</f>
        <v/>
      </c>
      <c r="E73" s="24" t="str">
        <f aca="false">IF(B73="","",MAX(B73-SC_Z,0))</f>
        <v/>
      </c>
      <c r="F73" s="32" t="str">
        <f aca="false">IF(B73="","",SC_s*(1-0.2*(SC_xmb+(SC_n-1)*SC_xmt)*E73/(SC_n*SC_b))*SC_m*SC_n*SC_b*SQRT(2*g_)*E73^1.5)</f>
        <v/>
      </c>
      <c r="G73" s="32" t="str">
        <f aca="false">IF(B73="","",D73+F73)</f>
        <v/>
      </c>
      <c r="H73" s="25" t="str">
        <f aca="false">IF(B73="","",INDEX(Bang_F,MATCH(B73,Bang_Z,1))+(B73-INDEX(Bang_Z,MATCH(B73,Bang_Z,1)))*(INDEX(Bang_F,MATCH(B73,Bang_Z,1)+1)-INDEX(Bang_F,MATCH(B73,Bang_Z,1))))</f>
        <v/>
      </c>
      <c r="I73" s="25" t="str">
        <f aca="false">IF(B73="","",INDEX(Bang_W,MATCH(B73,Bang_Z,1))+(B73-INDEX(Bang_Z,MATCH(B73,Bang_Z,1)))*(INDEX(Bang_F,MATCH(B73,Bang_Z,1))+H73)/2)</f>
        <v/>
      </c>
      <c r="J73" s="32" t="str">
        <f aca="false">IF(B73="","",I73*1000000/dt_s)</f>
        <v/>
      </c>
      <c r="K73" s="32" t="str">
        <f aca="false">IF(B73="","",J73+G73/2)</f>
        <v/>
      </c>
      <c r="L73" s="32" t="str">
        <f aca="false">IF(B73="","",J73+D73/2)</f>
        <v/>
      </c>
    </row>
    <row r="74" customFormat="false" ht="15" hidden="false" customHeight="false" outlineLevel="0" collapsed="false">
      <c r="A74" s="46" t="str">
        <f aca="false">IF(B74="","",ROW()-6)</f>
        <v/>
      </c>
      <c r="B74" s="47" t="str">
        <f aca="false">IF(B73="","",IF(B73+Buoc_in&gt;Z_cuoi_in+0.000001,"",ROUND(B73+Buoc_in,2)))</f>
        <v/>
      </c>
      <c r="C74" s="24" t="str">
        <f aca="false">IF(B74="","",MAX(B74-TC_Z,0))</f>
        <v/>
      </c>
      <c r="D74" s="32" t="str">
        <f aca="false">IF(B74="","",TC_s*(1-0.2*(TC_xmb+(TC_n-1)*TC_xmt)*C74/(TC_n*TC_b))*TC_m*TC_n*TC_b*SQRT(2*g_)*C74^1.5)</f>
        <v/>
      </c>
      <c r="E74" s="24" t="str">
        <f aca="false">IF(B74="","",MAX(B74-SC_Z,0))</f>
        <v/>
      </c>
      <c r="F74" s="32" t="str">
        <f aca="false">IF(B74="","",SC_s*(1-0.2*(SC_xmb+(SC_n-1)*SC_xmt)*E74/(SC_n*SC_b))*SC_m*SC_n*SC_b*SQRT(2*g_)*E74^1.5)</f>
        <v/>
      </c>
      <c r="G74" s="32" t="str">
        <f aca="false">IF(B74="","",D74+F74)</f>
        <v/>
      </c>
      <c r="H74" s="25" t="str">
        <f aca="false">IF(B74="","",INDEX(Bang_F,MATCH(B74,Bang_Z,1))+(B74-INDEX(Bang_Z,MATCH(B74,Bang_Z,1)))*(INDEX(Bang_F,MATCH(B74,Bang_Z,1)+1)-INDEX(Bang_F,MATCH(B74,Bang_Z,1))))</f>
        <v/>
      </c>
      <c r="I74" s="25" t="str">
        <f aca="false">IF(B74="","",INDEX(Bang_W,MATCH(B74,Bang_Z,1))+(B74-INDEX(Bang_Z,MATCH(B74,Bang_Z,1)))*(INDEX(Bang_F,MATCH(B74,Bang_Z,1))+H74)/2)</f>
        <v/>
      </c>
      <c r="J74" s="32" t="str">
        <f aca="false">IF(B74="","",I74*1000000/dt_s)</f>
        <v/>
      </c>
      <c r="K74" s="32" t="str">
        <f aca="false">IF(B74="","",J74+G74/2)</f>
        <v/>
      </c>
      <c r="L74" s="32" t="str">
        <f aca="false">IF(B74="","",J74+D74/2)</f>
        <v/>
      </c>
    </row>
    <row r="75" customFormat="false" ht="15" hidden="false" customHeight="false" outlineLevel="0" collapsed="false">
      <c r="A75" s="46" t="str">
        <f aca="false">IF(B75="","",ROW()-6)</f>
        <v/>
      </c>
      <c r="B75" s="47" t="str">
        <f aca="false">IF(B74="","",IF(B74+Buoc_in&gt;Z_cuoi_in+0.000001,"",ROUND(B74+Buoc_in,2)))</f>
        <v/>
      </c>
      <c r="C75" s="24" t="str">
        <f aca="false">IF(B75="","",MAX(B75-TC_Z,0))</f>
        <v/>
      </c>
      <c r="D75" s="32" t="str">
        <f aca="false">IF(B75="","",TC_s*(1-0.2*(TC_xmb+(TC_n-1)*TC_xmt)*C75/(TC_n*TC_b))*TC_m*TC_n*TC_b*SQRT(2*g_)*C75^1.5)</f>
        <v/>
      </c>
      <c r="E75" s="24" t="str">
        <f aca="false">IF(B75="","",MAX(B75-SC_Z,0))</f>
        <v/>
      </c>
      <c r="F75" s="32" t="str">
        <f aca="false">IF(B75="","",SC_s*(1-0.2*(SC_xmb+(SC_n-1)*SC_xmt)*E75/(SC_n*SC_b))*SC_m*SC_n*SC_b*SQRT(2*g_)*E75^1.5)</f>
        <v/>
      </c>
      <c r="G75" s="32" t="str">
        <f aca="false">IF(B75="","",D75+F75)</f>
        <v/>
      </c>
      <c r="H75" s="25" t="str">
        <f aca="false">IF(B75="","",INDEX(Bang_F,MATCH(B75,Bang_Z,1))+(B75-INDEX(Bang_Z,MATCH(B75,Bang_Z,1)))*(INDEX(Bang_F,MATCH(B75,Bang_Z,1)+1)-INDEX(Bang_F,MATCH(B75,Bang_Z,1))))</f>
        <v/>
      </c>
      <c r="I75" s="25" t="str">
        <f aca="false">IF(B75="","",INDEX(Bang_W,MATCH(B75,Bang_Z,1))+(B75-INDEX(Bang_Z,MATCH(B75,Bang_Z,1)))*(INDEX(Bang_F,MATCH(B75,Bang_Z,1))+H75)/2)</f>
        <v/>
      </c>
      <c r="J75" s="32" t="str">
        <f aca="false">IF(B75="","",I75*1000000/dt_s)</f>
        <v/>
      </c>
      <c r="K75" s="32" t="str">
        <f aca="false">IF(B75="","",J75+G75/2)</f>
        <v/>
      </c>
      <c r="L75" s="32" t="str">
        <f aca="false">IF(B75="","",J75+D75/2)</f>
        <v/>
      </c>
    </row>
    <row r="76" customFormat="false" ht="15" hidden="false" customHeight="false" outlineLevel="0" collapsed="false">
      <c r="A76" s="46" t="str">
        <f aca="false">IF(B76="","",ROW()-6)</f>
        <v/>
      </c>
      <c r="B76" s="47" t="str">
        <f aca="false">IF(B75="","",IF(B75+Buoc_in&gt;Z_cuoi_in+0.000001,"",ROUND(B75+Buoc_in,2)))</f>
        <v/>
      </c>
      <c r="C76" s="24" t="str">
        <f aca="false">IF(B76="","",MAX(B76-TC_Z,0))</f>
        <v/>
      </c>
      <c r="D76" s="32" t="str">
        <f aca="false">IF(B76="","",TC_s*(1-0.2*(TC_xmb+(TC_n-1)*TC_xmt)*C76/(TC_n*TC_b))*TC_m*TC_n*TC_b*SQRT(2*g_)*C76^1.5)</f>
        <v/>
      </c>
      <c r="E76" s="24" t="str">
        <f aca="false">IF(B76="","",MAX(B76-SC_Z,0))</f>
        <v/>
      </c>
      <c r="F76" s="32" t="str">
        <f aca="false">IF(B76="","",SC_s*(1-0.2*(SC_xmb+(SC_n-1)*SC_xmt)*E76/(SC_n*SC_b))*SC_m*SC_n*SC_b*SQRT(2*g_)*E76^1.5)</f>
        <v/>
      </c>
      <c r="G76" s="32" t="str">
        <f aca="false">IF(B76="","",D76+F76)</f>
        <v/>
      </c>
      <c r="H76" s="25" t="str">
        <f aca="false">IF(B76="","",INDEX(Bang_F,MATCH(B76,Bang_Z,1))+(B76-INDEX(Bang_Z,MATCH(B76,Bang_Z,1)))*(INDEX(Bang_F,MATCH(B76,Bang_Z,1)+1)-INDEX(Bang_F,MATCH(B76,Bang_Z,1))))</f>
        <v/>
      </c>
      <c r="I76" s="25" t="str">
        <f aca="false">IF(B76="","",INDEX(Bang_W,MATCH(B76,Bang_Z,1))+(B76-INDEX(Bang_Z,MATCH(B76,Bang_Z,1)))*(INDEX(Bang_F,MATCH(B76,Bang_Z,1))+H76)/2)</f>
        <v/>
      </c>
      <c r="J76" s="32" t="str">
        <f aca="false">IF(B76="","",I76*1000000/dt_s)</f>
        <v/>
      </c>
      <c r="K76" s="32" t="str">
        <f aca="false">IF(B76="","",J76+G76/2)</f>
        <v/>
      </c>
      <c r="L76" s="32" t="str">
        <f aca="false">IF(B76="","",J76+D76/2)</f>
        <v/>
      </c>
    </row>
    <row r="77" customFormat="false" ht="15" hidden="false" customHeight="false" outlineLevel="0" collapsed="false">
      <c r="A77" s="46" t="str">
        <f aca="false">IF(B77="","",ROW()-6)</f>
        <v/>
      </c>
      <c r="B77" s="47" t="str">
        <f aca="false">IF(B76="","",IF(B76+Buoc_in&gt;Z_cuoi_in+0.000001,"",ROUND(B76+Buoc_in,2)))</f>
        <v/>
      </c>
      <c r="C77" s="24" t="str">
        <f aca="false">IF(B77="","",MAX(B77-TC_Z,0))</f>
        <v/>
      </c>
      <c r="D77" s="32" t="str">
        <f aca="false">IF(B77="","",TC_s*(1-0.2*(TC_xmb+(TC_n-1)*TC_xmt)*C77/(TC_n*TC_b))*TC_m*TC_n*TC_b*SQRT(2*g_)*C77^1.5)</f>
        <v/>
      </c>
      <c r="E77" s="24" t="str">
        <f aca="false">IF(B77="","",MAX(B77-SC_Z,0))</f>
        <v/>
      </c>
      <c r="F77" s="32" t="str">
        <f aca="false">IF(B77="","",SC_s*(1-0.2*(SC_xmb+(SC_n-1)*SC_xmt)*E77/(SC_n*SC_b))*SC_m*SC_n*SC_b*SQRT(2*g_)*E77^1.5)</f>
        <v/>
      </c>
      <c r="G77" s="32" t="str">
        <f aca="false">IF(B77="","",D77+F77)</f>
        <v/>
      </c>
      <c r="H77" s="25" t="str">
        <f aca="false">IF(B77="","",INDEX(Bang_F,MATCH(B77,Bang_Z,1))+(B77-INDEX(Bang_Z,MATCH(B77,Bang_Z,1)))*(INDEX(Bang_F,MATCH(B77,Bang_Z,1)+1)-INDEX(Bang_F,MATCH(B77,Bang_Z,1))))</f>
        <v/>
      </c>
      <c r="I77" s="25" t="str">
        <f aca="false">IF(B77="","",INDEX(Bang_W,MATCH(B77,Bang_Z,1))+(B77-INDEX(Bang_Z,MATCH(B77,Bang_Z,1)))*(INDEX(Bang_F,MATCH(B77,Bang_Z,1))+H77)/2)</f>
        <v/>
      </c>
      <c r="J77" s="32" t="str">
        <f aca="false">IF(B77="","",I77*1000000/dt_s)</f>
        <v/>
      </c>
      <c r="K77" s="32" t="str">
        <f aca="false">IF(B77="","",J77+G77/2)</f>
        <v/>
      </c>
      <c r="L77" s="32" t="str">
        <f aca="false">IF(B77="","",J77+D77/2)</f>
        <v/>
      </c>
    </row>
    <row r="78" customFormat="false" ht="15" hidden="false" customHeight="false" outlineLevel="0" collapsed="false">
      <c r="A78" s="46" t="str">
        <f aca="false">IF(B78="","",ROW()-6)</f>
        <v/>
      </c>
      <c r="B78" s="47" t="str">
        <f aca="false">IF(B77="","",IF(B77+Buoc_in&gt;Z_cuoi_in+0.000001,"",ROUND(B77+Buoc_in,2)))</f>
        <v/>
      </c>
      <c r="C78" s="24" t="str">
        <f aca="false">IF(B78="","",MAX(B78-TC_Z,0))</f>
        <v/>
      </c>
      <c r="D78" s="32" t="str">
        <f aca="false">IF(B78="","",TC_s*(1-0.2*(TC_xmb+(TC_n-1)*TC_xmt)*C78/(TC_n*TC_b))*TC_m*TC_n*TC_b*SQRT(2*g_)*C78^1.5)</f>
        <v/>
      </c>
      <c r="E78" s="24" t="str">
        <f aca="false">IF(B78="","",MAX(B78-SC_Z,0))</f>
        <v/>
      </c>
      <c r="F78" s="32" t="str">
        <f aca="false">IF(B78="","",SC_s*(1-0.2*(SC_xmb+(SC_n-1)*SC_xmt)*E78/(SC_n*SC_b))*SC_m*SC_n*SC_b*SQRT(2*g_)*E78^1.5)</f>
        <v/>
      </c>
      <c r="G78" s="32" t="str">
        <f aca="false">IF(B78="","",D78+F78)</f>
        <v/>
      </c>
      <c r="H78" s="25" t="str">
        <f aca="false">IF(B78="","",INDEX(Bang_F,MATCH(B78,Bang_Z,1))+(B78-INDEX(Bang_Z,MATCH(B78,Bang_Z,1)))*(INDEX(Bang_F,MATCH(B78,Bang_Z,1)+1)-INDEX(Bang_F,MATCH(B78,Bang_Z,1))))</f>
        <v/>
      </c>
      <c r="I78" s="25" t="str">
        <f aca="false">IF(B78="","",INDEX(Bang_W,MATCH(B78,Bang_Z,1))+(B78-INDEX(Bang_Z,MATCH(B78,Bang_Z,1)))*(INDEX(Bang_F,MATCH(B78,Bang_Z,1))+H78)/2)</f>
        <v/>
      </c>
      <c r="J78" s="32" t="str">
        <f aca="false">IF(B78="","",I78*1000000/dt_s)</f>
        <v/>
      </c>
      <c r="K78" s="32" t="str">
        <f aca="false">IF(B78="","",J78+G78/2)</f>
        <v/>
      </c>
      <c r="L78" s="32" t="str">
        <f aca="false">IF(B78="","",J78+D78/2)</f>
        <v/>
      </c>
    </row>
    <row r="79" customFormat="false" ht="15" hidden="false" customHeight="false" outlineLevel="0" collapsed="false">
      <c r="A79" s="46" t="str">
        <f aca="false">IF(B79="","",ROW()-6)</f>
        <v/>
      </c>
      <c r="B79" s="47" t="str">
        <f aca="false">IF(B78="","",IF(B78+Buoc_in&gt;Z_cuoi_in+0.000001,"",ROUND(B78+Buoc_in,2)))</f>
        <v/>
      </c>
      <c r="C79" s="24" t="str">
        <f aca="false">IF(B79="","",MAX(B79-TC_Z,0))</f>
        <v/>
      </c>
      <c r="D79" s="32" t="str">
        <f aca="false">IF(B79="","",TC_s*(1-0.2*(TC_xmb+(TC_n-1)*TC_xmt)*C79/(TC_n*TC_b))*TC_m*TC_n*TC_b*SQRT(2*g_)*C79^1.5)</f>
        <v/>
      </c>
      <c r="E79" s="24" t="str">
        <f aca="false">IF(B79="","",MAX(B79-SC_Z,0))</f>
        <v/>
      </c>
      <c r="F79" s="32" t="str">
        <f aca="false">IF(B79="","",SC_s*(1-0.2*(SC_xmb+(SC_n-1)*SC_xmt)*E79/(SC_n*SC_b))*SC_m*SC_n*SC_b*SQRT(2*g_)*E79^1.5)</f>
        <v/>
      </c>
      <c r="G79" s="32" t="str">
        <f aca="false">IF(B79="","",D79+F79)</f>
        <v/>
      </c>
      <c r="H79" s="25" t="str">
        <f aca="false">IF(B79="","",INDEX(Bang_F,MATCH(B79,Bang_Z,1))+(B79-INDEX(Bang_Z,MATCH(B79,Bang_Z,1)))*(INDEX(Bang_F,MATCH(B79,Bang_Z,1)+1)-INDEX(Bang_F,MATCH(B79,Bang_Z,1))))</f>
        <v/>
      </c>
      <c r="I79" s="25" t="str">
        <f aca="false">IF(B79="","",INDEX(Bang_W,MATCH(B79,Bang_Z,1))+(B79-INDEX(Bang_Z,MATCH(B79,Bang_Z,1)))*(INDEX(Bang_F,MATCH(B79,Bang_Z,1))+H79)/2)</f>
        <v/>
      </c>
      <c r="J79" s="32" t="str">
        <f aca="false">IF(B79="","",I79*1000000/dt_s)</f>
        <v/>
      </c>
      <c r="K79" s="32" t="str">
        <f aca="false">IF(B79="","",J79+G79/2)</f>
        <v/>
      </c>
      <c r="L79" s="32" t="str">
        <f aca="false">IF(B79="","",J79+D79/2)</f>
        <v/>
      </c>
    </row>
    <row r="80" customFormat="false" ht="15" hidden="false" customHeight="false" outlineLevel="0" collapsed="false">
      <c r="A80" s="46" t="str">
        <f aca="false">IF(B80="","",ROW()-6)</f>
        <v/>
      </c>
      <c r="B80" s="47" t="str">
        <f aca="false">IF(B79="","",IF(B79+Buoc_in&gt;Z_cuoi_in+0.000001,"",ROUND(B79+Buoc_in,2)))</f>
        <v/>
      </c>
      <c r="C80" s="24" t="str">
        <f aca="false">IF(B80="","",MAX(B80-TC_Z,0))</f>
        <v/>
      </c>
      <c r="D80" s="32" t="str">
        <f aca="false">IF(B80="","",TC_s*(1-0.2*(TC_xmb+(TC_n-1)*TC_xmt)*C80/(TC_n*TC_b))*TC_m*TC_n*TC_b*SQRT(2*g_)*C80^1.5)</f>
        <v/>
      </c>
      <c r="E80" s="24" t="str">
        <f aca="false">IF(B80="","",MAX(B80-SC_Z,0))</f>
        <v/>
      </c>
      <c r="F80" s="32" t="str">
        <f aca="false">IF(B80="","",SC_s*(1-0.2*(SC_xmb+(SC_n-1)*SC_xmt)*E80/(SC_n*SC_b))*SC_m*SC_n*SC_b*SQRT(2*g_)*E80^1.5)</f>
        <v/>
      </c>
      <c r="G80" s="32" t="str">
        <f aca="false">IF(B80="","",D80+F80)</f>
        <v/>
      </c>
      <c r="H80" s="25" t="str">
        <f aca="false">IF(B80="","",INDEX(Bang_F,MATCH(B80,Bang_Z,1))+(B80-INDEX(Bang_Z,MATCH(B80,Bang_Z,1)))*(INDEX(Bang_F,MATCH(B80,Bang_Z,1)+1)-INDEX(Bang_F,MATCH(B80,Bang_Z,1))))</f>
        <v/>
      </c>
      <c r="I80" s="25" t="str">
        <f aca="false">IF(B80="","",INDEX(Bang_W,MATCH(B80,Bang_Z,1))+(B80-INDEX(Bang_Z,MATCH(B80,Bang_Z,1)))*(INDEX(Bang_F,MATCH(B80,Bang_Z,1))+H80)/2)</f>
        <v/>
      </c>
      <c r="J80" s="32" t="str">
        <f aca="false">IF(B80="","",I80*1000000/dt_s)</f>
        <v/>
      </c>
      <c r="K80" s="32" t="str">
        <f aca="false">IF(B80="","",J80+G80/2)</f>
        <v/>
      </c>
      <c r="L80" s="32" t="str">
        <f aca="false">IF(B80="","",J80+D80/2)</f>
        <v/>
      </c>
    </row>
    <row r="81" customFormat="false" ht="15" hidden="false" customHeight="false" outlineLevel="0" collapsed="false">
      <c r="A81" s="46" t="str">
        <f aca="false">IF(B81="","",ROW()-6)</f>
        <v/>
      </c>
      <c r="B81" s="47" t="str">
        <f aca="false">IF(B80="","",IF(B80+Buoc_in&gt;Z_cuoi_in+0.000001,"",ROUND(B80+Buoc_in,2)))</f>
        <v/>
      </c>
      <c r="C81" s="24" t="str">
        <f aca="false">IF(B81="","",MAX(B81-TC_Z,0))</f>
        <v/>
      </c>
      <c r="D81" s="32" t="str">
        <f aca="false">IF(B81="","",TC_s*(1-0.2*(TC_xmb+(TC_n-1)*TC_xmt)*C81/(TC_n*TC_b))*TC_m*TC_n*TC_b*SQRT(2*g_)*C81^1.5)</f>
        <v/>
      </c>
      <c r="E81" s="24" t="str">
        <f aca="false">IF(B81="","",MAX(B81-SC_Z,0))</f>
        <v/>
      </c>
      <c r="F81" s="32" t="str">
        <f aca="false">IF(B81="","",SC_s*(1-0.2*(SC_xmb+(SC_n-1)*SC_xmt)*E81/(SC_n*SC_b))*SC_m*SC_n*SC_b*SQRT(2*g_)*E81^1.5)</f>
        <v/>
      </c>
      <c r="G81" s="32" t="str">
        <f aca="false">IF(B81="","",D81+F81)</f>
        <v/>
      </c>
      <c r="H81" s="25" t="str">
        <f aca="false">IF(B81="","",INDEX(Bang_F,MATCH(B81,Bang_Z,1))+(B81-INDEX(Bang_Z,MATCH(B81,Bang_Z,1)))*(INDEX(Bang_F,MATCH(B81,Bang_Z,1)+1)-INDEX(Bang_F,MATCH(B81,Bang_Z,1))))</f>
        <v/>
      </c>
      <c r="I81" s="25" t="str">
        <f aca="false">IF(B81="","",INDEX(Bang_W,MATCH(B81,Bang_Z,1))+(B81-INDEX(Bang_Z,MATCH(B81,Bang_Z,1)))*(INDEX(Bang_F,MATCH(B81,Bang_Z,1))+H81)/2)</f>
        <v/>
      </c>
      <c r="J81" s="32" t="str">
        <f aca="false">IF(B81="","",I81*1000000/dt_s)</f>
        <v/>
      </c>
      <c r="K81" s="32" t="str">
        <f aca="false">IF(B81="","",J81+G81/2)</f>
        <v/>
      </c>
      <c r="L81" s="32" t="str">
        <f aca="false">IF(B81="","",J81+D81/2)</f>
        <v/>
      </c>
    </row>
    <row r="82" customFormat="false" ht="15" hidden="false" customHeight="false" outlineLevel="0" collapsed="false">
      <c r="A82" s="46" t="str">
        <f aca="false">IF(B82="","",ROW()-6)</f>
        <v/>
      </c>
      <c r="B82" s="47" t="str">
        <f aca="false">IF(B81="","",IF(B81+Buoc_in&gt;Z_cuoi_in+0.000001,"",ROUND(B81+Buoc_in,2)))</f>
        <v/>
      </c>
      <c r="C82" s="24" t="str">
        <f aca="false">IF(B82="","",MAX(B82-TC_Z,0))</f>
        <v/>
      </c>
      <c r="D82" s="32" t="str">
        <f aca="false">IF(B82="","",TC_s*(1-0.2*(TC_xmb+(TC_n-1)*TC_xmt)*C82/(TC_n*TC_b))*TC_m*TC_n*TC_b*SQRT(2*g_)*C82^1.5)</f>
        <v/>
      </c>
      <c r="E82" s="24" t="str">
        <f aca="false">IF(B82="","",MAX(B82-SC_Z,0))</f>
        <v/>
      </c>
      <c r="F82" s="32" t="str">
        <f aca="false">IF(B82="","",SC_s*(1-0.2*(SC_xmb+(SC_n-1)*SC_xmt)*E82/(SC_n*SC_b))*SC_m*SC_n*SC_b*SQRT(2*g_)*E82^1.5)</f>
        <v/>
      </c>
      <c r="G82" s="32" t="str">
        <f aca="false">IF(B82="","",D82+F82)</f>
        <v/>
      </c>
      <c r="H82" s="25" t="str">
        <f aca="false">IF(B82="","",INDEX(Bang_F,MATCH(B82,Bang_Z,1))+(B82-INDEX(Bang_Z,MATCH(B82,Bang_Z,1)))*(INDEX(Bang_F,MATCH(B82,Bang_Z,1)+1)-INDEX(Bang_F,MATCH(B82,Bang_Z,1))))</f>
        <v/>
      </c>
      <c r="I82" s="25" t="str">
        <f aca="false">IF(B82="","",INDEX(Bang_W,MATCH(B82,Bang_Z,1))+(B82-INDEX(Bang_Z,MATCH(B82,Bang_Z,1)))*(INDEX(Bang_F,MATCH(B82,Bang_Z,1))+H82)/2)</f>
        <v/>
      </c>
      <c r="J82" s="32" t="str">
        <f aca="false">IF(B82="","",I82*1000000/dt_s)</f>
        <v/>
      </c>
      <c r="K82" s="32" t="str">
        <f aca="false">IF(B82="","",J82+G82/2)</f>
        <v/>
      </c>
      <c r="L82" s="32" t="str">
        <f aca="false">IF(B82="","",J82+D82/2)</f>
        <v/>
      </c>
    </row>
    <row r="83" customFormat="false" ht="15" hidden="false" customHeight="false" outlineLevel="0" collapsed="false">
      <c r="A83" s="46" t="str">
        <f aca="false">IF(B83="","",ROW()-6)</f>
        <v/>
      </c>
      <c r="B83" s="47" t="str">
        <f aca="false">IF(B82="","",IF(B82+Buoc_in&gt;Z_cuoi_in+0.000001,"",ROUND(B82+Buoc_in,2)))</f>
        <v/>
      </c>
      <c r="C83" s="24" t="str">
        <f aca="false">IF(B83="","",MAX(B83-TC_Z,0))</f>
        <v/>
      </c>
      <c r="D83" s="32" t="str">
        <f aca="false">IF(B83="","",TC_s*(1-0.2*(TC_xmb+(TC_n-1)*TC_xmt)*C83/(TC_n*TC_b))*TC_m*TC_n*TC_b*SQRT(2*g_)*C83^1.5)</f>
        <v/>
      </c>
      <c r="E83" s="24" t="str">
        <f aca="false">IF(B83="","",MAX(B83-SC_Z,0))</f>
        <v/>
      </c>
      <c r="F83" s="32" t="str">
        <f aca="false">IF(B83="","",SC_s*(1-0.2*(SC_xmb+(SC_n-1)*SC_xmt)*E83/(SC_n*SC_b))*SC_m*SC_n*SC_b*SQRT(2*g_)*E83^1.5)</f>
        <v/>
      </c>
      <c r="G83" s="32" t="str">
        <f aca="false">IF(B83="","",D83+F83)</f>
        <v/>
      </c>
      <c r="H83" s="25" t="str">
        <f aca="false">IF(B83="","",INDEX(Bang_F,MATCH(B83,Bang_Z,1))+(B83-INDEX(Bang_Z,MATCH(B83,Bang_Z,1)))*(INDEX(Bang_F,MATCH(B83,Bang_Z,1)+1)-INDEX(Bang_F,MATCH(B83,Bang_Z,1))))</f>
        <v/>
      </c>
      <c r="I83" s="25" t="str">
        <f aca="false">IF(B83="","",INDEX(Bang_W,MATCH(B83,Bang_Z,1))+(B83-INDEX(Bang_Z,MATCH(B83,Bang_Z,1)))*(INDEX(Bang_F,MATCH(B83,Bang_Z,1))+H83)/2)</f>
        <v/>
      </c>
      <c r="J83" s="32" t="str">
        <f aca="false">IF(B83="","",I83*1000000/dt_s)</f>
        <v/>
      </c>
      <c r="K83" s="32" t="str">
        <f aca="false">IF(B83="","",J83+G83/2)</f>
        <v/>
      </c>
      <c r="L83" s="32" t="str">
        <f aca="false">IF(B83="","",J83+D83/2)</f>
        <v/>
      </c>
    </row>
    <row r="84" customFormat="false" ht="15" hidden="false" customHeight="false" outlineLevel="0" collapsed="false">
      <c r="A84" s="46" t="str">
        <f aca="false">IF(B84="","",ROW()-6)</f>
        <v/>
      </c>
      <c r="B84" s="47" t="str">
        <f aca="false">IF(B83="","",IF(B83+Buoc_in&gt;Z_cuoi_in+0.000001,"",ROUND(B83+Buoc_in,2)))</f>
        <v/>
      </c>
      <c r="C84" s="24" t="str">
        <f aca="false">IF(B84="","",MAX(B84-TC_Z,0))</f>
        <v/>
      </c>
      <c r="D84" s="32" t="str">
        <f aca="false">IF(B84="","",TC_s*(1-0.2*(TC_xmb+(TC_n-1)*TC_xmt)*C84/(TC_n*TC_b))*TC_m*TC_n*TC_b*SQRT(2*g_)*C84^1.5)</f>
        <v/>
      </c>
      <c r="E84" s="24" t="str">
        <f aca="false">IF(B84="","",MAX(B84-SC_Z,0))</f>
        <v/>
      </c>
      <c r="F84" s="32" t="str">
        <f aca="false">IF(B84="","",SC_s*(1-0.2*(SC_xmb+(SC_n-1)*SC_xmt)*E84/(SC_n*SC_b))*SC_m*SC_n*SC_b*SQRT(2*g_)*E84^1.5)</f>
        <v/>
      </c>
      <c r="G84" s="32" t="str">
        <f aca="false">IF(B84="","",D84+F84)</f>
        <v/>
      </c>
      <c r="H84" s="25" t="str">
        <f aca="false">IF(B84="","",INDEX(Bang_F,MATCH(B84,Bang_Z,1))+(B84-INDEX(Bang_Z,MATCH(B84,Bang_Z,1)))*(INDEX(Bang_F,MATCH(B84,Bang_Z,1)+1)-INDEX(Bang_F,MATCH(B84,Bang_Z,1))))</f>
        <v/>
      </c>
      <c r="I84" s="25" t="str">
        <f aca="false">IF(B84="","",INDEX(Bang_W,MATCH(B84,Bang_Z,1))+(B84-INDEX(Bang_Z,MATCH(B84,Bang_Z,1)))*(INDEX(Bang_F,MATCH(B84,Bang_Z,1))+H84)/2)</f>
        <v/>
      </c>
      <c r="J84" s="32" t="str">
        <f aca="false">IF(B84="","",I84*1000000/dt_s)</f>
        <v/>
      </c>
      <c r="K84" s="32" t="str">
        <f aca="false">IF(B84="","",J84+G84/2)</f>
        <v/>
      </c>
      <c r="L84" s="32" t="str">
        <f aca="false">IF(B84="","",J84+D84/2)</f>
        <v/>
      </c>
    </row>
    <row r="85" customFormat="false" ht="15" hidden="false" customHeight="false" outlineLevel="0" collapsed="false">
      <c r="A85" s="46" t="str">
        <f aca="false">IF(B85="","",ROW()-6)</f>
        <v/>
      </c>
      <c r="B85" s="47" t="str">
        <f aca="false">IF(B84="","",IF(B84+Buoc_in&gt;Z_cuoi_in+0.000001,"",ROUND(B84+Buoc_in,2)))</f>
        <v/>
      </c>
      <c r="C85" s="24" t="str">
        <f aca="false">IF(B85="","",MAX(B85-TC_Z,0))</f>
        <v/>
      </c>
      <c r="D85" s="32" t="str">
        <f aca="false">IF(B85="","",TC_s*(1-0.2*(TC_xmb+(TC_n-1)*TC_xmt)*C85/(TC_n*TC_b))*TC_m*TC_n*TC_b*SQRT(2*g_)*C85^1.5)</f>
        <v/>
      </c>
      <c r="E85" s="24" t="str">
        <f aca="false">IF(B85="","",MAX(B85-SC_Z,0))</f>
        <v/>
      </c>
      <c r="F85" s="32" t="str">
        <f aca="false">IF(B85="","",SC_s*(1-0.2*(SC_xmb+(SC_n-1)*SC_xmt)*E85/(SC_n*SC_b))*SC_m*SC_n*SC_b*SQRT(2*g_)*E85^1.5)</f>
        <v/>
      </c>
      <c r="G85" s="32" t="str">
        <f aca="false">IF(B85="","",D85+F85)</f>
        <v/>
      </c>
      <c r="H85" s="25" t="str">
        <f aca="false">IF(B85="","",INDEX(Bang_F,MATCH(B85,Bang_Z,1))+(B85-INDEX(Bang_Z,MATCH(B85,Bang_Z,1)))*(INDEX(Bang_F,MATCH(B85,Bang_Z,1)+1)-INDEX(Bang_F,MATCH(B85,Bang_Z,1))))</f>
        <v/>
      </c>
      <c r="I85" s="25" t="str">
        <f aca="false">IF(B85="","",INDEX(Bang_W,MATCH(B85,Bang_Z,1))+(B85-INDEX(Bang_Z,MATCH(B85,Bang_Z,1)))*(INDEX(Bang_F,MATCH(B85,Bang_Z,1))+H85)/2)</f>
        <v/>
      </c>
      <c r="J85" s="32" t="str">
        <f aca="false">IF(B85="","",I85*1000000/dt_s)</f>
        <v/>
      </c>
      <c r="K85" s="32" t="str">
        <f aca="false">IF(B85="","",J85+G85/2)</f>
        <v/>
      </c>
      <c r="L85" s="32" t="str">
        <f aca="false">IF(B85="","",J85+D85/2)</f>
        <v/>
      </c>
    </row>
    <row r="86" customFormat="false" ht="15" hidden="false" customHeight="false" outlineLevel="0" collapsed="false">
      <c r="A86" s="46" t="str">
        <f aca="false">IF(B86="","",ROW()-6)</f>
        <v/>
      </c>
      <c r="B86" s="47" t="str">
        <f aca="false">IF(B85="","",IF(B85+Buoc_in&gt;Z_cuoi_in+0.000001,"",ROUND(B85+Buoc_in,2)))</f>
        <v/>
      </c>
      <c r="C86" s="24" t="str">
        <f aca="false">IF(B86="","",MAX(B86-TC_Z,0))</f>
        <v/>
      </c>
      <c r="D86" s="32" t="str">
        <f aca="false">IF(B86="","",TC_s*(1-0.2*(TC_xmb+(TC_n-1)*TC_xmt)*C86/(TC_n*TC_b))*TC_m*TC_n*TC_b*SQRT(2*g_)*C86^1.5)</f>
        <v/>
      </c>
      <c r="E86" s="24" t="str">
        <f aca="false">IF(B86="","",MAX(B86-SC_Z,0))</f>
        <v/>
      </c>
      <c r="F86" s="32" t="str">
        <f aca="false">IF(B86="","",SC_s*(1-0.2*(SC_xmb+(SC_n-1)*SC_xmt)*E86/(SC_n*SC_b))*SC_m*SC_n*SC_b*SQRT(2*g_)*E86^1.5)</f>
        <v/>
      </c>
      <c r="G86" s="32" t="str">
        <f aca="false">IF(B86="","",D86+F86)</f>
        <v/>
      </c>
      <c r="H86" s="25" t="str">
        <f aca="false">IF(B86="","",INDEX(Bang_F,MATCH(B86,Bang_Z,1))+(B86-INDEX(Bang_Z,MATCH(B86,Bang_Z,1)))*(INDEX(Bang_F,MATCH(B86,Bang_Z,1)+1)-INDEX(Bang_F,MATCH(B86,Bang_Z,1))))</f>
        <v/>
      </c>
      <c r="I86" s="25" t="str">
        <f aca="false">IF(B86="","",INDEX(Bang_W,MATCH(B86,Bang_Z,1))+(B86-INDEX(Bang_Z,MATCH(B86,Bang_Z,1)))*(INDEX(Bang_F,MATCH(B86,Bang_Z,1))+H86)/2)</f>
        <v/>
      </c>
      <c r="J86" s="32" t="str">
        <f aca="false">IF(B86="","",I86*1000000/dt_s)</f>
        <v/>
      </c>
      <c r="K86" s="32" t="str">
        <f aca="false">IF(B86="","",J86+G86/2)</f>
        <v/>
      </c>
      <c r="L86" s="32" t="str">
        <f aca="false">IF(B86="","",J86+D86/2)</f>
        <v/>
      </c>
    </row>
    <row r="87" customFormat="false" ht="15" hidden="false" customHeight="false" outlineLevel="0" collapsed="false">
      <c r="A87" s="46" t="str">
        <f aca="false">IF(B87="","",ROW()-6)</f>
        <v/>
      </c>
      <c r="B87" s="47" t="str">
        <f aca="false">IF(B86="","",IF(B86+Buoc_in&gt;Z_cuoi_in+0.000001,"",ROUND(B86+Buoc_in,2)))</f>
        <v/>
      </c>
      <c r="C87" s="24" t="str">
        <f aca="false">IF(B87="","",MAX(B87-TC_Z,0))</f>
        <v/>
      </c>
      <c r="D87" s="32" t="str">
        <f aca="false">IF(B87="","",TC_s*(1-0.2*(TC_xmb+(TC_n-1)*TC_xmt)*C87/(TC_n*TC_b))*TC_m*TC_n*TC_b*SQRT(2*g_)*C87^1.5)</f>
        <v/>
      </c>
      <c r="E87" s="24" t="str">
        <f aca="false">IF(B87="","",MAX(B87-SC_Z,0))</f>
        <v/>
      </c>
      <c r="F87" s="32" t="str">
        <f aca="false">IF(B87="","",SC_s*(1-0.2*(SC_xmb+(SC_n-1)*SC_xmt)*E87/(SC_n*SC_b))*SC_m*SC_n*SC_b*SQRT(2*g_)*E87^1.5)</f>
        <v/>
      </c>
      <c r="G87" s="32" t="str">
        <f aca="false">IF(B87="","",D87+F87)</f>
        <v/>
      </c>
      <c r="H87" s="25" t="str">
        <f aca="false">IF(B87="","",INDEX(Bang_F,MATCH(B87,Bang_Z,1))+(B87-INDEX(Bang_Z,MATCH(B87,Bang_Z,1)))*(INDEX(Bang_F,MATCH(B87,Bang_Z,1)+1)-INDEX(Bang_F,MATCH(B87,Bang_Z,1))))</f>
        <v/>
      </c>
      <c r="I87" s="25" t="str">
        <f aca="false">IF(B87="","",INDEX(Bang_W,MATCH(B87,Bang_Z,1))+(B87-INDEX(Bang_Z,MATCH(B87,Bang_Z,1)))*(INDEX(Bang_F,MATCH(B87,Bang_Z,1))+H87)/2)</f>
        <v/>
      </c>
      <c r="J87" s="32" t="str">
        <f aca="false">IF(B87="","",I87*1000000/dt_s)</f>
        <v/>
      </c>
      <c r="K87" s="32" t="str">
        <f aca="false">IF(B87="","",J87+G87/2)</f>
        <v/>
      </c>
      <c r="L87" s="32" t="str">
        <f aca="false">IF(B87="","",J87+D87/2)</f>
        <v/>
      </c>
    </row>
    <row r="88" customFormat="false" ht="15" hidden="false" customHeight="false" outlineLevel="0" collapsed="false">
      <c r="A88" s="46" t="str">
        <f aca="false">IF(B88="","",ROW()-6)</f>
        <v/>
      </c>
      <c r="B88" s="47" t="str">
        <f aca="false">IF(B87="","",IF(B87+Buoc_in&gt;Z_cuoi_in+0.000001,"",ROUND(B87+Buoc_in,2)))</f>
        <v/>
      </c>
      <c r="C88" s="24" t="str">
        <f aca="false">IF(B88="","",MAX(B88-TC_Z,0))</f>
        <v/>
      </c>
      <c r="D88" s="32" t="str">
        <f aca="false">IF(B88="","",TC_s*(1-0.2*(TC_xmb+(TC_n-1)*TC_xmt)*C88/(TC_n*TC_b))*TC_m*TC_n*TC_b*SQRT(2*g_)*C88^1.5)</f>
        <v/>
      </c>
      <c r="E88" s="24" t="str">
        <f aca="false">IF(B88="","",MAX(B88-SC_Z,0))</f>
        <v/>
      </c>
      <c r="F88" s="32" t="str">
        <f aca="false">IF(B88="","",SC_s*(1-0.2*(SC_xmb+(SC_n-1)*SC_xmt)*E88/(SC_n*SC_b))*SC_m*SC_n*SC_b*SQRT(2*g_)*E88^1.5)</f>
        <v/>
      </c>
      <c r="G88" s="32" t="str">
        <f aca="false">IF(B88="","",D88+F88)</f>
        <v/>
      </c>
      <c r="H88" s="25" t="str">
        <f aca="false">IF(B88="","",INDEX(Bang_F,MATCH(B88,Bang_Z,1))+(B88-INDEX(Bang_Z,MATCH(B88,Bang_Z,1)))*(INDEX(Bang_F,MATCH(B88,Bang_Z,1)+1)-INDEX(Bang_F,MATCH(B88,Bang_Z,1))))</f>
        <v/>
      </c>
      <c r="I88" s="25" t="str">
        <f aca="false">IF(B88="","",INDEX(Bang_W,MATCH(B88,Bang_Z,1))+(B88-INDEX(Bang_Z,MATCH(B88,Bang_Z,1)))*(INDEX(Bang_F,MATCH(B88,Bang_Z,1))+H88)/2)</f>
        <v/>
      </c>
      <c r="J88" s="32" t="str">
        <f aca="false">IF(B88="","",I88*1000000/dt_s)</f>
        <v/>
      </c>
      <c r="K88" s="32" t="str">
        <f aca="false">IF(B88="","",J88+G88/2)</f>
        <v/>
      </c>
      <c r="L88" s="32" t="str">
        <f aca="false">IF(B88="","",J88+D88/2)</f>
        <v/>
      </c>
    </row>
    <row r="89" customFormat="false" ht="15" hidden="false" customHeight="false" outlineLevel="0" collapsed="false">
      <c r="A89" s="46" t="str">
        <f aca="false">IF(B89="","",ROW()-6)</f>
        <v/>
      </c>
      <c r="B89" s="47" t="str">
        <f aca="false">IF(B88="","",IF(B88+Buoc_in&gt;Z_cuoi_in+0.000001,"",ROUND(B88+Buoc_in,2)))</f>
        <v/>
      </c>
      <c r="C89" s="24" t="str">
        <f aca="false">IF(B89="","",MAX(B89-TC_Z,0))</f>
        <v/>
      </c>
      <c r="D89" s="32" t="str">
        <f aca="false">IF(B89="","",TC_s*(1-0.2*(TC_xmb+(TC_n-1)*TC_xmt)*C89/(TC_n*TC_b))*TC_m*TC_n*TC_b*SQRT(2*g_)*C89^1.5)</f>
        <v/>
      </c>
      <c r="E89" s="24" t="str">
        <f aca="false">IF(B89="","",MAX(B89-SC_Z,0))</f>
        <v/>
      </c>
      <c r="F89" s="32" t="str">
        <f aca="false">IF(B89="","",SC_s*(1-0.2*(SC_xmb+(SC_n-1)*SC_xmt)*E89/(SC_n*SC_b))*SC_m*SC_n*SC_b*SQRT(2*g_)*E89^1.5)</f>
        <v/>
      </c>
      <c r="G89" s="32" t="str">
        <f aca="false">IF(B89="","",D89+F89)</f>
        <v/>
      </c>
      <c r="H89" s="25" t="str">
        <f aca="false">IF(B89="","",INDEX(Bang_F,MATCH(B89,Bang_Z,1))+(B89-INDEX(Bang_Z,MATCH(B89,Bang_Z,1)))*(INDEX(Bang_F,MATCH(B89,Bang_Z,1)+1)-INDEX(Bang_F,MATCH(B89,Bang_Z,1))))</f>
        <v/>
      </c>
      <c r="I89" s="25" t="str">
        <f aca="false">IF(B89="","",INDEX(Bang_W,MATCH(B89,Bang_Z,1))+(B89-INDEX(Bang_Z,MATCH(B89,Bang_Z,1)))*(INDEX(Bang_F,MATCH(B89,Bang_Z,1))+H89)/2)</f>
        <v/>
      </c>
      <c r="J89" s="32" t="str">
        <f aca="false">IF(B89="","",I89*1000000/dt_s)</f>
        <v/>
      </c>
      <c r="K89" s="32" t="str">
        <f aca="false">IF(B89="","",J89+G89/2)</f>
        <v/>
      </c>
      <c r="L89" s="32" t="str">
        <f aca="false">IF(B89="","",J89+D89/2)</f>
        <v/>
      </c>
    </row>
    <row r="90" customFormat="false" ht="15" hidden="false" customHeight="false" outlineLevel="0" collapsed="false">
      <c r="A90" s="46" t="str">
        <f aca="false">IF(B90="","",ROW()-6)</f>
        <v/>
      </c>
      <c r="B90" s="47" t="str">
        <f aca="false">IF(B89="","",IF(B89+Buoc_in&gt;Z_cuoi_in+0.000001,"",ROUND(B89+Buoc_in,2)))</f>
        <v/>
      </c>
      <c r="C90" s="24" t="str">
        <f aca="false">IF(B90="","",MAX(B90-TC_Z,0))</f>
        <v/>
      </c>
      <c r="D90" s="32" t="str">
        <f aca="false">IF(B90="","",TC_s*(1-0.2*(TC_xmb+(TC_n-1)*TC_xmt)*C90/(TC_n*TC_b))*TC_m*TC_n*TC_b*SQRT(2*g_)*C90^1.5)</f>
        <v/>
      </c>
      <c r="E90" s="24" t="str">
        <f aca="false">IF(B90="","",MAX(B90-SC_Z,0))</f>
        <v/>
      </c>
      <c r="F90" s="32" t="str">
        <f aca="false">IF(B90="","",SC_s*(1-0.2*(SC_xmb+(SC_n-1)*SC_xmt)*E90/(SC_n*SC_b))*SC_m*SC_n*SC_b*SQRT(2*g_)*E90^1.5)</f>
        <v/>
      </c>
      <c r="G90" s="32" t="str">
        <f aca="false">IF(B90="","",D90+F90)</f>
        <v/>
      </c>
      <c r="H90" s="25" t="str">
        <f aca="false">IF(B90="","",INDEX(Bang_F,MATCH(B90,Bang_Z,1))+(B90-INDEX(Bang_Z,MATCH(B90,Bang_Z,1)))*(INDEX(Bang_F,MATCH(B90,Bang_Z,1)+1)-INDEX(Bang_F,MATCH(B90,Bang_Z,1))))</f>
        <v/>
      </c>
      <c r="I90" s="25" t="str">
        <f aca="false">IF(B90="","",INDEX(Bang_W,MATCH(B90,Bang_Z,1))+(B90-INDEX(Bang_Z,MATCH(B90,Bang_Z,1)))*(INDEX(Bang_F,MATCH(B90,Bang_Z,1))+H90)/2)</f>
        <v/>
      </c>
      <c r="J90" s="32" t="str">
        <f aca="false">IF(B90="","",I90*1000000/dt_s)</f>
        <v/>
      </c>
      <c r="K90" s="32" t="str">
        <f aca="false">IF(B90="","",J90+G90/2)</f>
        <v/>
      </c>
      <c r="L90" s="32" t="str">
        <f aca="false">IF(B90="","",J90+D90/2)</f>
        <v/>
      </c>
    </row>
    <row r="91" customFormat="false" ht="15" hidden="false" customHeight="false" outlineLevel="0" collapsed="false">
      <c r="A91" s="46" t="str">
        <f aca="false">IF(B91="","",ROW()-6)</f>
        <v/>
      </c>
      <c r="B91" s="47" t="str">
        <f aca="false">IF(B90="","",IF(B90+Buoc_in&gt;Z_cuoi_in+0.000001,"",ROUND(B90+Buoc_in,2)))</f>
        <v/>
      </c>
      <c r="C91" s="24" t="str">
        <f aca="false">IF(B91="","",MAX(B91-TC_Z,0))</f>
        <v/>
      </c>
      <c r="D91" s="32" t="str">
        <f aca="false">IF(B91="","",TC_s*(1-0.2*(TC_xmb+(TC_n-1)*TC_xmt)*C91/(TC_n*TC_b))*TC_m*TC_n*TC_b*SQRT(2*g_)*C91^1.5)</f>
        <v/>
      </c>
      <c r="E91" s="24" t="str">
        <f aca="false">IF(B91="","",MAX(B91-SC_Z,0))</f>
        <v/>
      </c>
      <c r="F91" s="32" t="str">
        <f aca="false">IF(B91="","",SC_s*(1-0.2*(SC_xmb+(SC_n-1)*SC_xmt)*E91/(SC_n*SC_b))*SC_m*SC_n*SC_b*SQRT(2*g_)*E91^1.5)</f>
        <v/>
      </c>
      <c r="G91" s="32" t="str">
        <f aca="false">IF(B91="","",D91+F91)</f>
        <v/>
      </c>
      <c r="H91" s="25" t="str">
        <f aca="false">IF(B91="","",INDEX(Bang_F,MATCH(B91,Bang_Z,1))+(B91-INDEX(Bang_Z,MATCH(B91,Bang_Z,1)))*(INDEX(Bang_F,MATCH(B91,Bang_Z,1)+1)-INDEX(Bang_F,MATCH(B91,Bang_Z,1))))</f>
        <v/>
      </c>
      <c r="I91" s="25" t="str">
        <f aca="false">IF(B91="","",INDEX(Bang_W,MATCH(B91,Bang_Z,1))+(B91-INDEX(Bang_Z,MATCH(B91,Bang_Z,1)))*(INDEX(Bang_F,MATCH(B91,Bang_Z,1))+H91)/2)</f>
        <v/>
      </c>
      <c r="J91" s="32" t="str">
        <f aca="false">IF(B91="","",I91*1000000/dt_s)</f>
        <v/>
      </c>
      <c r="K91" s="32" t="str">
        <f aca="false">IF(B91="","",J91+G91/2)</f>
        <v/>
      </c>
      <c r="L91" s="32" t="str">
        <f aca="false">IF(B91="","",J91+D91/2)</f>
        <v/>
      </c>
    </row>
    <row r="92" customFormat="false" ht="15" hidden="false" customHeight="false" outlineLevel="0" collapsed="false">
      <c r="A92" s="46" t="str">
        <f aca="false">IF(B92="","",ROW()-6)</f>
        <v/>
      </c>
      <c r="B92" s="47" t="str">
        <f aca="false">IF(B91="","",IF(B91+Buoc_in&gt;Z_cuoi_in+0.000001,"",ROUND(B91+Buoc_in,2)))</f>
        <v/>
      </c>
      <c r="C92" s="24" t="str">
        <f aca="false">IF(B92="","",MAX(B92-TC_Z,0))</f>
        <v/>
      </c>
      <c r="D92" s="32" t="str">
        <f aca="false">IF(B92="","",TC_s*(1-0.2*(TC_xmb+(TC_n-1)*TC_xmt)*C92/(TC_n*TC_b))*TC_m*TC_n*TC_b*SQRT(2*g_)*C92^1.5)</f>
        <v/>
      </c>
      <c r="E92" s="24" t="str">
        <f aca="false">IF(B92="","",MAX(B92-SC_Z,0))</f>
        <v/>
      </c>
      <c r="F92" s="32" t="str">
        <f aca="false">IF(B92="","",SC_s*(1-0.2*(SC_xmb+(SC_n-1)*SC_xmt)*E92/(SC_n*SC_b))*SC_m*SC_n*SC_b*SQRT(2*g_)*E92^1.5)</f>
        <v/>
      </c>
      <c r="G92" s="32" t="str">
        <f aca="false">IF(B92="","",D92+F92)</f>
        <v/>
      </c>
      <c r="H92" s="25" t="str">
        <f aca="false">IF(B92="","",INDEX(Bang_F,MATCH(B92,Bang_Z,1))+(B92-INDEX(Bang_Z,MATCH(B92,Bang_Z,1)))*(INDEX(Bang_F,MATCH(B92,Bang_Z,1)+1)-INDEX(Bang_F,MATCH(B92,Bang_Z,1))))</f>
        <v/>
      </c>
      <c r="I92" s="25" t="str">
        <f aca="false">IF(B92="","",INDEX(Bang_W,MATCH(B92,Bang_Z,1))+(B92-INDEX(Bang_Z,MATCH(B92,Bang_Z,1)))*(INDEX(Bang_F,MATCH(B92,Bang_Z,1))+H92)/2)</f>
        <v/>
      </c>
      <c r="J92" s="32" t="str">
        <f aca="false">IF(B92="","",I92*1000000/dt_s)</f>
        <v/>
      </c>
      <c r="K92" s="32" t="str">
        <f aca="false">IF(B92="","",J92+G92/2)</f>
        <v/>
      </c>
      <c r="L92" s="32" t="str">
        <f aca="false">IF(B92="","",J92+D92/2)</f>
        <v/>
      </c>
    </row>
    <row r="93" customFormat="false" ht="15" hidden="false" customHeight="false" outlineLevel="0" collapsed="false">
      <c r="A93" s="46" t="str">
        <f aca="false">IF(B93="","",ROW()-6)</f>
        <v/>
      </c>
      <c r="B93" s="47" t="str">
        <f aca="false">IF(B92="","",IF(B92+Buoc_in&gt;Z_cuoi_in+0.000001,"",ROUND(B92+Buoc_in,2)))</f>
        <v/>
      </c>
      <c r="C93" s="24" t="str">
        <f aca="false">IF(B93="","",MAX(B93-TC_Z,0))</f>
        <v/>
      </c>
      <c r="D93" s="32" t="str">
        <f aca="false">IF(B93="","",TC_s*(1-0.2*(TC_xmb+(TC_n-1)*TC_xmt)*C93/(TC_n*TC_b))*TC_m*TC_n*TC_b*SQRT(2*g_)*C93^1.5)</f>
        <v/>
      </c>
      <c r="E93" s="24" t="str">
        <f aca="false">IF(B93="","",MAX(B93-SC_Z,0))</f>
        <v/>
      </c>
      <c r="F93" s="32" t="str">
        <f aca="false">IF(B93="","",SC_s*(1-0.2*(SC_xmb+(SC_n-1)*SC_xmt)*E93/(SC_n*SC_b))*SC_m*SC_n*SC_b*SQRT(2*g_)*E93^1.5)</f>
        <v/>
      </c>
      <c r="G93" s="32" t="str">
        <f aca="false">IF(B93="","",D93+F93)</f>
        <v/>
      </c>
      <c r="H93" s="25" t="str">
        <f aca="false">IF(B93="","",INDEX(Bang_F,MATCH(B93,Bang_Z,1))+(B93-INDEX(Bang_Z,MATCH(B93,Bang_Z,1)))*(INDEX(Bang_F,MATCH(B93,Bang_Z,1)+1)-INDEX(Bang_F,MATCH(B93,Bang_Z,1))))</f>
        <v/>
      </c>
      <c r="I93" s="25" t="str">
        <f aca="false">IF(B93="","",INDEX(Bang_W,MATCH(B93,Bang_Z,1))+(B93-INDEX(Bang_Z,MATCH(B93,Bang_Z,1)))*(INDEX(Bang_F,MATCH(B93,Bang_Z,1))+H93)/2)</f>
        <v/>
      </c>
      <c r="J93" s="32" t="str">
        <f aca="false">IF(B93="","",I93*1000000/dt_s)</f>
        <v/>
      </c>
      <c r="K93" s="32" t="str">
        <f aca="false">IF(B93="","",J93+G93/2)</f>
        <v/>
      </c>
      <c r="L93" s="32" t="str">
        <f aca="false">IF(B93="","",J93+D93/2)</f>
        <v/>
      </c>
    </row>
    <row r="94" customFormat="false" ht="15" hidden="false" customHeight="false" outlineLevel="0" collapsed="false">
      <c r="A94" s="46" t="str">
        <f aca="false">IF(B94="","",ROW()-6)</f>
        <v/>
      </c>
      <c r="B94" s="47" t="str">
        <f aca="false">IF(B93="","",IF(B93+Buoc_in&gt;Z_cuoi_in+0.000001,"",ROUND(B93+Buoc_in,2)))</f>
        <v/>
      </c>
      <c r="C94" s="24" t="str">
        <f aca="false">IF(B94="","",MAX(B94-TC_Z,0))</f>
        <v/>
      </c>
      <c r="D94" s="32" t="str">
        <f aca="false">IF(B94="","",TC_s*(1-0.2*(TC_xmb+(TC_n-1)*TC_xmt)*C94/(TC_n*TC_b))*TC_m*TC_n*TC_b*SQRT(2*g_)*C94^1.5)</f>
        <v/>
      </c>
      <c r="E94" s="24" t="str">
        <f aca="false">IF(B94="","",MAX(B94-SC_Z,0))</f>
        <v/>
      </c>
      <c r="F94" s="32" t="str">
        <f aca="false">IF(B94="","",SC_s*(1-0.2*(SC_xmb+(SC_n-1)*SC_xmt)*E94/(SC_n*SC_b))*SC_m*SC_n*SC_b*SQRT(2*g_)*E94^1.5)</f>
        <v/>
      </c>
      <c r="G94" s="32" t="str">
        <f aca="false">IF(B94="","",D94+F94)</f>
        <v/>
      </c>
      <c r="H94" s="25" t="str">
        <f aca="false">IF(B94="","",INDEX(Bang_F,MATCH(B94,Bang_Z,1))+(B94-INDEX(Bang_Z,MATCH(B94,Bang_Z,1)))*(INDEX(Bang_F,MATCH(B94,Bang_Z,1)+1)-INDEX(Bang_F,MATCH(B94,Bang_Z,1))))</f>
        <v/>
      </c>
      <c r="I94" s="25" t="str">
        <f aca="false">IF(B94="","",INDEX(Bang_W,MATCH(B94,Bang_Z,1))+(B94-INDEX(Bang_Z,MATCH(B94,Bang_Z,1)))*(INDEX(Bang_F,MATCH(B94,Bang_Z,1))+H94)/2)</f>
        <v/>
      </c>
      <c r="J94" s="32" t="str">
        <f aca="false">IF(B94="","",I94*1000000/dt_s)</f>
        <v/>
      </c>
      <c r="K94" s="32" t="str">
        <f aca="false">IF(B94="","",J94+G94/2)</f>
        <v/>
      </c>
      <c r="L94" s="32" t="str">
        <f aca="false">IF(B94="","",J94+D94/2)</f>
        <v/>
      </c>
    </row>
    <row r="95" customFormat="false" ht="15" hidden="false" customHeight="false" outlineLevel="0" collapsed="false">
      <c r="A95" s="46" t="str">
        <f aca="false">IF(B95="","",ROW()-6)</f>
        <v/>
      </c>
      <c r="B95" s="47" t="str">
        <f aca="false">IF(B94="","",IF(B94+Buoc_in&gt;Z_cuoi_in+0.000001,"",ROUND(B94+Buoc_in,2)))</f>
        <v/>
      </c>
      <c r="C95" s="24" t="str">
        <f aca="false">IF(B95="","",MAX(B95-TC_Z,0))</f>
        <v/>
      </c>
      <c r="D95" s="32" t="str">
        <f aca="false">IF(B95="","",TC_s*(1-0.2*(TC_xmb+(TC_n-1)*TC_xmt)*C95/(TC_n*TC_b))*TC_m*TC_n*TC_b*SQRT(2*g_)*C95^1.5)</f>
        <v/>
      </c>
      <c r="E95" s="24" t="str">
        <f aca="false">IF(B95="","",MAX(B95-SC_Z,0))</f>
        <v/>
      </c>
      <c r="F95" s="32" t="str">
        <f aca="false">IF(B95="","",SC_s*(1-0.2*(SC_xmb+(SC_n-1)*SC_xmt)*E95/(SC_n*SC_b))*SC_m*SC_n*SC_b*SQRT(2*g_)*E95^1.5)</f>
        <v/>
      </c>
      <c r="G95" s="32" t="str">
        <f aca="false">IF(B95="","",D95+F95)</f>
        <v/>
      </c>
      <c r="H95" s="25" t="str">
        <f aca="false">IF(B95="","",INDEX(Bang_F,MATCH(B95,Bang_Z,1))+(B95-INDEX(Bang_Z,MATCH(B95,Bang_Z,1)))*(INDEX(Bang_F,MATCH(B95,Bang_Z,1)+1)-INDEX(Bang_F,MATCH(B95,Bang_Z,1))))</f>
        <v/>
      </c>
      <c r="I95" s="25" t="str">
        <f aca="false">IF(B95="","",INDEX(Bang_W,MATCH(B95,Bang_Z,1))+(B95-INDEX(Bang_Z,MATCH(B95,Bang_Z,1)))*(INDEX(Bang_F,MATCH(B95,Bang_Z,1))+H95)/2)</f>
        <v/>
      </c>
      <c r="J95" s="32" t="str">
        <f aca="false">IF(B95="","",I95*1000000/dt_s)</f>
        <v/>
      </c>
      <c r="K95" s="32" t="str">
        <f aca="false">IF(B95="","",J95+G95/2)</f>
        <v/>
      </c>
      <c r="L95" s="32" t="str">
        <f aca="false">IF(B95="","",J95+D95/2)</f>
        <v/>
      </c>
    </row>
    <row r="96" customFormat="false" ht="15" hidden="false" customHeight="false" outlineLevel="0" collapsed="false">
      <c r="A96" s="46" t="str">
        <f aca="false">IF(B96="","",ROW()-6)</f>
        <v/>
      </c>
      <c r="B96" s="47" t="str">
        <f aca="false">IF(B95="","",IF(B95+Buoc_in&gt;Z_cuoi_in+0.000001,"",ROUND(B95+Buoc_in,2)))</f>
        <v/>
      </c>
      <c r="C96" s="24" t="str">
        <f aca="false">IF(B96="","",MAX(B96-TC_Z,0))</f>
        <v/>
      </c>
      <c r="D96" s="32" t="str">
        <f aca="false">IF(B96="","",TC_s*(1-0.2*(TC_xmb+(TC_n-1)*TC_xmt)*C96/(TC_n*TC_b))*TC_m*TC_n*TC_b*SQRT(2*g_)*C96^1.5)</f>
        <v/>
      </c>
      <c r="E96" s="24" t="str">
        <f aca="false">IF(B96="","",MAX(B96-SC_Z,0))</f>
        <v/>
      </c>
      <c r="F96" s="32" t="str">
        <f aca="false">IF(B96="","",SC_s*(1-0.2*(SC_xmb+(SC_n-1)*SC_xmt)*E96/(SC_n*SC_b))*SC_m*SC_n*SC_b*SQRT(2*g_)*E96^1.5)</f>
        <v/>
      </c>
      <c r="G96" s="32" t="str">
        <f aca="false">IF(B96="","",D96+F96)</f>
        <v/>
      </c>
      <c r="H96" s="25" t="str">
        <f aca="false">IF(B96="","",INDEX(Bang_F,MATCH(B96,Bang_Z,1))+(B96-INDEX(Bang_Z,MATCH(B96,Bang_Z,1)))*(INDEX(Bang_F,MATCH(B96,Bang_Z,1)+1)-INDEX(Bang_F,MATCH(B96,Bang_Z,1))))</f>
        <v/>
      </c>
      <c r="I96" s="25" t="str">
        <f aca="false">IF(B96="","",INDEX(Bang_W,MATCH(B96,Bang_Z,1))+(B96-INDEX(Bang_Z,MATCH(B96,Bang_Z,1)))*(INDEX(Bang_F,MATCH(B96,Bang_Z,1))+H96)/2)</f>
        <v/>
      </c>
      <c r="J96" s="32" t="str">
        <f aca="false">IF(B96="","",I96*1000000/dt_s)</f>
        <v/>
      </c>
      <c r="K96" s="32" t="str">
        <f aca="false">IF(B96="","",J96+G96/2)</f>
        <v/>
      </c>
      <c r="L96" s="32" t="str">
        <f aca="false">IF(B96="","",J96+D96/2)</f>
        <v/>
      </c>
    </row>
    <row r="97" customFormat="false" ht="15" hidden="false" customHeight="false" outlineLevel="0" collapsed="false">
      <c r="A97" s="46" t="str">
        <f aca="false">IF(B97="","",ROW()-6)</f>
        <v/>
      </c>
      <c r="B97" s="47" t="str">
        <f aca="false">IF(B96="","",IF(B96+Buoc_in&gt;Z_cuoi_in+0.000001,"",ROUND(B96+Buoc_in,2)))</f>
        <v/>
      </c>
      <c r="C97" s="24" t="str">
        <f aca="false">IF(B97="","",MAX(B97-TC_Z,0))</f>
        <v/>
      </c>
      <c r="D97" s="32" t="str">
        <f aca="false">IF(B97="","",TC_s*(1-0.2*(TC_xmb+(TC_n-1)*TC_xmt)*C97/(TC_n*TC_b))*TC_m*TC_n*TC_b*SQRT(2*g_)*C97^1.5)</f>
        <v/>
      </c>
      <c r="E97" s="24" t="str">
        <f aca="false">IF(B97="","",MAX(B97-SC_Z,0))</f>
        <v/>
      </c>
      <c r="F97" s="32" t="str">
        <f aca="false">IF(B97="","",SC_s*(1-0.2*(SC_xmb+(SC_n-1)*SC_xmt)*E97/(SC_n*SC_b))*SC_m*SC_n*SC_b*SQRT(2*g_)*E97^1.5)</f>
        <v/>
      </c>
      <c r="G97" s="32" t="str">
        <f aca="false">IF(B97="","",D97+F97)</f>
        <v/>
      </c>
      <c r="H97" s="25" t="str">
        <f aca="false">IF(B97="","",INDEX(Bang_F,MATCH(B97,Bang_Z,1))+(B97-INDEX(Bang_Z,MATCH(B97,Bang_Z,1)))*(INDEX(Bang_F,MATCH(B97,Bang_Z,1)+1)-INDEX(Bang_F,MATCH(B97,Bang_Z,1))))</f>
        <v/>
      </c>
      <c r="I97" s="25" t="str">
        <f aca="false">IF(B97="","",INDEX(Bang_W,MATCH(B97,Bang_Z,1))+(B97-INDEX(Bang_Z,MATCH(B97,Bang_Z,1)))*(INDEX(Bang_F,MATCH(B97,Bang_Z,1))+H97)/2)</f>
        <v/>
      </c>
      <c r="J97" s="32" t="str">
        <f aca="false">IF(B97="","",I97*1000000/dt_s)</f>
        <v/>
      </c>
      <c r="K97" s="32" t="str">
        <f aca="false">IF(B97="","",J97+G97/2)</f>
        <v/>
      </c>
      <c r="L97" s="32" t="str">
        <f aca="false">IF(B97="","",J97+D97/2)</f>
        <v/>
      </c>
    </row>
    <row r="98" customFormat="false" ht="15" hidden="false" customHeight="false" outlineLevel="0" collapsed="false">
      <c r="A98" s="46" t="str">
        <f aca="false">IF(B98="","",ROW()-6)</f>
        <v/>
      </c>
      <c r="B98" s="47" t="str">
        <f aca="false">IF(B97="","",IF(B97+Buoc_in&gt;Z_cuoi_in+0.000001,"",ROUND(B97+Buoc_in,2)))</f>
        <v/>
      </c>
      <c r="C98" s="24" t="str">
        <f aca="false">IF(B98="","",MAX(B98-TC_Z,0))</f>
        <v/>
      </c>
      <c r="D98" s="32" t="str">
        <f aca="false">IF(B98="","",TC_s*(1-0.2*(TC_xmb+(TC_n-1)*TC_xmt)*C98/(TC_n*TC_b))*TC_m*TC_n*TC_b*SQRT(2*g_)*C98^1.5)</f>
        <v/>
      </c>
      <c r="E98" s="24" t="str">
        <f aca="false">IF(B98="","",MAX(B98-SC_Z,0))</f>
        <v/>
      </c>
      <c r="F98" s="32" t="str">
        <f aca="false">IF(B98="","",SC_s*(1-0.2*(SC_xmb+(SC_n-1)*SC_xmt)*E98/(SC_n*SC_b))*SC_m*SC_n*SC_b*SQRT(2*g_)*E98^1.5)</f>
        <v/>
      </c>
      <c r="G98" s="32" t="str">
        <f aca="false">IF(B98="","",D98+F98)</f>
        <v/>
      </c>
      <c r="H98" s="25" t="str">
        <f aca="false">IF(B98="","",INDEX(Bang_F,MATCH(B98,Bang_Z,1))+(B98-INDEX(Bang_Z,MATCH(B98,Bang_Z,1)))*(INDEX(Bang_F,MATCH(B98,Bang_Z,1)+1)-INDEX(Bang_F,MATCH(B98,Bang_Z,1))))</f>
        <v/>
      </c>
      <c r="I98" s="25" t="str">
        <f aca="false">IF(B98="","",INDEX(Bang_W,MATCH(B98,Bang_Z,1))+(B98-INDEX(Bang_Z,MATCH(B98,Bang_Z,1)))*(INDEX(Bang_F,MATCH(B98,Bang_Z,1))+H98)/2)</f>
        <v/>
      </c>
      <c r="J98" s="32" t="str">
        <f aca="false">IF(B98="","",I98*1000000/dt_s)</f>
        <v/>
      </c>
      <c r="K98" s="32" t="str">
        <f aca="false">IF(B98="","",J98+G98/2)</f>
        <v/>
      </c>
      <c r="L98" s="32" t="str">
        <f aca="false">IF(B98="","",J98+D98/2)</f>
        <v/>
      </c>
    </row>
    <row r="99" customFormat="false" ht="15" hidden="false" customHeight="false" outlineLevel="0" collapsed="false">
      <c r="A99" s="46" t="str">
        <f aca="false">IF(B99="","",ROW()-6)</f>
        <v/>
      </c>
      <c r="B99" s="47" t="str">
        <f aca="false">IF(B98="","",IF(B98+Buoc_in&gt;Z_cuoi_in+0.000001,"",ROUND(B98+Buoc_in,2)))</f>
        <v/>
      </c>
      <c r="C99" s="24" t="str">
        <f aca="false">IF(B99="","",MAX(B99-TC_Z,0))</f>
        <v/>
      </c>
      <c r="D99" s="32" t="str">
        <f aca="false">IF(B99="","",TC_s*(1-0.2*(TC_xmb+(TC_n-1)*TC_xmt)*C99/(TC_n*TC_b))*TC_m*TC_n*TC_b*SQRT(2*g_)*C99^1.5)</f>
        <v/>
      </c>
      <c r="E99" s="24" t="str">
        <f aca="false">IF(B99="","",MAX(B99-SC_Z,0))</f>
        <v/>
      </c>
      <c r="F99" s="32" t="str">
        <f aca="false">IF(B99="","",SC_s*(1-0.2*(SC_xmb+(SC_n-1)*SC_xmt)*E99/(SC_n*SC_b))*SC_m*SC_n*SC_b*SQRT(2*g_)*E99^1.5)</f>
        <v/>
      </c>
      <c r="G99" s="32" t="str">
        <f aca="false">IF(B99="","",D99+F99)</f>
        <v/>
      </c>
      <c r="H99" s="25" t="str">
        <f aca="false">IF(B99="","",INDEX(Bang_F,MATCH(B99,Bang_Z,1))+(B99-INDEX(Bang_Z,MATCH(B99,Bang_Z,1)))*(INDEX(Bang_F,MATCH(B99,Bang_Z,1)+1)-INDEX(Bang_F,MATCH(B99,Bang_Z,1))))</f>
        <v/>
      </c>
      <c r="I99" s="25" t="str">
        <f aca="false">IF(B99="","",INDEX(Bang_W,MATCH(B99,Bang_Z,1))+(B99-INDEX(Bang_Z,MATCH(B99,Bang_Z,1)))*(INDEX(Bang_F,MATCH(B99,Bang_Z,1))+H99)/2)</f>
        <v/>
      </c>
      <c r="J99" s="32" t="str">
        <f aca="false">IF(B99="","",I99*1000000/dt_s)</f>
        <v/>
      </c>
      <c r="K99" s="32" t="str">
        <f aca="false">IF(B99="","",J99+G99/2)</f>
        <v/>
      </c>
      <c r="L99" s="32" t="str">
        <f aca="false">IF(B99="","",J99+D99/2)</f>
        <v/>
      </c>
    </row>
    <row r="100" customFormat="false" ht="15" hidden="false" customHeight="false" outlineLevel="0" collapsed="false">
      <c r="A100" s="46" t="str">
        <f aca="false">IF(B100="","",ROW()-6)</f>
        <v/>
      </c>
      <c r="B100" s="47" t="str">
        <f aca="false">IF(B99="","",IF(B99+Buoc_in&gt;Z_cuoi_in+0.000001,"",ROUND(B99+Buoc_in,2)))</f>
        <v/>
      </c>
      <c r="C100" s="24" t="str">
        <f aca="false">IF(B100="","",MAX(B100-TC_Z,0))</f>
        <v/>
      </c>
      <c r="D100" s="32" t="str">
        <f aca="false">IF(B100="","",TC_s*(1-0.2*(TC_xmb+(TC_n-1)*TC_xmt)*C100/(TC_n*TC_b))*TC_m*TC_n*TC_b*SQRT(2*g_)*C100^1.5)</f>
        <v/>
      </c>
      <c r="E100" s="24" t="str">
        <f aca="false">IF(B100="","",MAX(B100-SC_Z,0))</f>
        <v/>
      </c>
      <c r="F100" s="32" t="str">
        <f aca="false">IF(B100="","",SC_s*(1-0.2*(SC_xmb+(SC_n-1)*SC_xmt)*E100/(SC_n*SC_b))*SC_m*SC_n*SC_b*SQRT(2*g_)*E100^1.5)</f>
        <v/>
      </c>
      <c r="G100" s="32" t="str">
        <f aca="false">IF(B100="","",D100+F100)</f>
        <v/>
      </c>
      <c r="H100" s="25" t="str">
        <f aca="false">IF(B100="","",INDEX(Bang_F,MATCH(B100,Bang_Z,1))+(B100-INDEX(Bang_Z,MATCH(B100,Bang_Z,1)))*(INDEX(Bang_F,MATCH(B100,Bang_Z,1)+1)-INDEX(Bang_F,MATCH(B100,Bang_Z,1))))</f>
        <v/>
      </c>
      <c r="I100" s="25" t="str">
        <f aca="false">IF(B100="","",INDEX(Bang_W,MATCH(B100,Bang_Z,1))+(B100-INDEX(Bang_Z,MATCH(B100,Bang_Z,1)))*(INDEX(Bang_F,MATCH(B100,Bang_Z,1))+H100)/2)</f>
        <v/>
      </c>
      <c r="J100" s="32" t="str">
        <f aca="false">IF(B100="","",I100*1000000/dt_s)</f>
        <v/>
      </c>
      <c r="K100" s="32" t="str">
        <f aca="false">IF(B100="","",J100+G100/2)</f>
        <v/>
      </c>
      <c r="L100" s="32" t="str">
        <f aca="false">IF(B100="","",J100+D100/2)</f>
        <v/>
      </c>
    </row>
    <row r="101" customFormat="false" ht="15" hidden="false" customHeight="false" outlineLevel="0" collapsed="false">
      <c r="A101" s="46" t="str">
        <f aca="false">IF(B101="","",ROW()-6)</f>
        <v/>
      </c>
      <c r="B101" s="47" t="str">
        <f aca="false">IF(B100="","",IF(B100+Buoc_in&gt;Z_cuoi_in+0.000001,"",ROUND(B100+Buoc_in,2)))</f>
        <v/>
      </c>
      <c r="C101" s="24" t="str">
        <f aca="false">IF(B101="","",MAX(B101-TC_Z,0))</f>
        <v/>
      </c>
      <c r="D101" s="32" t="str">
        <f aca="false">IF(B101="","",TC_s*(1-0.2*(TC_xmb+(TC_n-1)*TC_xmt)*C101/(TC_n*TC_b))*TC_m*TC_n*TC_b*SQRT(2*g_)*C101^1.5)</f>
        <v/>
      </c>
      <c r="E101" s="24" t="str">
        <f aca="false">IF(B101="","",MAX(B101-SC_Z,0))</f>
        <v/>
      </c>
      <c r="F101" s="32" t="str">
        <f aca="false">IF(B101="","",SC_s*(1-0.2*(SC_xmb+(SC_n-1)*SC_xmt)*E101/(SC_n*SC_b))*SC_m*SC_n*SC_b*SQRT(2*g_)*E101^1.5)</f>
        <v/>
      </c>
      <c r="G101" s="32" t="str">
        <f aca="false">IF(B101="","",D101+F101)</f>
        <v/>
      </c>
      <c r="H101" s="25" t="str">
        <f aca="false">IF(B101="","",INDEX(Bang_F,MATCH(B101,Bang_Z,1))+(B101-INDEX(Bang_Z,MATCH(B101,Bang_Z,1)))*(INDEX(Bang_F,MATCH(B101,Bang_Z,1)+1)-INDEX(Bang_F,MATCH(B101,Bang_Z,1))))</f>
        <v/>
      </c>
      <c r="I101" s="25" t="str">
        <f aca="false">IF(B101="","",INDEX(Bang_W,MATCH(B101,Bang_Z,1))+(B101-INDEX(Bang_Z,MATCH(B101,Bang_Z,1)))*(INDEX(Bang_F,MATCH(B101,Bang_Z,1))+H101)/2)</f>
        <v/>
      </c>
      <c r="J101" s="32" t="str">
        <f aca="false">IF(B101="","",I101*1000000/dt_s)</f>
        <v/>
      </c>
      <c r="K101" s="32" t="str">
        <f aca="false">IF(B101="","",J101+G101/2)</f>
        <v/>
      </c>
      <c r="L101" s="32" t="str">
        <f aca="false">IF(B101="","",J101+D101/2)</f>
        <v/>
      </c>
    </row>
    <row r="102" customFormat="false" ht="15" hidden="false" customHeight="false" outlineLevel="0" collapsed="false">
      <c r="A102" s="46" t="str">
        <f aca="false">IF(B102="","",ROW()-6)</f>
        <v/>
      </c>
      <c r="B102" s="47" t="str">
        <f aca="false">IF(B101="","",IF(B101+Buoc_in&gt;Z_cuoi_in+0.000001,"",ROUND(B101+Buoc_in,2)))</f>
        <v/>
      </c>
      <c r="C102" s="24" t="str">
        <f aca="false">IF(B102="","",MAX(B102-TC_Z,0))</f>
        <v/>
      </c>
      <c r="D102" s="32" t="str">
        <f aca="false">IF(B102="","",TC_s*(1-0.2*(TC_xmb+(TC_n-1)*TC_xmt)*C102/(TC_n*TC_b))*TC_m*TC_n*TC_b*SQRT(2*g_)*C102^1.5)</f>
        <v/>
      </c>
      <c r="E102" s="24" t="str">
        <f aca="false">IF(B102="","",MAX(B102-SC_Z,0))</f>
        <v/>
      </c>
      <c r="F102" s="32" t="str">
        <f aca="false">IF(B102="","",SC_s*(1-0.2*(SC_xmb+(SC_n-1)*SC_xmt)*E102/(SC_n*SC_b))*SC_m*SC_n*SC_b*SQRT(2*g_)*E102^1.5)</f>
        <v/>
      </c>
      <c r="G102" s="32" t="str">
        <f aca="false">IF(B102="","",D102+F102)</f>
        <v/>
      </c>
      <c r="H102" s="25" t="str">
        <f aca="false">IF(B102="","",INDEX(Bang_F,MATCH(B102,Bang_Z,1))+(B102-INDEX(Bang_Z,MATCH(B102,Bang_Z,1)))*(INDEX(Bang_F,MATCH(B102,Bang_Z,1)+1)-INDEX(Bang_F,MATCH(B102,Bang_Z,1))))</f>
        <v/>
      </c>
      <c r="I102" s="25" t="str">
        <f aca="false">IF(B102="","",INDEX(Bang_W,MATCH(B102,Bang_Z,1))+(B102-INDEX(Bang_Z,MATCH(B102,Bang_Z,1)))*(INDEX(Bang_F,MATCH(B102,Bang_Z,1))+H102)/2)</f>
        <v/>
      </c>
      <c r="J102" s="32" t="str">
        <f aca="false">IF(B102="","",I102*1000000/dt_s)</f>
        <v/>
      </c>
      <c r="K102" s="32" t="str">
        <f aca="false">IF(B102="","",J102+G102/2)</f>
        <v/>
      </c>
      <c r="L102" s="32" t="str">
        <f aca="false">IF(B102="","",J102+D102/2)</f>
        <v/>
      </c>
    </row>
    <row r="103" customFormat="false" ht="15" hidden="false" customHeight="false" outlineLevel="0" collapsed="false">
      <c r="A103" s="46" t="str">
        <f aca="false">IF(B103="","",ROW()-6)</f>
        <v/>
      </c>
      <c r="B103" s="47" t="str">
        <f aca="false">IF(B102="","",IF(B102+Buoc_in&gt;Z_cuoi_in+0.000001,"",ROUND(B102+Buoc_in,2)))</f>
        <v/>
      </c>
      <c r="C103" s="24" t="str">
        <f aca="false">IF(B103="","",MAX(B103-TC_Z,0))</f>
        <v/>
      </c>
      <c r="D103" s="32" t="str">
        <f aca="false">IF(B103="","",TC_s*(1-0.2*(TC_xmb+(TC_n-1)*TC_xmt)*C103/(TC_n*TC_b))*TC_m*TC_n*TC_b*SQRT(2*g_)*C103^1.5)</f>
        <v/>
      </c>
      <c r="E103" s="24" t="str">
        <f aca="false">IF(B103="","",MAX(B103-SC_Z,0))</f>
        <v/>
      </c>
      <c r="F103" s="32" t="str">
        <f aca="false">IF(B103="","",SC_s*(1-0.2*(SC_xmb+(SC_n-1)*SC_xmt)*E103/(SC_n*SC_b))*SC_m*SC_n*SC_b*SQRT(2*g_)*E103^1.5)</f>
        <v/>
      </c>
      <c r="G103" s="32" t="str">
        <f aca="false">IF(B103="","",D103+F103)</f>
        <v/>
      </c>
      <c r="H103" s="25" t="str">
        <f aca="false">IF(B103="","",INDEX(Bang_F,MATCH(B103,Bang_Z,1))+(B103-INDEX(Bang_Z,MATCH(B103,Bang_Z,1)))*(INDEX(Bang_F,MATCH(B103,Bang_Z,1)+1)-INDEX(Bang_F,MATCH(B103,Bang_Z,1))))</f>
        <v/>
      </c>
      <c r="I103" s="25" t="str">
        <f aca="false">IF(B103="","",INDEX(Bang_W,MATCH(B103,Bang_Z,1))+(B103-INDEX(Bang_Z,MATCH(B103,Bang_Z,1)))*(INDEX(Bang_F,MATCH(B103,Bang_Z,1))+H103)/2)</f>
        <v/>
      </c>
      <c r="J103" s="32" t="str">
        <f aca="false">IF(B103="","",I103*1000000/dt_s)</f>
        <v/>
      </c>
      <c r="K103" s="32" t="str">
        <f aca="false">IF(B103="","",J103+G103/2)</f>
        <v/>
      </c>
      <c r="L103" s="32" t="str">
        <f aca="false">IF(B103="","",J103+D103/2)</f>
        <v/>
      </c>
    </row>
    <row r="104" customFormat="false" ht="15" hidden="false" customHeight="false" outlineLevel="0" collapsed="false">
      <c r="A104" s="46" t="str">
        <f aca="false">IF(B104="","",ROW()-6)</f>
        <v/>
      </c>
      <c r="B104" s="47" t="str">
        <f aca="false">IF(B103="","",IF(B103+Buoc_in&gt;Z_cuoi_in+0.000001,"",ROUND(B103+Buoc_in,2)))</f>
        <v/>
      </c>
      <c r="C104" s="24" t="str">
        <f aca="false">IF(B104="","",MAX(B104-TC_Z,0))</f>
        <v/>
      </c>
      <c r="D104" s="32" t="str">
        <f aca="false">IF(B104="","",TC_s*(1-0.2*(TC_xmb+(TC_n-1)*TC_xmt)*C104/(TC_n*TC_b))*TC_m*TC_n*TC_b*SQRT(2*g_)*C104^1.5)</f>
        <v/>
      </c>
      <c r="E104" s="24" t="str">
        <f aca="false">IF(B104="","",MAX(B104-SC_Z,0))</f>
        <v/>
      </c>
      <c r="F104" s="32" t="str">
        <f aca="false">IF(B104="","",SC_s*(1-0.2*(SC_xmb+(SC_n-1)*SC_xmt)*E104/(SC_n*SC_b))*SC_m*SC_n*SC_b*SQRT(2*g_)*E104^1.5)</f>
        <v/>
      </c>
      <c r="G104" s="32" t="str">
        <f aca="false">IF(B104="","",D104+F104)</f>
        <v/>
      </c>
      <c r="H104" s="25" t="str">
        <f aca="false">IF(B104="","",INDEX(Bang_F,MATCH(B104,Bang_Z,1))+(B104-INDEX(Bang_Z,MATCH(B104,Bang_Z,1)))*(INDEX(Bang_F,MATCH(B104,Bang_Z,1)+1)-INDEX(Bang_F,MATCH(B104,Bang_Z,1))))</f>
        <v/>
      </c>
      <c r="I104" s="25" t="str">
        <f aca="false">IF(B104="","",INDEX(Bang_W,MATCH(B104,Bang_Z,1))+(B104-INDEX(Bang_Z,MATCH(B104,Bang_Z,1)))*(INDEX(Bang_F,MATCH(B104,Bang_Z,1))+H104)/2)</f>
        <v/>
      </c>
      <c r="J104" s="32" t="str">
        <f aca="false">IF(B104="","",I104*1000000/dt_s)</f>
        <v/>
      </c>
      <c r="K104" s="32" t="str">
        <f aca="false">IF(B104="","",J104+G104/2)</f>
        <v/>
      </c>
      <c r="L104" s="32" t="str">
        <f aca="false">IF(B104="","",J104+D104/2)</f>
        <v/>
      </c>
    </row>
    <row r="105" customFormat="false" ht="15" hidden="false" customHeight="false" outlineLevel="0" collapsed="false">
      <c r="A105" s="46" t="str">
        <f aca="false">IF(B105="","",ROW()-6)</f>
        <v/>
      </c>
      <c r="B105" s="47" t="str">
        <f aca="false">IF(B104="","",IF(B104+Buoc_in&gt;Z_cuoi_in+0.000001,"",ROUND(B104+Buoc_in,2)))</f>
        <v/>
      </c>
      <c r="C105" s="24" t="str">
        <f aca="false">IF(B105="","",MAX(B105-TC_Z,0))</f>
        <v/>
      </c>
      <c r="D105" s="32" t="str">
        <f aca="false">IF(B105="","",TC_s*(1-0.2*(TC_xmb+(TC_n-1)*TC_xmt)*C105/(TC_n*TC_b))*TC_m*TC_n*TC_b*SQRT(2*g_)*C105^1.5)</f>
        <v/>
      </c>
      <c r="E105" s="24" t="str">
        <f aca="false">IF(B105="","",MAX(B105-SC_Z,0))</f>
        <v/>
      </c>
      <c r="F105" s="32" t="str">
        <f aca="false">IF(B105="","",SC_s*(1-0.2*(SC_xmb+(SC_n-1)*SC_xmt)*E105/(SC_n*SC_b))*SC_m*SC_n*SC_b*SQRT(2*g_)*E105^1.5)</f>
        <v/>
      </c>
      <c r="G105" s="32" t="str">
        <f aca="false">IF(B105="","",D105+F105)</f>
        <v/>
      </c>
      <c r="H105" s="25" t="str">
        <f aca="false">IF(B105="","",INDEX(Bang_F,MATCH(B105,Bang_Z,1))+(B105-INDEX(Bang_Z,MATCH(B105,Bang_Z,1)))*(INDEX(Bang_F,MATCH(B105,Bang_Z,1)+1)-INDEX(Bang_F,MATCH(B105,Bang_Z,1))))</f>
        <v/>
      </c>
      <c r="I105" s="25" t="str">
        <f aca="false">IF(B105="","",INDEX(Bang_W,MATCH(B105,Bang_Z,1))+(B105-INDEX(Bang_Z,MATCH(B105,Bang_Z,1)))*(INDEX(Bang_F,MATCH(B105,Bang_Z,1))+H105)/2)</f>
        <v/>
      </c>
      <c r="J105" s="32" t="str">
        <f aca="false">IF(B105="","",I105*1000000/dt_s)</f>
        <v/>
      </c>
      <c r="K105" s="32" t="str">
        <f aca="false">IF(B105="","",J105+G105/2)</f>
        <v/>
      </c>
      <c r="L105" s="32" t="str">
        <f aca="false">IF(B105="","",J105+D105/2)</f>
        <v/>
      </c>
    </row>
    <row r="106" customFormat="false" ht="15" hidden="false" customHeight="false" outlineLevel="0" collapsed="false">
      <c r="A106" s="46" t="str">
        <f aca="false">IF(B106="","",ROW()-6)</f>
        <v/>
      </c>
      <c r="B106" s="47" t="str">
        <f aca="false">IF(B105="","",IF(B105+Buoc_in&gt;Z_cuoi_in+0.000001,"",ROUND(B105+Buoc_in,2)))</f>
        <v/>
      </c>
      <c r="C106" s="24" t="str">
        <f aca="false">IF(B106="","",MAX(B106-TC_Z,0))</f>
        <v/>
      </c>
      <c r="D106" s="32" t="str">
        <f aca="false">IF(B106="","",TC_s*(1-0.2*(TC_xmb+(TC_n-1)*TC_xmt)*C106/(TC_n*TC_b))*TC_m*TC_n*TC_b*SQRT(2*g_)*C106^1.5)</f>
        <v/>
      </c>
      <c r="E106" s="24" t="str">
        <f aca="false">IF(B106="","",MAX(B106-SC_Z,0))</f>
        <v/>
      </c>
      <c r="F106" s="32" t="str">
        <f aca="false">IF(B106="","",SC_s*(1-0.2*(SC_xmb+(SC_n-1)*SC_xmt)*E106/(SC_n*SC_b))*SC_m*SC_n*SC_b*SQRT(2*g_)*E106^1.5)</f>
        <v/>
      </c>
      <c r="G106" s="32" t="str">
        <f aca="false">IF(B106="","",D106+F106)</f>
        <v/>
      </c>
      <c r="H106" s="25" t="str">
        <f aca="false">IF(B106="","",INDEX(Bang_F,MATCH(B106,Bang_Z,1))+(B106-INDEX(Bang_Z,MATCH(B106,Bang_Z,1)))*(INDEX(Bang_F,MATCH(B106,Bang_Z,1)+1)-INDEX(Bang_F,MATCH(B106,Bang_Z,1))))</f>
        <v/>
      </c>
      <c r="I106" s="25" t="str">
        <f aca="false">IF(B106="","",INDEX(Bang_W,MATCH(B106,Bang_Z,1))+(B106-INDEX(Bang_Z,MATCH(B106,Bang_Z,1)))*(INDEX(Bang_F,MATCH(B106,Bang_Z,1))+H106)/2)</f>
        <v/>
      </c>
      <c r="J106" s="32" t="str">
        <f aca="false">IF(B106="","",I106*1000000/dt_s)</f>
        <v/>
      </c>
      <c r="K106" s="32" t="str">
        <f aca="false">IF(B106="","",J106+G106/2)</f>
        <v/>
      </c>
      <c r="L106" s="32" t="str">
        <f aca="false">IF(B106="","",J106+D106/2)</f>
        <v/>
      </c>
    </row>
    <row r="107" customFormat="false" ht="15" hidden="false" customHeight="false" outlineLevel="0" collapsed="false">
      <c r="A107" s="46" t="str">
        <f aca="false">IF(B107="","",ROW()-6)</f>
        <v/>
      </c>
      <c r="B107" s="47" t="str">
        <f aca="false">IF(B106="","",IF(B106+Buoc_in&gt;Z_cuoi_in+0.000001,"",ROUND(B106+Buoc_in,2)))</f>
        <v/>
      </c>
      <c r="C107" s="24" t="str">
        <f aca="false">IF(B107="","",MAX(B107-TC_Z,0))</f>
        <v/>
      </c>
      <c r="D107" s="32" t="str">
        <f aca="false">IF(B107="","",TC_s*(1-0.2*(TC_xmb+(TC_n-1)*TC_xmt)*C107/(TC_n*TC_b))*TC_m*TC_n*TC_b*SQRT(2*g_)*C107^1.5)</f>
        <v/>
      </c>
      <c r="E107" s="24" t="str">
        <f aca="false">IF(B107="","",MAX(B107-SC_Z,0))</f>
        <v/>
      </c>
      <c r="F107" s="32" t="str">
        <f aca="false">IF(B107="","",SC_s*(1-0.2*(SC_xmb+(SC_n-1)*SC_xmt)*E107/(SC_n*SC_b))*SC_m*SC_n*SC_b*SQRT(2*g_)*E107^1.5)</f>
        <v/>
      </c>
      <c r="G107" s="32" t="str">
        <f aca="false">IF(B107="","",D107+F107)</f>
        <v/>
      </c>
      <c r="H107" s="25" t="str">
        <f aca="false">IF(B107="","",INDEX(Bang_F,MATCH(B107,Bang_Z,1))+(B107-INDEX(Bang_Z,MATCH(B107,Bang_Z,1)))*(INDEX(Bang_F,MATCH(B107,Bang_Z,1)+1)-INDEX(Bang_F,MATCH(B107,Bang_Z,1))))</f>
        <v/>
      </c>
      <c r="I107" s="25" t="str">
        <f aca="false">IF(B107="","",INDEX(Bang_W,MATCH(B107,Bang_Z,1))+(B107-INDEX(Bang_Z,MATCH(B107,Bang_Z,1)))*(INDEX(Bang_F,MATCH(B107,Bang_Z,1))+H107)/2)</f>
        <v/>
      </c>
      <c r="J107" s="32" t="str">
        <f aca="false">IF(B107="","",I107*1000000/dt_s)</f>
        <v/>
      </c>
      <c r="K107" s="32" t="str">
        <f aca="false">IF(B107="","",J107+G107/2)</f>
        <v/>
      </c>
      <c r="L107" s="32" t="str">
        <f aca="false">IF(B107="","",J107+D107/2)</f>
        <v/>
      </c>
    </row>
  </sheetData>
  <mergeCells count="3">
    <mergeCell ref="A4:B4"/>
    <mergeCell ref="D4:E4"/>
    <mergeCell ref="G4:H4"/>
  </mergeCells>
  <conditionalFormatting sqref="A7:L107">
    <cfRule type="expression" priority="2" aboveAverage="0" equalAverage="0" bottom="0" percent="0" rank="0" text="" dxfId="1">
      <formula>$B7&lt;&gt;""</formula>
    </cfRule>
  </conditionalFormatting>
  <dataValidations count="1">
    <dataValidation allowBlank="false" errorStyle="stop" operator="between" showDropDown="false" showErrorMessage="false" showInputMessage="false" sqref="I4" type="list">
      <formula1>"0.1,0.2,0.5"</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AF7A"/>
    <pageSetUpPr fitToPage="true"/>
  </sheetPr>
  <dimension ref="A1:J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11"/>
    <col collapsed="false" customWidth="true" hidden="false" outlineLevel="0" max="4" min="4" style="0" width="9"/>
    <col collapsed="false" customWidth="true" hidden="false" outlineLevel="0" max="5" min="5" style="0" width="11"/>
    <col collapsed="false" customWidth="true" hidden="false" outlineLevel="0" max="8" min="6" style="0" width="12"/>
    <col collapsed="false" customWidth="true" hidden="false" outlineLevel="0" max="9" min="9" style="0" width="14"/>
    <col collapsed="false" customWidth="true" hidden="false" outlineLevel="0" max="10" min="10" style="0" width="30"/>
  </cols>
  <sheetData>
    <row r="1" customFormat="false" ht="17.35" hidden="false" customHeight="false" outlineLevel="0" collapsed="false">
      <c r="A1" s="6" t="s">
        <v>135</v>
      </c>
    </row>
    <row r="3" customFormat="false" ht="45" hidden="false" customHeight="true" outlineLevel="0" collapsed="false">
      <c r="A3" s="9" t="s">
        <v>136</v>
      </c>
      <c r="B3" s="9" t="s">
        <v>137</v>
      </c>
      <c r="C3" s="9" t="s">
        <v>138</v>
      </c>
      <c r="D3" s="9" t="s">
        <v>72</v>
      </c>
      <c r="E3" s="9" t="s">
        <v>139</v>
      </c>
      <c r="F3" s="9" t="s">
        <v>140</v>
      </c>
      <c r="G3" s="9" t="s">
        <v>141</v>
      </c>
      <c r="H3" s="9" t="s">
        <v>142</v>
      </c>
      <c r="I3" s="9" t="s">
        <v>143</v>
      </c>
      <c r="J3" s="9" t="s">
        <v>144</v>
      </c>
    </row>
    <row r="4" customFormat="false" ht="15" hidden="false" customHeight="false" outlineLevel="0" collapsed="false">
      <c r="A4" s="10" t="s">
        <v>145</v>
      </c>
      <c r="B4" s="12" t="str">
        <f aca="false">P1_HaiTran!C3&amp;" – "&amp;P1_HaiTran!F3</f>
        <v>1 – Hai tràn</v>
      </c>
      <c r="C4" s="21" t="n">
        <f aca="false">P1_HaiTran!F6</f>
        <v>77.6079256047331</v>
      </c>
      <c r="D4" s="48" t="n">
        <f aca="false">P1_HaiTran!F7</f>
        <v>16</v>
      </c>
      <c r="E4" s="49" t="n">
        <f aca="false">P1_HaiTran!F8</f>
        <v>326.748241000745</v>
      </c>
      <c r="F4" s="49" t="n">
        <f aca="false">P1_HaiTran!F9</f>
        <v>188.781024337192</v>
      </c>
      <c r="G4" s="49" t="n">
        <f aca="false">P1_HaiTran!G9</f>
        <v>137.967216663554</v>
      </c>
      <c r="H4" s="50" t="n">
        <f aca="false">P1_HaiTran!F11</f>
        <v>20.3313768129942</v>
      </c>
      <c r="I4" s="22" t="n">
        <v>77.63</v>
      </c>
      <c r="J4" s="13" t="s">
        <v>146</v>
      </c>
    </row>
    <row r="5" customFormat="false" ht="15" hidden="false" customHeight="false" outlineLevel="0" collapsed="false">
      <c r="A5" s="10" t="s">
        <v>147</v>
      </c>
      <c r="B5" s="12" t="str">
        <f aca="false">P1_KetVan!C3&amp;" – "&amp;P1_KetVan!F3</f>
        <v>1 – Kẹt van</v>
      </c>
      <c r="C5" s="21" t="n">
        <f aca="false">P1_KetVan!F6</f>
        <v>78.2048023895375</v>
      </c>
      <c r="D5" s="48" t="n">
        <f aca="false">P1_KetVan!F7</f>
        <v>17</v>
      </c>
      <c r="E5" s="49" t="n">
        <f aca="false">P1_KetVan!F8</f>
        <v>243.076117997252</v>
      </c>
      <c r="F5" s="49" t="n">
        <f aca="false">P1_KetVan!F9</f>
        <v>243.076117997252</v>
      </c>
      <c r="G5" s="49" t="n">
        <f aca="false">P1_KetVan!G9</f>
        <v>0</v>
      </c>
      <c r="H5" s="50" t="n">
        <f aca="false">P1_KetVan!F11</f>
        <v>25.0243112118812</v>
      </c>
      <c r="I5" s="22" t="n">
        <v>78.21</v>
      </c>
      <c r="J5" s="13" t="s">
        <v>148</v>
      </c>
    </row>
    <row r="6" customFormat="false" ht="15" hidden="false" customHeight="false" outlineLevel="0" collapsed="false">
      <c r="A6" s="10" t="s">
        <v>149</v>
      </c>
      <c r="B6" s="12" t="str">
        <f aca="false">P02_HaiTran!C3&amp;" – "&amp;P02_HaiTran!F3</f>
        <v>0.2 – Hai tràn</v>
      </c>
      <c r="C6" s="21" t="n">
        <f aca="false">P02_HaiTran!F6</f>
        <v>78.5143600647203</v>
      </c>
      <c r="D6" s="48" t="n">
        <f aca="false">P02_HaiTran!F7</f>
        <v>15</v>
      </c>
      <c r="E6" s="49" t="n">
        <f aca="false">P02_HaiTran!F8</f>
        <v>434.126507161346</v>
      </c>
      <c r="F6" s="49" t="n">
        <f aca="false">P02_HaiTran!F9</f>
        <v>272.02921202443</v>
      </c>
      <c r="G6" s="49" t="n">
        <f aca="false">P02_HaiTran!G9</f>
        <v>162.097295136917</v>
      </c>
      <c r="H6" s="50" t="n">
        <f aca="false">P02_HaiTran!F11</f>
        <v>27.5309950904475</v>
      </c>
      <c r="I6" s="22" t="n">
        <v>78.54</v>
      </c>
      <c r="J6" s="13" t="s">
        <v>150</v>
      </c>
    </row>
    <row r="7" customFormat="false" ht="15" hidden="false" customHeight="false" outlineLevel="0" collapsed="false">
      <c r="A7" s="10" t="s">
        <v>151</v>
      </c>
      <c r="B7" s="12" t="str">
        <f aca="false">P02_KetVan!C3&amp;" – "&amp;P02_KetVan!F3</f>
        <v>0.2 – Kẹt van</v>
      </c>
      <c r="C7" s="21" t="n">
        <f aca="false">P02_KetVan!F6</f>
        <v>79.1402507451014</v>
      </c>
      <c r="D7" s="48" t="n">
        <f aca="false">P02_KetVan!F7</f>
        <v>17</v>
      </c>
      <c r="E7" s="49" t="n">
        <f aca="false">P02_KetVan!F8</f>
        <v>331.620673136649</v>
      </c>
      <c r="F7" s="49" t="n">
        <f aca="false">P02_KetVan!F9</f>
        <v>331.620673136649</v>
      </c>
      <c r="G7" s="49" t="n">
        <f aca="false">P02_KetVan!G9</f>
        <v>0</v>
      </c>
      <c r="H7" s="50" t="n">
        <f aca="false">P02_KetVan!F11</f>
        <v>32.7533401094404</v>
      </c>
      <c r="I7" s="22" t="n">
        <v>79.14</v>
      </c>
      <c r="J7" s="13" t="s">
        <v>152</v>
      </c>
    </row>
    <row r="9" customFormat="false" ht="15" hidden="false" customHeight="false" outlineLevel="0" collapsed="false">
      <c r="A9" s="7" t="s">
        <v>153</v>
      </c>
    </row>
    <row r="10" customFormat="false" ht="15" hidden="false" customHeight="false" outlineLevel="0" collapsed="false">
      <c r="A10" s="7" t="s">
        <v>154</v>
      </c>
    </row>
    <row r="11" customFormat="false" ht="15" hidden="false" customHeight="false" outlineLevel="0" collapsed="false">
      <c r="A11" s="8" t="s">
        <v>155</v>
      </c>
    </row>
    <row r="12" customFormat="false" ht="30" hidden="false" customHeight="true" outlineLevel="0" collapsed="false">
      <c r="A12" s="9" t="s">
        <v>156</v>
      </c>
      <c r="B12" s="9" t="s">
        <v>157</v>
      </c>
      <c r="C12" s="9" t="s">
        <v>158</v>
      </c>
      <c r="D12" s="9"/>
      <c r="E12" s="9"/>
      <c r="F12" s="9" t="s">
        <v>159</v>
      </c>
      <c r="G12" s="9"/>
      <c r="H12" s="9"/>
      <c r="I12" s="9"/>
      <c r="J12" s="9"/>
    </row>
    <row r="13" customFormat="false" ht="15" hidden="false" customHeight="false" outlineLevel="0" collapsed="false">
      <c r="A13" s="10" t="s">
        <v>160</v>
      </c>
      <c r="B13" s="22" t="n">
        <v>78.28</v>
      </c>
      <c r="C13" s="22" t="n">
        <v>79.15</v>
      </c>
      <c r="F13" s="13" t="s">
        <v>161</v>
      </c>
      <c r="G13" s="13"/>
      <c r="H13" s="13"/>
      <c r="I13" s="13"/>
      <c r="J13" s="13"/>
    </row>
    <row r="14" customFormat="false" ht="15" hidden="false" customHeight="false" outlineLevel="0" collapsed="false">
      <c r="A14" s="10" t="s">
        <v>162</v>
      </c>
      <c r="B14" s="22" t="n">
        <v>78.37</v>
      </c>
      <c r="C14" s="22" t="n">
        <v>79.39</v>
      </c>
      <c r="F14" s="13" t="s">
        <v>163</v>
      </c>
      <c r="G14" s="13"/>
      <c r="H14" s="13"/>
      <c r="I14" s="13"/>
      <c r="J14" s="13"/>
    </row>
    <row r="15" customFormat="false" ht="15" hidden="false" customHeight="false" outlineLevel="0" collapsed="false">
      <c r="A15" s="10" t="s">
        <v>164</v>
      </c>
      <c r="B15" s="21" t="n">
        <f aca="false">C5</f>
        <v>78.2048023895375</v>
      </c>
      <c r="C15" s="21" t="n">
        <f aca="false">C7</f>
        <v>79.1402507451014</v>
      </c>
      <c r="F15" s="13" t="s">
        <v>165</v>
      </c>
      <c r="G15" s="13"/>
      <c r="H15" s="13"/>
      <c r="I15" s="13"/>
      <c r="J15" s="13"/>
    </row>
    <row r="16" customFormat="false" ht="15" hidden="false" customHeight="false" outlineLevel="0" collapsed="false">
      <c r="A16" s="10" t="s">
        <v>166</v>
      </c>
      <c r="B16" s="21" t="n">
        <f aca="false">C4</f>
        <v>77.6079256047331</v>
      </c>
      <c r="C16" s="21" t="n">
        <f aca="false">C6</f>
        <v>78.5143600647203</v>
      </c>
      <c r="F16" s="13" t="s">
        <v>167</v>
      </c>
      <c r="G16" s="13"/>
      <c r="H16" s="13"/>
      <c r="I16" s="13"/>
      <c r="J16" s="13"/>
    </row>
    <row r="18" customFormat="false" ht="15" hidden="false" customHeight="false" outlineLevel="0" collapsed="false">
      <c r="A18" s="20" t="s">
        <v>168</v>
      </c>
      <c r="D18" s="21" t="n">
        <f aca="false">C4</f>
        <v>77.6079256047331</v>
      </c>
    </row>
    <row r="19" customFormat="false" ht="15" hidden="false" customHeight="false" outlineLevel="0" collapsed="false">
      <c r="A19" s="20" t="s">
        <v>169</v>
      </c>
      <c r="D19" s="21" t="n">
        <f aca="false">C6</f>
        <v>78.5143600647203</v>
      </c>
    </row>
    <row r="21" customFormat="false" ht="15" hidden="false" customHeight="false" outlineLevel="0" collapsed="false">
      <c r="A21" s="8" t="s">
        <v>170</v>
      </c>
    </row>
    <row r="22" customFormat="false" ht="45" hidden="false" customHeight="true" outlineLevel="0" collapsed="false">
      <c r="A22" s="9" t="s">
        <v>72</v>
      </c>
      <c r="B22" s="9" t="s">
        <v>171</v>
      </c>
      <c r="C22" s="9" t="s">
        <v>172</v>
      </c>
      <c r="D22" s="9" t="s">
        <v>173</v>
      </c>
      <c r="E22" s="9" t="s">
        <v>174</v>
      </c>
      <c r="F22" s="9" t="s">
        <v>175</v>
      </c>
      <c r="G22" s="9" t="s">
        <v>176</v>
      </c>
      <c r="H22" s="9" t="s">
        <v>177</v>
      </c>
    </row>
    <row r="23" customFormat="false" ht="15" hidden="false" customHeight="false" outlineLevel="0" collapsed="false">
      <c r="A23" s="35" t="n">
        <f aca="false">P1_HaiTran!A16</f>
        <v>0</v>
      </c>
      <c r="B23" s="40" t="n">
        <f aca="false">P1_HaiTran!B16</f>
        <v>2</v>
      </c>
      <c r="C23" s="40" t="n">
        <f aca="false">P1_HaiTran!J16</f>
        <v>63.5823321712985</v>
      </c>
      <c r="D23" s="40" t="n">
        <f aca="false">P1_KetVan!J16</f>
        <v>0</v>
      </c>
      <c r="E23" s="51" t="n">
        <f aca="false">P1_HaiTran!G16</f>
        <v>74.7</v>
      </c>
      <c r="F23" s="51" t="n">
        <f aca="false">P1_KetVan!G16</f>
        <v>74.7</v>
      </c>
      <c r="G23" s="51" t="n">
        <f aca="false">P02_HaiTran!G16</f>
        <v>74.7</v>
      </c>
      <c r="H23" s="51" t="n">
        <f aca="false">P02_KetVan!G16</f>
        <v>74.7</v>
      </c>
    </row>
    <row r="24" customFormat="false" ht="15" hidden="false" customHeight="false" outlineLevel="0" collapsed="false">
      <c r="A24" s="35" t="n">
        <f aca="false">P1_HaiTran!A17</f>
        <v>1</v>
      </c>
      <c r="B24" s="40" t="n">
        <f aca="false">P1_HaiTran!B17</f>
        <v>2</v>
      </c>
      <c r="C24" s="40" t="n">
        <f aca="false">P1_HaiTran!J17</f>
        <v>62.7447183269476</v>
      </c>
      <c r="D24" s="40" t="n">
        <f aca="false">P1_KetVan!J17</f>
        <v>0.015450380866394</v>
      </c>
      <c r="E24" s="51" t="n">
        <f aca="false">P1_HaiTran!G17</f>
        <v>74.6646510369406</v>
      </c>
      <c r="F24" s="51" t="n">
        <f aca="false">P1_KetVan!G17</f>
        <v>74.701139346992</v>
      </c>
      <c r="G24" s="51" t="n">
        <f aca="false">P02_HaiTran!G17</f>
        <v>74.6657990598171</v>
      </c>
      <c r="H24" s="51" t="n">
        <f aca="false">P02_KetVan!G17</f>
        <v>74.7022786939839</v>
      </c>
    </row>
    <row r="25" customFormat="false" ht="15" hidden="false" customHeight="false" outlineLevel="0" collapsed="false">
      <c r="A25" s="35" t="n">
        <f aca="false">P1_HaiTran!A18</f>
        <v>2</v>
      </c>
      <c r="B25" s="40" t="n">
        <f aca="false">P1_HaiTran!B18</f>
        <v>50</v>
      </c>
      <c r="C25" s="40" t="n">
        <f aca="false">P1_HaiTran!J18</f>
        <v>62.2449339944574</v>
      </c>
      <c r="D25" s="40" t="n">
        <f aca="false">P1_KetVan!J18</f>
        <v>0.216185974995059</v>
      </c>
      <c r="E25" s="51" t="n">
        <f aca="false">P1_HaiTran!G18</f>
        <v>74.6435591483263</v>
      </c>
      <c r="F25" s="51" t="n">
        <f aca="false">P1_KetVan!G18</f>
        <v>74.7159420562151</v>
      </c>
      <c r="G25" s="51" t="n">
        <f aca="false">P02_HaiTran!G18</f>
        <v>74.6550237622251</v>
      </c>
      <c r="H25" s="51" t="n">
        <f aca="false">P02_KetVan!G18</f>
        <v>74.7273267244623</v>
      </c>
    </row>
    <row r="26" customFormat="false" ht="15" hidden="false" customHeight="false" outlineLevel="0" collapsed="false">
      <c r="A26" s="35" t="n">
        <f aca="false">P1_HaiTran!A19</f>
        <v>3</v>
      </c>
      <c r="B26" s="40" t="n">
        <f aca="false">P1_HaiTran!B19</f>
        <v>207</v>
      </c>
      <c r="C26" s="40" t="n">
        <f aca="false">P1_HaiTran!J19</f>
        <v>63.1461041610931</v>
      </c>
      <c r="D26" s="40" t="n">
        <f aca="false">P1_KetVan!J19</f>
        <v>1.20720286783505</v>
      </c>
      <c r="E26" s="51" t="n">
        <f aca="false">P1_HaiTran!G19</f>
        <v>74.6815903140544</v>
      </c>
      <c r="F26" s="51" t="n">
        <f aca="false">P1_KetVan!G19</f>
        <v>74.7890219450289</v>
      </c>
      <c r="G26" s="51" t="n">
        <f aca="false">P02_HaiTran!G19</f>
        <v>74.7357200112288</v>
      </c>
      <c r="H26" s="51" t="n">
        <f aca="false">P02_KetVan!G19</f>
        <v>74.8427476361973</v>
      </c>
    </row>
    <row r="27" customFormat="false" ht="15" hidden="false" customHeight="false" outlineLevel="0" collapsed="false">
      <c r="A27" s="35" t="n">
        <f aca="false">P1_HaiTran!A20</f>
        <v>4</v>
      </c>
      <c r="B27" s="40" t="n">
        <f aca="false">P1_HaiTran!B20</f>
        <v>437</v>
      </c>
      <c r="C27" s="40" t="n">
        <f aca="false">P1_HaiTran!J20</f>
        <v>68.6874749025587</v>
      </c>
      <c r="D27" s="40" t="n">
        <f aca="false">P1_KetVan!J20</f>
        <v>5.99538230559741</v>
      </c>
      <c r="E27" s="51" t="n">
        <f aca="false">P1_HaiTran!G20</f>
        <v>74.8279398874281</v>
      </c>
      <c r="F27" s="51" t="n">
        <f aca="false">P1_KetVan!G20</f>
        <v>74.9686212059506</v>
      </c>
      <c r="G27" s="51" t="n">
        <f aca="false">P02_HaiTran!G20</f>
        <v>74.9718857522888</v>
      </c>
      <c r="H27" s="51" t="n">
        <f aca="false">P02_KetVan!G20</f>
        <v>75.1118285490324</v>
      </c>
    </row>
    <row r="28" customFormat="false" ht="15" hidden="false" customHeight="false" outlineLevel="0" collapsed="false">
      <c r="A28" s="35" t="n">
        <f aca="false">P1_HaiTran!A21</f>
        <v>5</v>
      </c>
      <c r="B28" s="40" t="n">
        <f aca="false">P1_HaiTran!B21</f>
        <v>657</v>
      </c>
      <c r="C28" s="40" t="n">
        <f aca="false">P1_HaiTran!J21</f>
        <v>83.4455867136531</v>
      </c>
      <c r="D28" s="40" t="n">
        <f aca="false">P1_KetVan!J21</f>
        <v>17.8939608193328</v>
      </c>
      <c r="E28" s="51" t="n">
        <f aca="false">P1_HaiTran!G21</f>
        <v>75.0916825228357</v>
      </c>
      <c r="F28" s="51" t="n">
        <f aca="false">P1_KetVan!G21</f>
        <v>75.2644943185723</v>
      </c>
      <c r="G28" s="51" t="n">
        <f aca="false">P02_HaiTran!G21</f>
        <v>75.3640243851251</v>
      </c>
      <c r="H28" s="51" t="n">
        <f aca="false">P02_KetVan!G21</f>
        <v>75.5367653871904</v>
      </c>
    </row>
    <row r="29" customFormat="false" ht="15" hidden="false" customHeight="false" outlineLevel="0" collapsed="false">
      <c r="A29" s="35" t="n">
        <f aca="false">P1_HaiTran!A22</f>
        <v>6</v>
      </c>
      <c r="B29" s="40" t="n">
        <f aca="false">P1_HaiTran!B22</f>
        <v>816</v>
      </c>
      <c r="C29" s="40" t="n">
        <f aca="false">P1_HaiTran!J22</f>
        <v>108.461483808235</v>
      </c>
      <c r="D29" s="40" t="n">
        <f aca="false">P1_KetVan!J22</f>
        <v>38.237633119706</v>
      </c>
      <c r="E29" s="51" t="n">
        <f aca="false">P1_HaiTran!G22</f>
        <v>75.4422128846623</v>
      </c>
      <c r="F29" s="51" t="n">
        <f aca="false">P1_KetVan!G22</f>
        <v>75.6473896833575</v>
      </c>
      <c r="G29" s="51" t="n">
        <f aca="false">P02_HaiTran!G22</f>
        <v>75.8599294426409</v>
      </c>
      <c r="H29" s="51" t="n">
        <f aca="false">P02_KetVan!G22</f>
        <v>76.0659870930294</v>
      </c>
    </row>
    <row r="30" customFormat="false" ht="15" hidden="false" customHeight="false" outlineLevel="0" collapsed="false">
      <c r="A30" s="35" t="n">
        <f aca="false">P1_HaiTran!A23</f>
        <v>7</v>
      </c>
      <c r="B30" s="40" t="n">
        <f aca="false">P1_HaiTran!B23</f>
        <v>898</v>
      </c>
      <c r="C30" s="40" t="n">
        <f aca="false">P1_HaiTran!J23</f>
        <v>141.191814327621</v>
      </c>
      <c r="D30" s="40" t="n">
        <f aca="false">P1_KetVan!J23</f>
        <v>65.3818070691551</v>
      </c>
      <c r="E30" s="51" t="n">
        <f aca="false">P1_HaiTran!G23</f>
        <v>75.8332568699791</v>
      </c>
      <c r="F30" s="51" t="n">
        <f aca="false">P1_KetVan!G23</f>
        <v>76.0712744854281</v>
      </c>
      <c r="G30" s="51" t="n">
        <f aca="false">P02_HaiTran!G23</f>
        <v>76.3901988833981</v>
      </c>
      <c r="H30" s="51" t="n">
        <f aca="false">P02_KetVan!G23</f>
        <v>76.6302068801042</v>
      </c>
    </row>
    <row r="31" customFormat="false" ht="15" hidden="false" customHeight="false" outlineLevel="0" collapsed="false">
      <c r="A31" s="35" t="n">
        <f aca="false">P1_HaiTran!A24</f>
        <v>8</v>
      </c>
      <c r="B31" s="40" t="n">
        <f aca="false">P1_HaiTran!B24</f>
        <v>914</v>
      </c>
      <c r="C31" s="40" t="n">
        <f aca="false">P1_HaiTran!J24</f>
        <v>177.492019392864</v>
      </c>
      <c r="D31" s="40" t="n">
        <f aca="false">P1_KetVan!J24</f>
        <v>96.0154957909195</v>
      </c>
      <c r="E31" s="51" t="n">
        <f aca="false">P1_HaiTran!G24</f>
        <v>76.2219283343402</v>
      </c>
      <c r="F31" s="51" t="n">
        <f aca="false">P1_KetVan!G24</f>
        <v>76.4932857075707</v>
      </c>
      <c r="G31" s="51" t="n">
        <f aca="false">P02_HaiTran!G24</f>
        <v>76.8971196588953</v>
      </c>
      <c r="H31" s="51" t="n">
        <f aca="false">P02_KetVan!G24</f>
        <v>77.1731705350896</v>
      </c>
    </row>
    <row r="32" customFormat="false" ht="15" hidden="false" customHeight="false" outlineLevel="0" collapsed="false">
      <c r="A32" s="35" t="n">
        <f aca="false">P1_HaiTran!A25</f>
        <v>9</v>
      </c>
      <c r="B32" s="40" t="n">
        <f aca="false">P1_HaiTran!B25</f>
        <v>879</v>
      </c>
      <c r="C32" s="40" t="n">
        <f aca="false">P1_HaiTran!J25</f>
        <v>213.264015609186</v>
      </c>
      <c r="D32" s="40" t="n">
        <f aca="false">P1_KetVan!J25</f>
        <v>126.838006529791</v>
      </c>
      <c r="E32" s="51" t="n">
        <f aca="false">P1_HaiTran!G25</f>
        <v>76.5774335450504</v>
      </c>
      <c r="F32" s="51" t="n">
        <f aca="false">P1_KetVan!G25</f>
        <v>76.8834026433125</v>
      </c>
      <c r="G32" s="51" t="n">
        <f aca="false">P02_HaiTran!G25</f>
        <v>77.3457404625878</v>
      </c>
      <c r="H32" s="51" t="n">
        <f aca="false">P02_KetVan!G25</f>
        <v>77.6601514914498</v>
      </c>
    </row>
    <row r="33" customFormat="false" ht="15" hidden="false" customHeight="false" outlineLevel="0" collapsed="false">
      <c r="A33" s="35" t="n">
        <f aca="false">P1_HaiTran!A26</f>
        <v>10</v>
      </c>
      <c r="B33" s="40" t="n">
        <f aca="false">P1_HaiTran!B26</f>
        <v>812</v>
      </c>
      <c r="C33" s="40" t="n">
        <f aca="false">P1_HaiTran!J26</f>
        <v>245.561376405628</v>
      </c>
      <c r="D33" s="40" t="n">
        <f aca="false">P1_KetVan!J26</f>
        <v>155.37011258532</v>
      </c>
      <c r="E33" s="51" t="n">
        <f aca="false">P1_HaiTran!G26</f>
        <v>76.8827303727112</v>
      </c>
      <c r="F33" s="51" t="n">
        <f aca="false">P1_KetVan!G26</f>
        <v>77.2247824308013</v>
      </c>
      <c r="G33" s="51" t="n">
        <f aca="false">P02_HaiTran!G26</f>
        <v>77.7196555070385</v>
      </c>
      <c r="H33" s="51" t="n">
        <f aca="false">P02_KetVan!G26</f>
        <v>78.0745706273876</v>
      </c>
    </row>
    <row r="34" customFormat="false" ht="15" hidden="false" customHeight="false" outlineLevel="0" collapsed="false">
      <c r="A34" s="35" t="n">
        <f aca="false">P1_HaiTran!A27</f>
        <v>11</v>
      </c>
      <c r="B34" s="40" t="n">
        <f aca="false">P1_HaiTran!B27</f>
        <v>727</v>
      </c>
      <c r="C34" s="40" t="n">
        <f aca="false">P1_HaiTran!J27</f>
        <v>272.715172838473</v>
      </c>
      <c r="D34" s="40" t="n">
        <f aca="false">P1_KetVan!J27</f>
        <v>180.145974453468</v>
      </c>
      <c r="E34" s="51" t="n">
        <f aca="false">P1_HaiTran!G27</f>
        <v>77.1308636650131</v>
      </c>
      <c r="F34" s="51" t="n">
        <f aca="false">P1_KetVan!G27</f>
        <v>77.5103210456594</v>
      </c>
      <c r="G34" s="51" t="n">
        <f aca="false">P02_HaiTran!G27</f>
        <v>78.0146020978347</v>
      </c>
      <c r="H34" s="51" t="n">
        <f aca="false">P02_KetVan!G27</f>
        <v>78.4118139687018</v>
      </c>
    </row>
    <row r="35" customFormat="false" ht="15" hidden="false" customHeight="false" outlineLevel="0" collapsed="false">
      <c r="A35" s="35" t="n">
        <f aca="false">P1_HaiTran!A28</f>
        <v>12</v>
      </c>
      <c r="B35" s="40" t="n">
        <f aca="false">P1_HaiTran!B28</f>
        <v>636</v>
      </c>
      <c r="C35" s="40" t="n">
        <f aca="false">P1_HaiTran!J28</f>
        <v>294.051910727734</v>
      </c>
      <c r="D35" s="40" t="n">
        <f aca="false">P1_KetVan!J28</f>
        <v>200.534514357358</v>
      </c>
      <c r="E35" s="51" t="n">
        <f aca="false">P1_HaiTran!G28</f>
        <v>77.3215836169494</v>
      </c>
      <c r="F35" s="51" t="n">
        <f aca="false">P1_KetVan!G28</f>
        <v>77.7393505828882</v>
      </c>
      <c r="G35" s="51" t="n">
        <f aca="false">P02_HaiTran!G28</f>
        <v>78.2335860207002</v>
      </c>
      <c r="H35" s="51" t="n">
        <f aca="false">P02_KetVan!G28</f>
        <v>78.6744451592964</v>
      </c>
    </row>
    <row r="36" customFormat="false" ht="15" hidden="false" customHeight="false" outlineLevel="0" collapsed="false">
      <c r="A36" s="35" t="n">
        <f aca="false">P1_HaiTran!A29</f>
        <v>13</v>
      </c>
      <c r="B36" s="40" t="n">
        <f aca="false">P1_HaiTran!B29</f>
        <v>547</v>
      </c>
      <c r="C36" s="40" t="n">
        <f aca="false">P1_HaiTran!J29</f>
        <v>309.631247894074</v>
      </c>
      <c r="D36" s="40" t="n">
        <f aca="false">P1_KetVan!J29</f>
        <v>216.485622061645</v>
      </c>
      <c r="E36" s="51" t="n">
        <f aca="false">P1_HaiTran!G29</f>
        <v>77.4587838987525</v>
      </c>
      <c r="F36" s="51" t="n">
        <f aca="false">P1_KetVan!G29</f>
        <v>77.9156521866667</v>
      </c>
      <c r="G36" s="51" t="n">
        <f aca="false">P02_HaiTran!G29</f>
        <v>78.3839863154308</v>
      </c>
      <c r="H36" s="51" t="n">
        <f aca="false">P02_KetVan!G29</f>
        <v>78.8693823650968</v>
      </c>
    </row>
    <row r="37" customFormat="false" ht="15" hidden="false" customHeight="false" outlineLevel="0" collapsed="false">
      <c r="A37" s="35" t="n">
        <f aca="false">P1_HaiTran!A30</f>
        <v>14</v>
      </c>
      <c r="B37" s="40" t="n">
        <f aca="false">P1_HaiTran!B30</f>
        <v>461</v>
      </c>
      <c r="C37" s="40" t="n">
        <f aca="false">P1_HaiTran!J30</f>
        <v>319.82596520227</v>
      </c>
      <c r="D37" s="40" t="n">
        <f aca="false">P1_KetVan!J30</f>
        <v>228.228941154988</v>
      </c>
      <c r="E37" s="51" t="n">
        <f aca="false">P1_HaiTran!G30</f>
        <v>77.547772771559</v>
      </c>
      <c r="F37" s="51" t="n">
        <f aca="false">P1_KetVan!G30</f>
        <v>78.0439608684455</v>
      </c>
      <c r="G37" s="51" t="n">
        <f aca="false">P02_HaiTran!G30</f>
        <v>78.4745457587841</v>
      </c>
      <c r="H37" s="51" t="n">
        <f aca="false">P02_KetVan!G30</f>
        <v>79.00503744811</v>
      </c>
    </row>
    <row r="38" customFormat="false" ht="15" hidden="false" customHeight="false" outlineLevel="0" collapsed="false">
      <c r="A38" s="35" t="n">
        <f aca="false">P1_HaiTran!A31</f>
        <v>15</v>
      </c>
      <c r="B38" s="40" t="n">
        <f aca="false">P1_HaiTran!B31</f>
        <v>386</v>
      </c>
      <c r="C38" s="40" t="n">
        <f aca="false">P1_HaiTran!J31</f>
        <v>325.266218833005</v>
      </c>
      <c r="D38" s="40" t="n">
        <f aca="false">P1_KetVan!J31</f>
        <v>236.204312636176</v>
      </c>
      <c r="E38" s="51" t="n">
        <f aca="false">P1_HaiTran!G31</f>
        <v>77.5950918352575</v>
      </c>
      <c r="F38" s="51" t="n">
        <f aca="false">P1_KetVan!G31</f>
        <v>78.1305324981421</v>
      </c>
      <c r="G38" s="51" t="n">
        <f aca="false">P02_HaiTran!G31</f>
        <v>78.5143600647203</v>
      </c>
      <c r="H38" s="51" t="n">
        <f aca="false">P02_KetVan!G31</f>
        <v>79.0897882482442</v>
      </c>
    </row>
    <row r="39" customFormat="false" ht="15" hidden="false" customHeight="false" outlineLevel="0" collapsed="false">
      <c r="A39" s="35" t="n">
        <f aca="false">P1_HaiTran!A32</f>
        <v>16</v>
      </c>
      <c r="B39" s="40" t="n">
        <f aca="false">P1_HaiTran!B32</f>
        <v>321</v>
      </c>
      <c r="C39" s="40" t="n">
        <f aca="false">P1_HaiTran!J32</f>
        <v>326.748241000745</v>
      </c>
      <c r="D39" s="40" t="n">
        <f aca="false">P1_KetVan!J32</f>
        <v>240.993780038306</v>
      </c>
      <c r="E39" s="51" t="n">
        <f aca="false">P1_HaiTran!G32</f>
        <v>77.6079256047331</v>
      </c>
      <c r="F39" s="51" t="n">
        <f aca="false">P1_KetVan!G32</f>
        <v>78.1823156019461</v>
      </c>
      <c r="G39" s="51" t="n">
        <f aca="false">P02_HaiTran!G32</f>
        <v>78.5123805053525</v>
      </c>
      <c r="H39" s="51" t="n">
        <f aca="false">P02_KetVan!G32</f>
        <v>79.1323382778297</v>
      </c>
    </row>
    <row r="40" customFormat="false" ht="15" hidden="false" customHeight="false" outlineLevel="0" collapsed="false">
      <c r="A40" s="35" t="n">
        <f aca="false">P1_HaiTran!A33</f>
        <v>17</v>
      </c>
      <c r="B40" s="40" t="n">
        <f aca="false">P1_HaiTran!B33</f>
        <v>263</v>
      </c>
      <c r="C40" s="40" t="n">
        <f aca="false">P1_HaiTran!J33</f>
        <v>324.9243751512</v>
      </c>
      <c r="D40" s="40" t="n">
        <f aca="false">P1_KetVan!J33</f>
        <v>243.076117997252</v>
      </c>
      <c r="E40" s="51" t="n">
        <f aca="false">P1_HaiTran!G33</f>
        <v>77.5921184954001</v>
      </c>
      <c r="F40" s="51" t="n">
        <f aca="false">P1_KetVan!G33</f>
        <v>78.2048023895375</v>
      </c>
      <c r="G40" s="51" t="n">
        <f aca="false">P02_HaiTran!G33</f>
        <v>78.4763392460491</v>
      </c>
      <c r="H40" s="51" t="n">
        <f aca="false">P02_KetVan!G33</f>
        <v>79.1402507451014</v>
      </c>
    </row>
    <row r="41" customFormat="false" ht="15" hidden="false" customHeight="false" outlineLevel="0" collapsed="false">
      <c r="A41" s="35" t="n">
        <f aca="false">P1_HaiTran!A34</f>
        <v>18</v>
      </c>
      <c r="B41" s="40" t="n">
        <f aca="false">P1_HaiTran!B34</f>
        <v>214</v>
      </c>
      <c r="C41" s="40" t="n">
        <f aca="false">P1_HaiTran!J34</f>
        <v>320.389290531241</v>
      </c>
      <c r="D41" s="40" t="n">
        <f aca="false">P1_KetVan!J34</f>
        <v>242.889418525531</v>
      </c>
      <c r="E41" s="51" t="n">
        <f aca="false">P1_HaiTran!G34</f>
        <v>77.5526725481013</v>
      </c>
      <c r="F41" s="51" t="n">
        <f aca="false">P1_KetVan!G34</f>
        <v>78.2027951798682</v>
      </c>
      <c r="G41" s="51" t="n">
        <f aca="false">P02_HaiTran!G34</f>
        <v>78.4132446434452</v>
      </c>
      <c r="H41" s="51" t="n">
        <f aca="false">P02_KetVan!G34</f>
        <v>79.1201498840108</v>
      </c>
    </row>
    <row r="42" customFormat="false" ht="15" hidden="false" customHeight="false" outlineLevel="0" collapsed="false">
      <c r="A42" s="35" t="n">
        <f aca="false">P1_HaiTran!A35</f>
        <v>19</v>
      </c>
      <c r="B42" s="40" t="n">
        <f aca="false">P1_HaiTran!B35</f>
        <v>174</v>
      </c>
      <c r="C42" s="40" t="n">
        <f aca="false">P1_HaiTran!J35</f>
        <v>313.757639209451</v>
      </c>
      <c r="D42" s="40" t="n">
        <f aca="false">P1_KetVan!J35</f>
        <v>240.89336017833</v>
      </c>
      <c r="E42" s="51" t="n">
        <f aca="false">P1_HaiTran!G35</f>
        <v>77.4949520980614</v>
      </c>
      <c r="F42" s="51" t="n">
        <f aca="false">P1_KetVan!G35</f>
        <v>78.1812298753722</v>
      </c>
      <c r="G42" s="51" t="n">
        <f aca="false">P02_HaiTran!G35</f>
        <v>78.3292974843209</v>
      </c>
      <c r="H42" s="51" t="n">
        <f aca="false">P02_KetVan!G35</f>
        <v>79.0779303293809</v>
      </c>
    </row>
    <row r="43" customFormat="false" ht="15" hidden="false" customHeight="false" outlineLevel="0" collapsed="false">
      <c r="A43" s="35" t="n">
        <f aca="false">P1_HaiTran!A36</f>
        <v>20</v>
      </c>
      <c r="B43" s="40" t="n">
        <f aca="false">P1_HaiTran!B36</f>
        <v>141</v>
      </c>
      <c r="C43" s="40" t="n">
        <f aca="false">P1_HaiTran!J36</f>
        <v>305.566278743307</v>
      </c>
      <c r="D43" s="40" t="n">
        <f aca="false">P1_KetVan!J36</f>
        <v>237.488207021341</v>
      </c>
      <c r="E43" s="51" t="n">
        <f aca="false">P1_HaiTran!G36</f>
        <v>77.4231540703643</v>
      </c>
      <c r="F43" s="51" t="n">
        <f aca="false">P1_KetVan!G36</f>
        <v>78.1444137986372</v>
      </c>
      <c r="G43" s="51" t="n">
        <f aca="false">P02_HaiTran!G36</f>
        <v>78.2292560260225</v>
      </c>
      <c r="H43" s="51" t="n">
        <f aca="false">P02_KetVan!G36</f>
        <v>79.0180619687361</v>
      </c>
    </row>
    <row r="44" customFormat="false" ht="15" hidden="false" customHeight="false" outlineLevel="0" collapsed="false">
      <c r="A44" s="35" t="n">
        <f aca="false">P1_HaiTran!A37</f>
        <v>21</v>
      </c>
      <c r="B44" s="40" t="n">
        <f aca="false">P1_HaiTran!B37</f>
        <v>112</v>
      </c>
      <c r="C44" s="40" t="n">
        <f aca="false">P1_HaiTran!J37</f>
        <v>296.189510426197</v>
      </c>
      <c r="D44" s="40" t="n">
        <f aca="false">P1_KetVan!J37</f>
        <v>232.956126245888</v>
      </c>
      <c r="E44" s="51" t="n">
        <f aca="false">P1_HaiTran!G37</f>
        <v>77.3404754977026</v>
      </c>
      <c r="F44" s="51" t="n">
        <f aca="false">P1_KetVan!G37</f>
        <v>78.095385285236</v>
      </c>
      <c r="G44" s="51" t="n">
        <f aca="false">P02_HaiTran!G37</f>
        <v>78.1173699666755</v>
      </c>
      <c r="H44" s="51" t="n">
        <f aca="false">P02_KetVan!G37</f>
        <v>78.9445606715525</v>
      </c>
    </row>
    <row r="45" customFormat="false" ht="15" hidden="false" customHeight="false" outlineLevel="0" collapsed="false">
      <c r="A45" s="35" t="n">
        <f aca="false">P1_HaiTran!A38</f>
        <v>22</v>
      </c>
      <c r="B45" s="40" t="n">
        <f aca="false">P1_HaiTran!B38</f>
        <v>89</v>
      </c>
      <c r="C45" s="40" t="n">
        <f aca="false">P1_HaiTran!J38</f>
        <v>285.958441778936</v>
      </c>
      <c r="D45" s="40" t="n">
        <f aca="false">P1_KetVan!J38</f>
        <v>227.545541161945</v>
      </c>
      <c r="E45" s="51" t="n">
        <f aca="false">P1_HaiTran!G38</f>
        <v>77.249608401909</v>
      </c>
      <c r="F45" s="51" t="n">
        <f aca="false">P1_KetVan!G38</f>
        <v>78.0365265401082</v>
      </c>
      <c r="G45" s="51" t="n">
        <f aca="false">P02_HaiTran!G38</f>
        <v>77.9973036657321</v>
      </c>
      <c r="H45" s="51" t="n">
        <f aca="false">P02_KetVan!G38</f>
        <v>78.861049554444</v>
      </c>
    </row>
    <row r="46" customFormat="false" ht="15" hidden="false" customHeight="false" outlineLevel="0" collapsed="false">
      <c r="A46" s="35" t="n">
        <f aca="false">P1_HaiTran!A39</f>
        <v>23</v>
      </c>
      <c r="B46" s="40" t="n">
        <f aca="false">P1_HaiTran!B39</f>
        <v>71</v>
      </c>
      <c r="C46" s="40" t="n">
        <f aca="false">P1_HaiTran!J39</f>
        <v>275.214408514334</v>
      </c>
      <c r="D46" s="40" t="n">
        <f aca="false">P1_KetVan!J39</f>
        <v>221.518964804994</v>
      </c>
      <c r="E46" s="51" t="n">
        <f aca="false">P1_HaiTran!G39</f>
        <v>77.1533626850588</v>
      </c>
      <c r="F46" s="51" t="n">
        <f aca="false">P1_KetVan!G39</f>
        <v>77.9707728469222</v>
      </c>
      <c r="G46" s="51" t="n">
        <f aca="false">P02_HaiTran!G39</f>
        <v>77.8720651474031</v>
      </c>
      <c r="H46" s="51" t="n">
        <f aca="false">P02_KetVan!G39</f>
        <v>78.770524425208</v>
      </c>
    </row>
    <row r="47" customFormat="false" ht="15" hidden="false" customHeight="false" outlineLevel="0" collapsed="false">
      <c r="A47" s="35" t="n">
        <f aca="false">P1_HaiTran!A40</f>
        <v>24</v>
      </c>
      <c r="B47" s="40" t="n">
        <f aca="false">P1_HaiTran!B40</f>
        <v>57</v>
      </c>
      <c r="C47" s="40" t="n">
        <f aca="false">P1_HaiTran!J40</f>
        <v>264.228266161518</v>
      </c>
      <c r="D47" s="40" t="n">
        <f aca="false">P1_KetVan!J40</f>
        <v>215.085533134386</v>
      </c>
      <c r="E47" s="51" t="n">
        <f aca="false">P1_HaiTran!G40</f>
        <v>77.0539922295368</v>
      </c>
      <c r="F47" s="51" t="n">
        <f aca="false">P1_KetVan!G40</f>
        <v>77.9003196671022</v>
      </c>
      <c r="G47" s="51" t="n">
        <f aca="false">P02_HaiTran!G40</f>
        <v>77.7439300450288</v>
      </c>
      <c r="H47" s="51" t="n">
        <f aca="false">P02_KetVan!G40</f>
        <v>78.6750551077334</v>
      </c>
    </row>
    <row r="48" customFormat="false" ht="15" hidden="false" customHeight="false" outlineLevel="0" collapsed="false">
      <c r="A48" s="35" t="n">
        <f aca="false">P1_HaiTran!A41</f>
        <v>25</v>
      </c>
      <c r="B48" s="40" t="n">
        <f aca="false">P1_HaiTran!B41</f>
        <v>46</v>
      </c>
      <c r="C48" s="40" t="n">
        <f aca="false">P1_HaiTran!J41</f>
        <v>253.203925279157</v>
      </c>
      <c r="D48" s="40" t="n">
        <f aca="false">P1_KetVan!J41</f>
        <v>208.408973146753</v>
      </c>
      <c r="E48" s="51" t="n">
        <f aca="false">P1_HaiTran!G41</f>
        <v>76.9532123872315</v>
      </c>
      <c r="F48" s="51" t="n">
        <f aca="false">P1_KetVan!G41</f>
        <v>77.8266777690638</v>
      </c>
      <c r="G48" s="51" t="n">
        <f aca="false">P02_HaiTran!G41</f>
        <v>77.6145323583213</v>
      </c>
      <c r="H48" s="51" t="n">
        <f aca="false">P02_KetVan!G41</f>
        <v>78.5762447822952</v>
      </c>
    </row>
    <row r="49" customFormat="false" ht="15" hidden="false" customHeight="false" outlineLevel="0" collapsed="false">
      <c r="A49" s="35" t="n">
        <f aca="false">P1_HaiTran!A42</f>
        <v>26</v>
      </c>
      <c r="B49" s="40" t="n">
        <f aca="false">P1_HaiTran!B42</f>
        <v>36</v>
      </c>
      <c r="C49" s="40" t="n">
        <f aca="false">P1_HaiTran!J42</f>
        <v>242.256100626819</v>
      </c>
      <c r="D49" s="40" t="n">
        <f aca="false">P1_KetVan!J42</f>
        <v>201.581765456549</v>
      </c>
      <c r="E49" s="51" t="n">
        <f aca="false">P1_HaiTran!G42</f>
        <v>76.8519745132016</v>
      </c>
      <c r="F49" s="51" t="n">
        <f aca="false">P1_KetVan!G42</f>
        <v>77.7509922228687</v>
      </c>
      <c r="G49" s="51" t="n">
        <f aca="false">P02_HaiTran!G42</f>
        <v>77.4853580886957</v>
      </c>
      <c r="H49" s="51" t="n">
        <f aca="false">P02_KetVan!G42</f>
        <v>78.4756680858262</v>
      </c>
    </row>
    <row r="50" customFormat="false" ht="15" hidden="false" customHeight="false" outlineLevel="0" collapsed="false">
      <c r="A50" s="35" t="n">
        <f aca="false">P1_HaiTran!A43</f>
        <v>27</v>
      </c>
      <c r="B50" s="40" t="n">
        <f aca="false">P1_HaiTran!B43</f>
        <v>29</v>
      </c>
      <c r="C50" s="40" t="n">
        <f aca="false">P1_HaiTran!J43</f>
        <v>231.492000741736</v>
      </c>
      <c r="D50" s="40" t="n">
        <f aca="false">P1_KetVan!J43</f>
        <v>194.693398972575</v>
      </c>
      <c r="E50" s="51" t="n">
        <f aca="false">P1_HaiTran!G43</f>
        <v>76.7511981754966</v>
      </c>
      <c r="F50" s="51" t="n">
        <f aca="false">P1_KetVan!G43</f>
        <v>77.6742031531401</v>
      </c>
      <c r="G50" s="51" t="n">
        <f aca="false">P02_HaiTran!G43</f>
        <v>77.3572589092867</v>
      </c>
      <c r="H50" s="51" t="n">
        <f aca="false">P02_KetVan!G43</f>
        <v>78.3742183754404</v>
      </c>
    </row>
    <row r="51" customFormat="false" ht="15" hidden="false" customHeight="false" outlineLevel="0" collapsed="false">
      <c r="A51" s="35" t="n">
        <f aca="false">P1_HaiTran!A44</f>
        <v>28</v>
      </c>
      <c r="B51" s="40" t="n">
        <f aca="false">P1_HaiTran!B44</f>
        <v>23</v>
      </c>
      <c r="C51" s="40" t="n">
        <f aca="false">P1_HaiTran!J44</f>
        <v>221.011086627658</v>
      </c>
      <c r="D51" s="40" t="n">
        <f aca="false">P1_KetVan!J44</f>
        <v>187.829536849463</v>
      </c>
      <c r="E51" s="51" t="n">
        <f aca="false">P1_HaiTran!G44</f>
        <v>76.6517731722454</v>
      </c>
      <c r="F51" s="51" t="n">
        <f aca="false">P1_KetVan!G44</f>
        <v>77.5972346063438</v>
      </c>
      <c r="G51" s="51" t="n">
        <f aca="false">P02_HaiTran!G44</f>
        <v>77.231388903849</v>
      </c>
      <c r="H51" s="51" t="n">
        <f aca="false">P02_KetVan!G44</f>
        <v>78.2729919521732</v>
      </c>
    </row>
    <row r="52" customFormat="false" ht="15" hidden="false" customHeight="false" outlineLevel="0" collapsed="false">
      <c r="A52" s="35" t="n">
        <f aca="false">P1_HaiTran!A45</f>
        <v>29</v>
      </c>
      <c r="B52" s="40" t="n">
        <f aca="false">P1_HaiTran!B45</f>
        <v>18</v>
      </c>
      <c r="C52" s="40" t="n">
        <f aca="false">P1_HaiTran!J45</f>
        <v>210.854798127776</v>
      </c>
      <c r="D52" s="40" t="n">
        <f aca="false">P1_KetVan!J45</f>
        <v>181.036644778243</v>
      </c>
      <c r="E52" s="51" t="n">
        <f aca="false">P1_HaiTran!G45</f>
        <v>76.554077014204</v>
      </c>
      <c r="F52" s="51" t="n">
        <f aca="false">P1_KetVan!G45</f>
        <v>77.52039597254</v>
      </c>
      <c r="G52" s="51" t="n">
        <f aca="false">P02_HaiTran!G45</f>
        <v>77.1083067689869</v>
      </c>
      <c r="H52" s="51" t="n">
        <f aca="false">P02_KetVan!G45</f>
        <v>78.1726247058744</v>
      </c>
    </row>
    <row r="53" customFormat="false" ht="15" hidden="false" customHeight="false" outlineLevel="0" collapsed="false">
      <c r="A53" s="35" t="n">
        <f aca="false">P1_HaiTran!A46</f>
        <v>30</v>
      </c>
      <c r="B53" s="40" t="n">
        <f aca="false">P1_HaiTran!B46</f>
        <v>14</v>
      </c>
      <c r="C53" s="40" t="n">
        <f aca="false">P1_HaiTran!J46</f>
        <v>201.060964224787</v>
      </c>
      <c r="D53" s="40" t="n">
        <f aca="false">P1_KetVan!J46</f>
        <v>174.351434761773</v>
      </c>
      <c r="E53" s="51" t="n">
        <f aca="false">P1_HaiTran!G46</f>
        <v>76.4584777831128</v>
      </c>
      <c r="F53" s="51" t="n">
        <f aca="false">P1_KetVan!G46</f>
        <v>77.4442365455038</v>
      </c>
      <c r="G53" s="51" t="n">
        <f aca="false">P02_HaiTran!G46</f>
        <v>76.9882380186135</v>
      </c>
      <c r="H53" s="51" t="n">
        <f aca="false">P02_KetVan!G46</f>
        <v>78.0735191250006</v>
      </c>
    </row>
    <row r="54" customFormat="false" ht="15" hidden="false" customHeight="false" outlineLevel="0" collapsed="false">
      <c r="A54" s="35" t="n">
        <f aca="false">P1_HaiTran!A47</f>
        <v>31</v>
      </c>
      <c r="B54" s="40" t="n">
        <f aca="false">P1_HaiTran!B47</f>
        <v>11</v>
      </c>
      <c r="C54" s="40" t="n">
        <f aca="false">P1_HaiTran!J47</f>
        <v>191.663650047772</v>
      </c>
      <c r="D54" s="40" t="n">
        <f aca="false">P1_KetVan!J47</f>
        <v>167.810293024402</v>
      </c>
      <c r="E54" s="51" t="n">
        <f aca="false">P1_HaiTran!G47</f>
        <v>76.3653356747686</v>
      </c>
      <c r="F54" s="51" t="n">
        <f aca="false">P1_KetVan!G47</f>
        <v>77.3692038812306</v>
      </c>
      <c r="G54" s="51" t="n">
        <f aca="false">P02_HaiTran!G47</f>
        <v>76.8717735655619</v>
      </c>
      <c r="H54" s="51" t="n">
        <f aca="false">P02_KetVan!G47</f>
        <v>77.9762956343451</v>
      </c>
    </row>
    <row r="55" customFormat="false" ht="15" hidden="false" customHeight="false" outlineLevel="0" collapsed="false">
      <c r="A55" s="35" t="n">
        <f aca="false">P1_HaiTran!A48</f>
        <v>32</v>
      </c>
      <c r="B55" s="40" t="n">
        <f aca="false">P1_HaiTran!B48</f>
        <v>8</v>
      </c>
      <c r="C55" s="40" t="n">
        <f aca="false">P1_HaiTran!J48</f>
        <v>182.668465862427</v>
      </c>
      <c r="D55" s="40" t="n">
        <f aca="false">P1_KetVan!J48</f>
        <v>161.427781135286</v>
      </c>
      <c r="E55" s="51" t="n">
        <f aca="false">P1_HaiTran!G48</f>
        <v>76.2747547459573</v>
      </c>
      <c r="F55" s="51" t="n">
        <f aca="false">P1_KetVan!G48</f>
        <v>77.2954876227723</v>
      </c>
      <c r="G55" s="51" t="n">
        <f aca="false">P02_HaiTran!G48</f>
        <v>76.7592611346596</v>
      </c>
      <c r="H55" s="51" t="n">
        <f aca="false">P02_KetVan!G48</f>
        <v>77.8813434762683</v>
      </c>
    </row>
    <row r="56" customFormat="false" ht="15" hidden="false" customHeight="false" outlineLevel="0" collapsed="false">
      <c r="A56" s="35" t="n">
        <f aca="false">P1_HaiTran!A49</f>
        <v>33</v>
      </c>
      <c r="B56" s="40" t="n">
        <f aca="false">P1_HaiTran!B49</f>
        <v>7</v>
      </c>
      <c r="C56" s="40" t="n">
        <f aca="false">P1_HaiTran!J49</f>
        <v>174.103392704388</v>
      </c>
      <c r="D56" s="40" t="n">
        <f aca="false">P1_KetVan!J49</f>
        <v>155.247396290832</v>
      </c>
      <c r="E56" s="51" t="n">
        <f aca="false">P1_HaiTran!G49</f>
        <v>76.1870914329648</v>
      </c>
      <c r="F56" s="51" t="n">
        <f aca="false">P1_KetVan!G49</f>
        <v>77.2233500844971</v>
      </c>
      <c r="G56" s="51" t="n">
        <f aca="false">P02_HaiTran!G49</f>
        <v>76.6507369398344</v>
      </c>
      <c r="H56" s="51" t="n">
        <f aca="false">P02_KetVan!G49</f>
        <v>77.7888178841145</v>
      </c>
    </row>
    <row r="57" customFormat="false" ht="15" hidden="false" customHeight="false" outlineLevel="0" collapsed="false">
      <c r="A57" s="35" t="n">
        <f aca="false">P1_HaiTran!A50</f>
        <v>34</v>
      </c>
      <c r="B57" s="40" t="n">
        <f aca="false">P1_HaiTran!B50</f>
        <v>5</v>
      </c>
      <c r="C57" s="40" t="n">
        <f aca="false">P1_HaiTran!J50</f>
        <v>165.971327030509</v>
      </c>
      <c r="D57" s="40" t="n">
        <f aca="false">P1_KetVan!J50</f>
        <v>149.27542204409</v>
      </c>
      <c r="E57" s="51" t="n">
        <f aca="false">P1_HaiTran!G50</f>
        <v>76.1024269891622</v>
      </c>
      <c r="F57" s="51" t="n">
        <f aca="false">P1_KetVan!G50</f>
        <v>77.1530832191599</v>
      </c>
      <c r="G57" s="51" t="n">
        <f aca="false">P02_HaiTran!G50</f>
        <v>76.5459946598661</v>
      </c>
      <c r="H57" s="51" t="n">
        <f aca="false">P02_KetVan!G50</f>
        <v>77.6986394952798</v>
      </c>
    </row>
    <row r="58" customFormat="false" ht="15" hidden="false" customHeight="false" outlineLevel="0" collapsed="false">
      <c r="A58" s="35" t="n">
        <f aca="false">P1_HaiTran!A51</f>
        <v>35</v>
      </c>
      <c r="B58" s="40" t="n">
        <f aca="false">P1_HaiTran!B51</f>
        <v>4</v>
      </c>
      <c r="C58" s="40" t="n">
        <f aca="false">P1_HaiTran!J51</f>
        <v>158.266794026192</v>
      </c>
      <c r="D58" s="40" t="n">
        <f aca="false">P1_KetVan!J51</f>
        <v>143.500036553406</v>
      </c>
      <c r="E58" s="51" t="n">
        <f aca="false">P1_HaiTran!G51</f>
        <v>76.0205053619501</v>
      </c>
      <c r="F58" s="51" t="n">
        <f aca="false">P1_KetVan!G51</f>
        <v>77.0846583883339</v>
      </c>
      <c r="G58" s="51" t="n">
        <f aca="false">P02_HaiTran!G51</f>
        <v>76.445082393419</v>
      </c>
      <c r="H58" s="51" t="n">
        <f aca="false">P02_KetVan!G51</f>
        <v>77.6108876543354</v>
      </c>
    </row>
    <row r="59" customFormat="false" ht="15" hidden="false" customHeight="false" outlineLevel="0" collapsed="false">
      <c r="A59" s="35" t="n">
        <f aca="false">P1_HaiTran!A52</f>
        <v>36</v>
      </c>
      <c r="B59" s="40" t="n">
        <f aca="false">P1_HaiTran!B52</f>
        <v>3</v>
      </c>
      <c r="C59" s="40" t="n">
        <f aca="false">P1_HaiTran!J52</f>
        <v>150.974475678325</v>
      </c>
      <c r="D59" s="40" t="n">
        <f aca="false">P1_KetVan!J52</f>
        <v>137.94105451634</v>
      </c>
      <c r="E59" s="51" t="n">
        <f aca="false">P1_HaiTran!G52</f>
        <v>75.9415477385921</v>
      </c>
      <c r="F59" s="51" t="n">
        <f aca="false">P1_KetVan!G52</f>
        <v>77.0181316946533</v>
      </c>
      <c r="G59" s="51" t="n">
        <f aca="false">P02_HaiTran!G52</f>
        <v>76.3480510646772</v>
      </c>
      <c r="H59" s="51" t="n">
        <f aca="false">P02_KetVan!G52</f>
        <v>77.525757095008</v>
      </c>
    </row>
    <row r="60" customFormat="false" ht="15" hidden="false" customHeight="false" outlineLevel="0" collapsed="false">
      <c r="A60" s="35" t="n">
        <f aca="false">P1_HaiTran!A53</f>
        <v>37</v>
      </c>
      <c r="B60" s="40" t="n">
        <f aca="false">P1_HaiTran!B53</f>
        <v>0</v>
      </c>
      <c r="C60" s="40" t="n">
        <f aca="false">P1_HaiTran!J53</f>
        <v>144.022395543803</v>
      </c>
      <c r="D60" s="40" t="n">
        <f aca="false">P1_KetVan!J53</f>
        <v>132.550415372954</v>
      </c>
      <c r="E60" s="51" t="n">
        <f aca="false">P1_HaiTran!G53</f>
        <v>75.864906493684</v>
      </c>
      <c r="F60" s="51" t="n">
        <f aca="false">P1_KetVan!G53</f>
        <v>76.9529697969962</v>
      </c>
      <c r="G60" s="51" t="n">
        <f aca="false">P02_HaiTran!G53</f>
        <v>76.2542054699667</v>
      </c>
      <c r="H60" s="51" t="n">
        <f aca="false">P02_KetVan!G53</f>
        <v>77.4427113281917</v>
      </c>
    </row>
    <row r="61" customFormat="false" ht="15" hidden="false" customHeight="false" outlineLevel="0" collapsed="false">
      <c r="A61" s="35" t="n">
        <f aca="false">P1_HaiTran!A54</f>
        <v>38</v>
      </c>
      <c r="B61" s="40" t="n">
        <f aca="false">P1_HaiTran!B54</f>
        <v>0</v>
      </c>
      <c r="C61" s="40" t="n">
        <f aca="false">P1_HaiTran!J54</f>
        <v>137.410930374207</v>
      </c>
      <c r="D61" s="40" t="n">
        <f aca="false">P1_KetVan!J54</f>
        <v>127.330551104367</v>
      </c>
      <c r="E61" s="51" t="n">
        <f aca="false">P1_HaiTran!G54</f>
        <v>75.7907203227075</v>
      </c>
      <c r="F61" s="51" t="n">
        <f aca="false">P1_KetVan!G54</f>
        <v>76.889469831152</v>
      </c>
      <c r="G61" s="51" t="n">
        <f aca="false">P02_HaiTran!G54</f>
        <v>76.1636251893476</v>
      </c>
      <c r="H61" s="51" t="n">
        <f aca="false">P02_KetVan!G54</f>
        <v>77.3619123150717</v>
      </c>
    </row>
    <row r="62" customFormat="false" ht="15" hidden="false" customHeight="false" outlineLevel="0" collapsed="false">
      <c r="A62" s="35" t="n">
        <f aca="false">P1_HaiTran!A55</f>
        <v>39</v>
      </c>
      <c r="B62" s="40" t="n">
        <f aca="false">P1_HaiTran!B55</f>
        <v>0</v>
      </c>
      <c r="C62" s="40" t="n">
        <f aca="false">P1_HaiTran!J55</f>
        <v>131.221309737423</v>
      </c>
      <c r="D62" s="40" t="n">
        <f aca="false">P1_KetVan!J55</f>
        <v>122.349659429738</v>
      </c>
      <c r="E62" s="51" t="n">
        <f aca="false">P1_HaiTran!G55</f>
        <v>75.7195070631787</v>
      </c>
      <c r="F62" s="51" t="n">
        <f aca="false">P1_KetVan!G55</f>
        <v>76.8281149671299</v>
      </c>
      <c r="G62" s="51" t="n">
        <f aca="false">P02_HaiTran!G55</f>
        <v>76.0769004740949</v>
      </c>
      <c r="H62" s="51" t="n">
        <f aca="false">P02_KetVan!G55</f>
        <v>77.2839899321585</v>
      </c>
    </row>
    <row r="63" customFormat="false" ht="15" hidden="false" customHeight="false" outlineLevel="0" collapsed="false">
      <c r="A63" s="35" t="n">
        <f aca="false">P1_HaiTran!A56</f>
        <v>40</v>
      </c>
      <c r="B63" s="40" t="n">
        <f aca="false">P1_HaiTran!B56</f>
        <v>0</v>
      </c>
      <c r="C63" s="40" t="n">
        <f aca="false">P1_HaiTran!J56</f>
        <v>125.41281393021</v>
      </c>
      <c r="D63" s="40" t="n">
        <f aca="false">P1_KetVan!J56</f>
        <v>117.586231988384</v>
      </c>
      <c r="E63" s="51" t="n">
        <f aca="false">P1_HaiTran!G56</f>
        <v>75.6511579508422</v>
      </c>
      <c r="F63" s="51" t="n">
        <f aca="false">P1_KetVan!G56</f>
        <v>76.7689426157628</v>
      </c>
      <c r="G63" s="51" t="n">
        <f aca="false">P02_HaiTran!G56</f>
        <v>75.9938527577505</v>
      </c>
      <c r="H63" s="51" t="n">
        <f aca="false">P02_KetVan!G56</f>
        <v>77.2087991998414</v>
      </c>
    </row>
    <row r="64" customFormat="false" ht="15" hidden="false" customHeight="false" outlineLevel="0" collapsed="false">
      <c r="A64" s="35" t="n">
        <f aca="false">P1_HaiTran!A57</f>
        <v>41</v>
      </c>
      <c r="B64" s="40" t="n">
        <f aca="false">P1_HaiTran!B57</f>
        <v>0</v>
      </c>
      <c r="C64" s="40" t="n">
        <f aca="false">P1_HaiTran!J57</f>
        <v>119.93416329105</v>
      </c>
      <c r="D64" s="40" t="n">
        <f aca="false">P1_KetVan!J57</f>
        <v>113.028079509861</v>
      </c>
      <c r="E64" s="51" t="n">
        <f aca="false">P1_HaiTran!G57</f>
        <v>75.5855993699468</v>
      </c>
      <c r="F64" s="51" t="n">
        <f aca="false">P1_KetVan!G57</f>
        <v>76.7118834046704</v>
      </c>
      <c r="G64" s="51" t="n">
        <f aca="false">P02_HaiTran!G57</f>
        <v>75.9142312710635</v>
      </c>
      <c r="H64" s="51" t="n">
        <f aca="false">P02_KetVan!G57</f>
        <v>77.1361884691356</v>
      </c>
    </row>
    <row r="65" customFormat="false" ht="15" hidden="false" customHeight="false" outlineLevel="0" collapsed="false">
      <c r="A65" s="35" t="n">
        <f aca="false">P1_HaiTran!A58</f>
        <v>42</v>
      </c>
      <c r="B65" s="40" t="n">
        <f aca="false">P1_HaiTran!B58</f>
        <v>0</v>
      </c>
      <c r="C65" s="40" t="n">
        <f aca="false">P1_HaiTran!J58</f>
        <v>114.809135899257</v>
      </c>
      <c r="D65" s="40" t="n">
        <f aca="false">P1_KetVan!J58</f>
        <v>108.681651029193</v>
      </c>
      <c r="E65" s="51" t="n">
        <f aca="false">P1_HaiTran!G58</f>
        <v>75.5225528258491</v>
      </c>
      <c r="F65" s="51" t="n">
        <f aca="false">P1_KetVan!G58</f>
        <v>76.6567300005546</v>
      </c>
      <c r="G65" s="51" t="n">
        <f aca="false">P02_HaiTran!G58</f>
        <v>75.83792006792</v>
      </c>
      <c r="H65" s="51" t="n">
        <f aca="false">P02_KetVan!G58</f>
        <v>77.0661867579703</v>
      </c>
    </row>
    <row r="66" customFormat="false" ht="15" hidden="false" customHeight="false" outlineLevel="0" collapsed="false">
      <c r="A66" s="35" t="n">
        <f aca="false">P1_HaiTran!A59</f>
        <v>43</v>
      </c>
      <c r="B66" s="40" t="n">
        <f aca="false">P1_HaiTran!B59</f>
        <v>0</v>
      </c>
      <c r="C66" s="40" t="n">
        <f aca="false">P1_HaiTran!J59</f>
        <v>110.001323090754</v>
      </c>
      <c r="D66" s="40" t="n">
        <f aca="false">P1_KetVan!J59</f>
        <v>104.51167833829</v>
      </c>
      <c r="E66" s="51" t="n">
        <f aca="false">P1_HaiTran!G59</f>
        <v>75.4619240331419</v>
      </c>
      <c r="F66" s="51" t="n">
        <f aca="false">P1_KetVan!G59</f>
        <v>76.603616091508</v>
      </c>
      <c r="G66" s="51" t="n">
        <f aca="false">P02_HaiTran!G59</f>
        <v>75.7647961626931</v>
      </c>
      <c r="H66" s="51" t="n">
        <f aca="false">P02_KetVan!G59</f>
        <v>76.9987214772942</v>
      </c>
    </row>
    <row r="67" customFormat="false" ht="15" hidden="false" customHeight="false" outlineLevel="0" collapsed="false">
      <c r="A67" s="35" t="n">
        <f aca="false">P1_HaiTran!A60</f>
        <v>44</v>
      </c>
      <c r="B67" s="40" t="n">
        <f aca="false">P1_HaiTran!B60</f>
        <v>0</v>
      </c>
      <c r="C67" s="40" t="n">
        <f aca="false">P1_HaiTran!J60</f>
        <v>105.450988442844</v>
      </c>
      <c r="D67" s="40" t="n">
        <f aca="false">P1_KetVan!J60</f>
        <v>100.544539121636</v>
      </c>
      <c r="E67" s="51" t="n">
        <f aca="false">P1_HaiTran!G60</f>
        <v>75.4036761868276</v>
      </c>
      <c r="F67" s="51" t="n">
        <f aca="false">P1_KetVan!G60</f>
        <v>76.5521986159885</v>
      </c>
      <c r="G67" s="51" t="n">
        <f aca="false">P02_HaiTran!G60</f>
        <v>75.6947134534017</v>
      </c>
      <c r="H67" s="51" t="n">
        <f aca="false">P02_KetVan!G60</f>
        <v>76.9334904970737</v>
      </c>
    </row>
    <row r="68" customFormat="false" ht="15" hidden="false" customHeight="false" outlineLevel="0" collapsed="false">
      <c r="A68" s="35" t="n">
        <f aca="false">P1_HaiTran!A61</f>
        <v>45</v>
      </c>
      <c r="B68" s="40" t="n">
        <f aca="false">P1_HaiTran!B61</f>
        <v>0</v>
      </c>
      <c r="C68" s="40" t="n">
        <f aca="false">P1_HaiTran!J61</f>
        <v>101.240568190767</v>
      </c>
      <c r="D68" s="40" t="n">
        <f aca="false">P1_KetVan!J61</f>
        <v>96.7311277733075</v>
      </c>
      <c r="E68" s="51" t="n">
        <f aca="false">P1_HaiTran!G61</f>
        <v>75.3474495388506</v>
      </c>
      <c r="F68" s="51" t="n">
        <f aca="false">P1_KetVan!G61</f>
        <v>76.5027078563494</v>
      </c>
      <c r="G68" s="51" t="n">
        <f aca="false">P02_HaiTran!G61</f>
        <v>75.6273433917893</v>
      </c>
      <c r="H68" s="51" t="n">
        <f aca="false">P02_KetVan!G61</f>
        <v>76.8706278986934</v>
      </c>
    </row>
    <row r="69" customFormat="false" ht="15" hidden="false" customHeight="false" outlineLevel="0" collapsed="false">
      <c r="A69" s="35" t="n">
        <f aca="false">P1_HaiTran!A62</f>
        <v>46</v>
      </c>
      <c r="B69" s="40" t="n">
        <f aca="false">P1_HaiTran!B62</f>
        <v>0</v>
      </c>
      <c r="C69" s="40" t="n">
        <f aca="false">P1_HaiTran!J62</f>
        <v>97.2300597579819</v>
      </c>
      <c r="D69" s="40" t="n">
        <f aca="false">P1_KetVan!J62</f>
        <v>93.1070763510137</v>
      </c>
      <c r="E69" s="51" t="n">
        <f aca="false">P1_HaiTran!G62</f>
        <v>75.2933917990335</v>
      </c>
      <c r="F69" s="51" t="n">
        <f aca="false">P1_KetVan!G62</f>
        <v>76.4547677335976</v>
      </c>
      <c r="G69" s="51" t="n">
        <f aca="false">P02_HaiTran!G62</f>
        <v>75.5626677300659</v>
      </c>
      <c r="H69" s="51" t="n">
        <f aca="false">P02_KetVan!G62</f>
        <v>76.810010089712</v>
      </c>
    </row>
    <row r="70" customFormat="false" ht="15" hidden="false" customHeight="false" outlineLevel="0" collapsed="false">
      <c r="A70" s="35" t="n">
        <f aca="false">P1_HaiTran!A63</f>
        <v>47</v>
      </c>
      <c r="B70" s="40" t="n">
        <f aca="false">P1_HaiTran!B63</f>
        <v>0</v>
      </c>
      <c r="C70" s="40" t="n">
        <f aca="false">P1_HaiTran!J63</f>
        <v>93.5280613439438</v>
      </c>
      <c r="D70" s="40" t="n">
        <f aca="false">P1_KetVan!J63</f>
        <v>89.6213967480977</v>
      </c>
      <c r="E70" s="51" t="n">
        <f aca="false">P1_HaiTran!G63</f>
        <v>75.2411293001015</v>
      </c>
      <c r="F70" s="51" t="n">
        <f aca="false">P1_KetVan!G63</f>
        <v>76.4086047509199</v>
      </c>
      <c r="G70" s="51" t="n">
        <f aca="false">P02_HaiTran!G63</f>
        <v>75.5006011009424</v>
      </c>
      <c r="H70" s="51" t="n">
        <f aca="false">P02_KetVan!G63</f>
        <v>76.7514232393186</v>
      </c>
    </row>
    <row r="71" customFormat="false" ht="15" hidden="false" customHeight="false" outlineLevel="0" collapsed="false">
      <c r="A71" s="35" t="n">
        <f aca="false">P1_HaiTran!A64</f>
        <v>48</v>
      </c>
      <c r="B71" s="40" t="n">
        <f aca="false">P1_HaiTran!B64</f>
        <v>0</v>
      </c>
      <c r="C71" s="40" t="n">
        <f aca="false">P1_HaiTran!J64</f>
        <v>90.0013622994195</v>
      </c>
      <c r="D71" s="40" t="n">
        <f aca="false">P1_KetVan!J64</f>
        <v>86.3054953415178</v>
      </c>
      <c r="E71" s="51" t="n">
        <f aca="false">P1_HaiTran!G64</f>
        <v>75.1907855561</v>
      </c>
      <c r="F71" s="51" t="n">
        <f aca="false">P1_KetVan!G64</f>
        <v>76.3639067766139</v>
      </c>
      <c r="G71" s="51" t="n">
        <f aca="false">P02_HaiTran!G64</f>
        <v>75.4407567179111</v>
      </c>
      <c r="H71" s="51" t="n">
        <f aca="false">P02_KetVan!G64</f>
        <v>76.6950078449555</v>
      </c>
    </row>
  </sheetData>
  <mergeCells count="5">
    <mergeCell ref="F12:J12"/>
    <mergeCell ref="F13:J13"/>
    <mergeCell ref="F14:J14"/>
    <mergeCell ref="F15:J15"/>
    <mergeCell ref="F16:J16"/>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2026-10-19T07:38:10Z</dcterms:created>
  <dc:creator>openpyxl</dc:creator>
  <dc:description/>
  <dc:language>en-US</dc:language>
  <cp:lastModifiedBy/>
  <dcterms:modified xsi:type="dcterms:W3CDTF">2026-10-19T07:38:18Z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