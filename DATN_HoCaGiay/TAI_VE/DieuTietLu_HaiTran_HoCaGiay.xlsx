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hart2.xml" ContentType="application/vnd.openxmlformats-officedocument.drawingml.chart+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uongDan" sheetId="1" state="visible" r:id="rId3"/>
    <sheet name="SoLieu" sheetId="2" state="visible" r:id="rId4"/>
    <sheet name="QuanHe" sheetId="3" state="visible" r:id="rId5"/>
    <sheet name="P1_HaiTran" sheetId="4" state="visible" r:id="rId6"/>
    <sheet name="P1_KetVan" sheetId="5" state="visible" r:id="rId7"/>
    <sheet name="P02_HaiTran" sheetId="6" state="visible" r:id="rId8"/>
    <sheet name="P02_KetVan" sheetId="7" state="visible" r:id="rId9"/>
    <sheet name="KetQua" sheetId="8" state="visible" r:id="rId10"/>
  </sheets>
  <definedNames>
    <definedName function="false" hidden="false" name="Bang_F" vbProcedure="false">SoLieu!$B$75:$B$101</definedName>
    <definedName function="false" hidden="false" name="Bang_W" vbProcedure="false">SoLieu!$C$75:$C$101</definedName>
    <definedName function="false" hidden="false" name="Bang_Z" vbProcedure="false">SoLieu!$A$75:$A$101</definedName>
    <definedName function="false" hidden="false" name="dt_h" vbProcedure="false">SoLieu!$B$7</definedName>
    <definedName function="false" hidden="false" name="dt_s" vbProcedure="false">SoLieu!$B$8</definedName>
    <definedName function="false" hidden="false" name="g_" vbProcedure="false">SoLieu!$B$9</definedName>
    <definedName function="false" hidden="false" name="Lu_P" vbProcedure="false">SoLieu!$B$32:$C$32</definedName>
    <definedName function="false" hidden="false" name="Lu_Q" vbProcedure="false">SoLieu!$B$34:$C$70</definedName>
    <definedName function="false" hidden="false" name="Lu_t" vbProcedure="false">SoLieu!$A$34:$A$70</definedName>
    <definedName function="false" hidden="false" name="QH_f" vbProcedure="false">QuanHe!$L$5:$M$1005</definedName>
    <definedName function="false" hidden="false" name="QH_V" vbProcedure="false">QuanHe!$C$5:$C$1005</definedName>
    <definedName function="false" hidden="false" name="QH_Z" vbProcedure="false">QuanHe!$A$5:$A$1005</definedName>
    <definedName function="false" hidden="false" name="SC_b" vbProcedure="false">SoLieu!$B$25</definedName>
    <definedName function="false" hidden="false" name="SC_m" vbProcedure="false">SoLieu!$B$26</definedName>
    <definedName function="false" hidden="false" name="SC_n" vbProcedure="false">SoLieu!$B$24</definedName>
    <definedName function="false" hidden="false" name="SC_s" vbProcedure="false">SoLieu!$B$29</definedName>
    <definedName function="false" hidden="false" name="SC_xmb" vbProcedure="false">SoLieu!$B$27</definedName>
    <definedName function="false" hidden="false" name="SC_xmt" vbProcedure="false">SoLieu!$B$28</definedName>
    <definedName function="false" hidden="false" name="SC_Z" vbProcedure="false">SoLieu!$B$23</definedName>
    <definedName function="false" hidden="false" name="TC_b" vbProcedure="false">SoLieu!$B$15</definedName>
    <definedName function="false" hidden="false" name="TC_m" vbProcedure="false">SoLieu!$B$16</definedName>
    <definedName function="false" hidden="false" name="TC_n" vbProcedure="false">SoLieu!$B$14</definedName>
    <definedName function="false" hidden="false" name="TC_s" vbProcedure="false">SoLieu!$B$19</definedName>
    <definedName function="false" hidden="false" name="TC_xmb" vbProcedure="false">SoLieu!$B$17</definedName>
    <definedName function="false" hidden="false" name="TC_xmt" vbProcedure="false">SoLieu!$B$18</definedName>
    <definedName function="false" hidden="false" name="TC_Z" vbProcedure="false">SoLieu!$B$13</definedName>
    <definedName function="false" hidden="false" name="Z0" vbProcedure="false">SoLieu!$B$6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<sst xmlns="http://schemas.openxmlformats.org/spreadsheetml/2006/main" count="272" uniqueCount="162">
  <si>
    <t xml:space="preserve">ĐIỀU TIẾT LŨ HỒ CÀ GIÂY VỚI HAI TRÀN CÓ NGƯỠNG KHÁC NHAU – PHƯƠNG PHÁP PÔ-TA-PỐP</t>
  </si>
  <si>
    <t xml:space="preserve">Mọi ô kết quả là công thức. Đổi thông số tràn, mực nước trước lũ ở sheet SoLieu; đổi tần suất, trường hợp ở ô vàng đầu mỗi sheet điều tiết.</t>
  </si>
  <si>
    <t xml:space="preserve">1. Cộng dồn hay tính song song?</t>
  </si>
  <si>
    <t xml:space="preserve">•  Hai tràn cùng lấy nước từ MỘT hồ nên ở mỗi thời điểm chỉ có MỘT mực nước Z. Tràn nào có ngưỡng thấp hơn Z thì tràn đó xả: tràn sự cố (ngưỡng +71,00 m) xả khi Z &gt; +71,00; tràn chính (ngưỡng +74,70 m) xả khi Z &gt; +74,70.</t>
  </si>
  <si>
    <t xml:space="preserve">•  Lưu lượng xả của hồ là TỔNG hai tràn tại CÙNG mực nước: q(Z) = q tràn chính(Z) + q tràn sự cố(Z). Vậy “cộng” là đúng ở bước lập quan hệ q ~ Z (sheet QuanHe, cột q hai tràn), sau đó điều tiết MỘT lần với q tổng – đó chính là tính song song (hai tràn cùng làm việc).</t>
  </si>
  <si>
    <t xml:space="preserve">•  KHÔNG được điều tiết riêng từng tràn rồi cộng kết quả: mỗi lần tính riêng đã cho TOÀN BỘ trận lũ đi qua một tràn, nên mực nước cao hơn thực tế; cộng hai lưu lượng xả của hai lần tính riêng thì tính trùng lượng nước lũ.</t>
  </si>
  <si>
    <t xml:space="preserve">•  Kết quả “tính độc lập” trong bảng của bạn chỉ có ý nghĩa là trường hợp MỘT tràn không làm việc: “chỉ tràn chính” chính là trường hợp cửa van tràn sự cố bị kẹt (P = 1%: +78,21 m ở file này, bạn tính +78,28 m); “chỉ tràn sự cố” là trường hợp cả 9 cửa tràn chính không mở – không phải trường hợp thiết kế.</t>
  </si>
  <si>
    <t xml:space="preserve">2. Giả thiết tính toán</t>
  </si>
  <si>
    <t xml:space="preserve">•  Khi lũ về, mực nước hồ ở MNDBT = +74,70 m (ô SoLieu!B5). Tràn chính 9 khoang × 2,4 m, cửa van mở hết, chảy tự do.</t>
  </si>
  <si>
    <t xml:space="preserve">•  Tràn sự cố có cửa van phẳng: giả thiết cửa van MỞ HOÀN TOÀN suốt trận lũ (kéo lên khỏi mặt nước) nên tràn làm việc như đập tràn chảy tự do, tính bằng cùng công thức với tràn chính.</t>
  </si>
  <si>
    <t xml:space="preserve">•  Trường hợp kẹt van: cửa tràn sự cố đóng, chỉ tràn chính xả (chọn “Kẹt van” ở ô F3 của sheet điều tiết).</t>
  </si>
  <si>
    <t xml:space="preserve">•  Bỏ qua lưu tốc tới gần (H₀ ≈ H), chảy không ngập (σn = 1). Dung tích theo bình đồ 2022 (thuyết minh mục 1.2.3).</t>
  </si>
  <si>
    <t xml:space="preserve">•  Lưu ý: thuyết minh dùng quy tắc vận hành QTVH (đầu lũ dùng cửa van tràn sự cố giữ MNDBT, khi xả không kịp mới mở hết) nên MNLTK, MNLKT cao hơn file này khoảng 2 cm (+77,63 / +78,54 so với +77,61 / +78,51 m). Khi mở hết cửa ngay từ đầu, hồ rút xuống khoảng +74,64 m trước khi lũ lớn về.</t>
  </si>
  <si>
    <t xml:space="preserve">3. Công thức lưu lượng qua tràn (TCVN 9147:2012)</t>
  </si>
  <si>
    <t xml:space="preserve">q = σn·ε·m·n·b·√(2g)·H^1,5        ε = 1 − 0,2·[ξmb + (n − 1)·ξmt]·H / (n·b)</t>
  </si>
  <si>
    <t xml:space="preserve">•  H = Z − Z ngưỡng (lấy 0 khi Z thấp hơn ngưỡng); n – số khoang; b – bề rộng một khoang; m – hệ số lưu lượng; ξmb, ξmt – hệ số hình dạng mố bên, mố trụ. Thông số từng tràn ở sheet SoLieu (giống chương trình của đồ án).</t>
  </si>
  <si>
    <t xml:space="preserve">4. Phương pháp Pô-ta-pốp</t>
  </si>
  <si>
    <t xml:space="preserve">(Q₁ + Q₂)/2·Δt − (q₁ + q₂)/2·Δt = V₂ − V₁    ⇒    V₂/Δt + q₂/2 = V₁/Δt + q₁/2 + Q̄ − q₁    ⇒    f₂ = f₁ + Q̄ − q₁</t>
  </si>
  <si>
    <t xml:space="preserve">•  f = V/Δt + q/2 (đơn vị m³/s) chỉ phụ thuộc mực nước Z, nên lập sẵn bảng Z ~ V ~ q ~ f (sheet QuanHe, bước 0,01 m; một cột f cho trường hợp hai tràn, một cột cho trường hợp kẹt van).</t>
  </si>
  <si>
    <t xml:space="preserve">•  Mỗi giờ: (1) Q̄ = (Q₁ + Q₂)/2; (2) f₂ = f₁ + Q̄ − q₁; (3) tra ngược bảng f ~ Z được Z₂ (nội suy tuyến tính); (4) tính q₂ = q tràn chính(Z₂) + q tràn sự cố(Z₂) và V₂; (5) sang giờ sau với f₁ = f₂, q₁ = q₂.</t>
  </si>
  <si>
    <t xml:space="preserve">•  Giờ 0: Z = MNDBT, q = q(MNDBT). Trường hợp hai tràn: tràn sự cố đã xả khoảng 64 m³/s (H = 3,70 m), tràn chính chưa xả. Trường hợp kẹt van: q = 0.</t>
  </si>
  <si>
    <t xml:space="preserve">•  Kết quả: Zmax = MNLTK (P = 1%) hoặc MNLKT (P = 0,2%), lưu lượng xả lớn nhất qmax, phân chia cho từng tràn. Kiểm tra: W đến − W xả = ΔV (sai số ≈ 0).</t>
  </si>
  <si>
    <t xml:space="preserve">5. Trình tự trong file</t>
  </si>
  <si>
    <t xml:space="preserve">•  SoLieu: thông số hai tràn, mực nước trước lũ, đường quá trình lũ P = 1% và 0,2% (BCNCKT – mô hình Gurdich 36 giờ), bảng Z ~ F ~ W 2022.</t>
  </si>
  <si>
    <t xml:space="preserve">•  QuanHe: bảng Z ~ F ~ V ~ q tràn chính ~ q tràn sự cố ~ q tổng ~ f (1.001 dòng, +71,00 ÷ +81,00 m).</t>
  </si>
  <si>
    <t xml:space="preserve">•  P1_HaiTran, P1_KetVan, P02_HaiTran, P02_KetVan: bốn bảng điều tiết giống nhau, chỉ khác ô tần suất (C3) và trường hợp (F3).</t>
  </si>
  <si>
    <t xml:space="preserve">•  KetQua: tổng hợp 4 trường hợp, so sánh với thuyết minh và với bảng tính độc lập của bạn, biểu đồ lưu lượng và mực nước.</t>
  </si>
  <si>
    <t xml:space="preserve">6. Chú giải màu ô</t>
  </si>
  <si>
    <t xml:space="preserve">•  Nền vàng chữ xanh: ô được sửa. Chữ xanh: số liệu gốc hồ sơ. Chữ đen: công thức. Nền đỏ nhạt: dòng có mực nước lớn nhất.</t>
  </si>
  <si>
    <t xml:space="preserve">SỐ LIỆU ĐẦU VÀO – ĐIỀU TIẾT LŨ HAI TRÀN</t>
  </si>
  <si>
    <t xml:space="preserve">Ô nền vàng chữ xanh: được sửa. Chữ xanh: số liệu gốc hồ sơ. Chữ đen: công thức.</t>
  </si>
  <si>
    <t xml:space="preserve">A. THÔNG SỐ CHUNG</t>
  </si>
  <si>
    <t xml:space="preserve">Thông số</t>
  </si>
  <si>
    <t xml:space="preserve">Giá trị</t>
  </si>
  <si>
    <t xml:space="preserve">Đơn vị</t>
  </si>
  <si>
    <t xml:space="preserve">Ghi chú, nguồn</t>
  </si>
  <si>
    <t xml:space="preserve">Mực nước hồ khi lũ đến (MNDBT)</t>
  </si>
  <si>
    <t xml:space="preserve">m</t>
  </si>
  <si>
    <t xml:space="preserve">Giả thiết bất lợi: lũ đến khi hồ đầy ở MNDBT</t>
  </si>
  <si>
    <t xml:space="preserve">Bước thời gian Δt</t>
  </si>
  <si>
    <t xml:space="preserve">giờ</t>
  </si>
  <si>
    <t xml:space="preserve">Bằng bước của đường quá trình lũ (cố định 1 giờ)</t>
  </si>
  <si>
    <t xml:space="preserve">Δt tính bằng giây</t>
  </si>
  <si>
    <t xml:space="preserve">s</t>
  </si>
  <si>
    <t xml:space="preserve">Gia tốc trọng trường g</t>
  </si>
  <si>
    <t xml:space="preserve">m/s²</t>
  </si>
  <si>
    <t xml:space="preserve">B. TRÀN CHÍNH (9 khoang có cửa van, mở hết – chảy tự do)</t>
  </si>
  <si>
    <t xml:space="preserve">Cao trình ngưỡng</t>
  </si>
  <si>
    <t xml:space="preserve">QTVH 2026; thuyết minh mục 1.6.2</t>
  </si>
  <si>
    <t xml:space="preserve">Số khoang n</t>
  </si>
  <si>
    <t xml:space="preserve">khoang</t>
  </si>
  <si>
    <t xml:space="preserve">Đơn vị quản lý chia 9 khoang × 2,4 m (QTVH mục 6)</t>
  </si>
  <si>
    <t xml:space="preserve">Bề rộng một khoang b</t>
  </si>
  <si>
    <t xml:space="preserve">Σb = 21,6 m</t>
  </si>
  <si>
    <t xml:space="preserve">Hệ số lưu lượng m</t>
  </si>
  <si>
    <t xml:space="preserve">Đồ án lấy 0,45 (thuyết minh 2.3.2); BCNCKT 0,467; QTVH 0,40</t>
  </si>
  <si>
    <t xml:space="preserve">Hệ số hình dạng mố bên ξmb</t>
  </si>
  <si>
    <t xml:space="preserve">Mố bên lượn tròn</t>
  </si>
  <si>
    <t xml:space="preserve">Hệ số hình dạng mố trụ ξmt</t>
  </si>
  <si>
    <t xml:space="preserve">Mố trụ đầu tròn</t>
  </si>
  <si>
    <t xml:space="preserve">Hệ số chảy ngập σn</t>
  </si>
  <si>
    <t xml:space="preserve">Chảy không ngập</t>
  </si>
  <si>
    <t xml:space="preserve">C. TRÀN SỰ CỐ (cửa van phẳng – giả thiết mở hoàn toàn)</t>
  </si>
  <si>
    <t xml:space="preserve">KTTV Bảng 1-2</t>
  </si>
  <si>
    <t xml:space="preserve">Bề rộng khoang b</t>
  </si>
  <si>
    <t xml:space="preserve">Như chương trình của đồ án</t>
  </si>
  <si>
    <t xml:space="preserve">Không dùng khi n = 1</t>
  </si>
  <si>
    <t xml:space="preserve">D. ĐƯỜNG QUÁ TRÌNH LŨ ĐẾN (m³/s) – BCNCKT 2022, mô hình Gurdich 36 giờ (KTTV Bảng 4-5)</t>
  </si>
  <si>
    <t xml:space="preserve">Tần suất P (%) →</t>
  </si>
  <si>
    <t xml:space="preserve">t (giờ)</t>
  </si>
  <si>
    <t xml:space="preserve">P = 1%</t>
  </si>
  <si>
    <t xml:space="preserve">P = 0,2%</t>
  </si>
  <si>
    <t xml:space="preserve">Giờ 0 lấy bằng giờ 1 (như chương trình của đồ án); sau giờ 36 lưu lượng đến = 0.</t>
  </si>
  <si>
    <t xml:space="preserve">Tổng lượng lũ tính từ bảng (10⁶ m³):</t>
  </si>
  <si>
    <t xml:space="preserve">Tổng lượng lũ ghi trong KTTV Bảng 4-4 (10⁶ m³):</t>
  </si>
  <si>
    <t xml:space="preserve">Thuyết minh mục 1.4.3: dùng trực tiếp tung độ đường quá trình (tổng lượng 36,27 / 47,69), không dùng tổng lượng ghi – thiên an toàn.</t>
  </si>
  <si>
    <t xml:space="preserve">E. QUAN HỆ Z ~ F ~ W – BÌNH ĐỒ 2022 (QTVH Bảng 1-2)</t>
  </si>
  <si>
    <t xml:space="preserve">Z (m)</t>
  </si>
  <si>
    <t xml:space="preserve">F (km²)</t>
  </si>
  <si>
    <t xml:space="preserve">W (10⁶ m³)</t>
  </si>
  <si>
    <t xml:space="preserve">Ghi chú</t>
  </si>
  <si>
    <t xml:space="preserve">W cộng dồn từ F (F biến đổi tuyến tính giữa hai cao trình): dùng cho mọi tính toán – V(+74,70) = 36,41·10⁶ m³ như thuyết minh. Điều tiết lũ chỉ dùng chênh lệch dung tích nên chỉ phần trên MNDBT quyết định kết quả.</t>
  </si>
  <si>
    <t xml:space="preserve">BẢNG QUAN HỆ Z ~ V ~ q ~ f (bước 0,01 m) – dùng để tra trong các sheet điều tiết</t>
  </si>
  <si>
    <t xml:space="preserve">f = V·10⁶/Δt + q/2 (m³/s). Cột q hai tràn = q tràn chính + q tràn sự cố tại CÙNG mực nước Z.</t>
  </si>
  <si>
    <t xml:space="preserve">V (10⁶ m³)</t>
  </si>
  <si>
    <t xml:space="preserve">H tràn chính (m)</t>
  </si>
  <si>
    <t xml:space="preserve">ε tràn chính</t>
  </si>
  <si>
    <t xml:space="preserve">q tràn chính (m³/s)</t>
  </si>
  <si>
    <t xml:space="preserve">H tràn sự cố (m)</t>
  </si>
  <si>
    <t xml:space="preserve">ε tràn sự cố</t>
  </si>
  <si>
    <t xml:space="preserve">q tràn sự cố (m³/s)</t>
  </si>
  <si>
    <t xml:space="preserve">q hai tràn (m³/s)</t>
  </si>
  <si>
    <t xml:space="preserve">q kẹt van (m³/s)</t>
  </si>
  <si>
    <t xml:space="preserve">f hai tràn (m³/s)</t>
  </si>
  <si>
    <t xml:space="preserve">f kẹt van (m³/s)</t>
  </si>
  <si>
    <t xml:space="preserve">ĐIỀU TIẾT LŨ – PHƯƠNG PHÁP PÔ-TA-PỐP (Δt = 1 giờ)</t>
  </si>
  <si>
    <t xml:space="preserve">Tần suất P (%)</t>
  </si>
  <si>
    <t xml:space="preserve">Trường hợp</t>
  </si>
  <si>
    <t xml:space="preserve">Hai tràn</t>
  </si>
  <si>
    <t xml:space="preserve">← sửa ô vàng: P = 1 hoặc 0,2; trường hợp “Hai tràn” hoặc “Kẹt van”</t>
  </si>
  <si>
    <t xml:space="preserve">Cột lũ</t>
  </si>
  <si>
    <t xml:space="preserve">Cột f</t>
  </si>
  <si>
    <t xml:space="preserve">Giờ 0: Z = MNDBT, q = q(MNDBT) theo trường hợp chọn. Từ giờ 1: f₂ = f₁ + Q̄ − q₁ → tra Z₂ → q₂, V₂.</t>
  </si>
  <si>
    <t xml:space="preserve">Mực nước lớn nhất Zmax (m)</t>
  </si>
  <si>
    <t xml:space="preserve">Thời điểm xuất hiện (giờ)</t>
  </si>
  <si>
    <t xml:space="preserve">Lưu lượng xả lớn nhất qmax (m³/s)</t>
  </si>
  <si>
    <t xml:space="preserve">Lúc Zmax: q tràn chính / q tràn sự cố (m³/s)</t>
  </si>
  <si>
    <t xml:space="preserve">Cột nước trên ngưỡng lúc Zmax: tràn chính / tràn sự cố (m)</t>
  </si>
  <si>
    <t xml:space="preserve">Dung tích phòng lũ V(Zmax) − V(MNDBT) (10⁶ m³)</t>
  </si>
  <si>
    <t xml:space="preserve">Cân bằng nước: W đến − W xả − ΔV (10⁶ m³, phải ≈ 0)</t>
  </si>
  <si>
    <t xml:space="preserve">Q đến (m³/s)</t>
  </si>
  <si>
    <t xml:space="preserve">Q̄ = (Q₁+Q₂)/2</t>
  </si>
  <si>
    <t xml:space="preserve">f₁ (giờ trước)</t>
  </si>
  <si>
    <t xml:space="preserve">q₁ (giờ trước)</t>
  </si>
  <si>
    <t xml:space="preserve">f₂ = f₁ + Q̄ − q₁</t>
  </si>
  <si>
    <t xml:space="preserve">Z₂ (m) tra ngược f ~ Z</t>
  </si>
  <si>
    <t xml:space="preserve">q xả = tổng (m³/s)</t>
  </si>
  <si>
    <t xml:space="preserve">V₂ (10⁶ m³)</t>
  </si>
  <si>
    <t xml:space="preserve">f₂ = V₂/Δt + q₂/2</t>
  </si>
  <si>
    <t xml:space="preserve">Kẹt van</t>
  </si>
  <si>
    <t xml:space="preserve">KẾT QUẢ ĐIỀU TIẾT LŨ – HỒ CÀ GIÂY (hai tràn, cửa van tràn sự cố mở hoàn toàn)</t>
  </si>
  <si>
    <t xml:space="preserve">Sheet</t>
  </si>
  <si>
    <t xml:space="preserve">P (%) – trường hợp</t>
  </si>
  <si>
    <t xml:space="preserve">Zmax (m)</t>
  </si>
  <si>
    <t xml:space="preserve">qmax (m³/s)</t>
  </si>
  <si>
    <t xml:space="preserve">q tràn chính lúc Zmax</t>
  </si>
  <si>
    <t xml:space="preserve">q tràn sự cố lúc Zmax</t>
  </si>
  <si>
    <t xml:space="preserve">Dung tích phòng lũ (10⁶ m³)</t>
  </si>
  <si>
    <t xml:space="preserve">Thuyết minh (quy tắc QTVH)</t>
  </si>
  <si>
    <t xml:space="preserve">Ý nghĩa</t>
  </si>
  <si>
    <t xml:space="preserve">P1_HaiTran</t>
  </si>
  <si>
    <t xml:space="preserve">MNLTK – trường hợp thiết kế</t>
  </si>
  <si>
    <t xml:space="preserve">P1_KetVan</t>
  </si>
  <si>
    <t xml:space="preserve">Kẹt van tràn sự cố – tổ hợp đặc biệt</t>
  </si>
  <si>
    <t xml:space="preserve">P02_HaiTran</t>
  </si>
  <si>
    <t xml:space="preserve">MNLKT – trường hợp kiểm tra</t>
  </si>
  <si>
    <t xml:space="preserve">P02_KetVan</t>
  </si>
  <si>
    <t xml:space="preserve">Kẹt van + lũ kiểm tra – đánh giá rủi ro</t>
  </si>
  <si>
    <t xml:space="preserve">Cột “Thuyết minh”: chương trình của đồ án, đầu lũ dùng cửa van tràn sự cố giữ MNDBT rồi mới mở hết (QTVH) – cao hơn giả thiết mở hoàn toàn từ đầu khoảng 2 cm; trường hợp kẹt van trùng nhau.</t>
  </si>
  <si>
    <t xml:space="preserve">SO SÁNH VỚI BẢNG TÍNH HAI TRÀN ĐỘC LẬP (bảng của bạn)</t>
  </si>
  <si>
    <t xml:space="preserve">Cách tính</t>
  </si>
  <si>
    <t xml:space="preserve">Zmax P = 1% (m)</t>
  </si>
  <si>
    <t xml:space="preserve">Zmax P = 0,2% (m)</t>
  </si>
  <si>
    <t xml:space="preserve">Nhận xét</t>
  </si>
  <si>
    <t xml:space="preserve">Chỉ tràn chính (bảng của bạn)</t>
  </si>
  <si>
    <t xml:space="preserve">Thực chất là trường hợp kẹt van tràn sự cố – gần kết quả kẹt van của file này</t>
  </si>
  <si>
    <t xml:space="preserve">Chỉ tràn sự cố (bảng của bạn)</t>
  </si>
  <si>
    <t xml:space="preserve">Trường hợp cả 9 cửa tràn chính không mở – không phải trường hợp thiết kế</t>
  </si>
  <si>
    <t xml:space="preserve">Kẹt van – file này</t>
  </si>
  <si>
    <t xml:space="preserve">Chỉ tràn chính làm việc</t>
  </si>
  <si>
    <t xml:space="preserve">Hai tràn cùng làm việc – file này</t>
  </si>
  <si>
    <t xml:space="preserve">ĐÚNG cho MNLTK, MNLKT: q(Z) = q tràn chính(Z) + q tràn sự cố(Z), điều tiết một lần</t>
  </si>
  <si>
    <t xml:space="preserve">Kết luận: MNLTK = Zmax (P = 1%, hai tràn) =</t>
  </si>
  <si>
    <t xml:space="preserve">             MNLKT = Zmax (P = 0,2%, hai tràn) =</t>
  </si>
  <si>
    <t xml:space="preserve">SỐ LIỆU VẼ BIỂU ĐỒ (lấy từ các sheet điều tiết)</t>
  </si>
  <si>
    <t xml:space="preserve">Q đến P = 1%</t>
  </si>
  <si>
    <t xml:space="preserve">q xả – hai tràn</t>
  </si>
  <si>
    <t xml:space="preserve">q xả – kẹt van</t>
  </si>
  <si>
    <t xml:space="preserve">Z P = 1% – hai tràn</t>
  </si>
  <si>
    <t xml:space="preserve">Z P = 1% – kẹt van</t>
  </si>
  <si>
    <t xml:space="preserve">Z P = 0,2% – hai tràn</t>
  </si>
  <si>
    <t xml:space="preserve">Z P = 0,2% – kẹt van</t>
  </si>
</sst>
</file>

<file path=xl/styles.xml><?xml version="1.0" encoding="utf-8"?>
<styleSheet xmlns="http://schemas.openxmlformats.org/spreadsheetml/2006/main">
  <numFmts count="6">
    <numFmt numFmtId="164" formatCode="General"/>
    <numFmt numFmtId="165" formatCode="0.00"/>
    <numFmt numFmtId="166" formatCode="0"/>
    <numFmt numFmtId="167" formatCode="0.0"/>
    <numFmt numFmtId="168" formatCode="0.000"/>
    <numFmt numFmtId="169"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12324A"/>
      <name val="Times New Roman"/>
      <family val="0"/>
      <charset val="1"/>
    </font>
    <font>
      <i val="true"/>
      <sz val="10"/>
      <color rgb="FF52514E"/>
      <name val="Times New Roman"/>
      <family val="0"/>
      <charset val="1"/>
    </font>
    <font>
      <b val="true"/>
      <sz val="12"/>
      <color rgb="FFA65A10"/>
      <name val="Times New Roman"/>
      <family val="0"/>
      <charset val="1"/>
    </font>
    <font>
      <sz val="11"/>
      <name val="Times New Roman"/>
      <family val="0"/>
      <charset val="1"/>
    </font>
    <font>
      <b val="true"/>
      <sz val="12"/>
      <color rgb="FF12324A"/>
      <name val="Times New Roman"/>
      <family val="0"/>
      <charset val="1"/>
    </font>
    <font>
      <b val="true"/>
      <sz val="10"/>
      <color rgb="FFFFFFFF"/>
      <name val="Times New Roman"/>
      <family val="0"/>
      <charset val="1"/>
    </font>
    <font>
      <b val="true"/>
      <sz val="11"/>
      <name val="Times New Roman"/>
      <family val="0"/>
      <charset val="1"/>
    </font>
    <font>
      <b val="true"/>
      <sz val="11"/>
      <color rgb="FF0000FF"/>
      <name val="Times New Roman"/>
      <family val="0"/>
      <charset val="1"/>
    </font>
    <font>
      <sz val="11"/>
      <color rgb="FF0000FF"/>
      <name val="Times New Roman"/>
      <family val="0"/>
      <charset val="1"/>
    </font>
    <font>
      <b val="true"/>
      <sz val="18"/>
      <color rgb="FF000000"/>
      <name val="Calibri"/>
      <family val="2"/>
    </font>
    <font>
      <sz val="10"/>
      <color rgb="FF000000"/>
      <name val="Calibri"/>
      <family val="2"/>
    </font>
    <font>
      <b val="true"/>
      <sz val="10"/>
      <color rgb="FF000000"/>
      <name val="Calibri"/>
      <family val="2"/>
    </font>
  </fonts>
  <fills count="7">
    <fill>
      <patternFill patternType="none"/>
    </fill>
    <fill>
      <patternFill patternType="gray125"/>
    </fill>
    <fill>
      <patternFill patternType="solid">
        <fgColor rgb="FF12324A"/>
        <bgColor rgb="FF003300"/>
      </patternFill>
    </fill>
    <fill>
      <patternFill patternType="solid">
        <fgColor rgb="FFFFF2CC"/>
        <bgColor rgb="FFFBF3E8"/>
      </patternFill>
    </fill>
    <fill>
      <patternFill patternType="solid">
        <fgColor rgb="FFFBF3E8"/>
        <bgColor rgb="FFF4F1FA"/>
      </patternFill>
    </fill>
    <fill>
      <patternFill patternType="solid">
        <fgColor rgb="FFEEF3FA"/>
        <bgColor rgb="FFF4F1FA"/>
      </patternFill>
    </fill>
    <fill>
      <patternFill patternType="solid">
        <fgColor rgb="FFF4F1FA"/>
        <bgColor rgb="FFEEF3FA"/>
      </patternFill>
    </fill>
  </fills>
  <borders count="2">
    <border diagonalUp="false" diagonalDown="false">
      <left/>
      <right/>
      <top/>
      <bottom/>
      <diagonal/>
    </border>
    <border diagonalUp="false" diagonalDown="false">
      <left style="thin">
        <color rgb="FFB8BEC6"/>
      </left>
      <right style="thin">
        <color rgb="FFB8BEC6"/>
      </right>
      <top style="thin">
        <color rgb="FFB8BEC6"/>
      </top>
      <bottom style="thin">
        <color rgb="FFB8BE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1"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right" vertical="bottom" textRotation="0" wrapText="false" indent="0" shrinkToFit="false"/>
      <protection locked="true" hidden="false"/>
    </xf>
    <xf numFmtId="167" fontId="11" fillId="0" borderId="1" xfId="0" applyFont="true" applyBorder="true" applyAlignment="true" applyProtection="false">
      <alignment horizontal="center" vertical="bottom" textRotation="0" wrapText="fals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4" borderId="1" xfId="0" applyFont="true" applyBorder="true" applyAlignment="true" applyProtection="false">
      <alignment horizontal="center" vertical="bottom" textRotation="0" wrapText="false" indent="0" shrinkToFit="false"/>
      <protection locked="true" hidden="false"/>
    </xf>
    <xf numFmtId="165" fontId="12" fillId="0" borderId="1" xfId="0" applyFont="true" applyBorder="true" applyAlignment="true" applyProtection="false">
      <alignment horizontal="center" vertical="bottom" textRotation="0" wrapText="false" indent="0" shrinkToFit="false"/>
      <protection locked="true" hidden="false"/>
    </xf>
    <xf numFmtId="168" fontId="7" fillId="0" borderId="1" xfId="0" applyFont="true" applyBorder="true" applyAlignment="true" applyProtection="false">
      <alignment horizontal="center"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65" fontId="7" fillId="5" borderId="0" xfId="0" applyFont="true" applyBorder="false" applyAlignment="true" applyProtection="false">
      <alignment horizontal="center" vertical="bottom" textRotation="0" wrapText="false" indent="0" shrinkToFit="false"/>
      <protection locked="true" hidden="false"/>
    </xf>
    <xf numFmtId="168" fontId="7" fillId="5" borderId="0" xfId="0" applyFont="true" applyBorder="false" applyAlignment="true" applyProtection="false">
      <alignment horizontal="center" vertical="bottom" textRotation="0" wrapText="false" indent="0" shrinkToFit="false"/>
      <protection locked="true" hidden="false"/>
    </xf>
    <xf numFmtId="167" fontId="7" fillId="5" borderId="0" xfId="0" applyFont="true" applyBorder="false" applyAlignment="true" applyProtection="false">
      <alignment horizontal="center" vertical="bottom" textRotation="0" wrapText="false" indent="0" shrinkToFit="false"/>
      <protection locked="true" hidden="false"/>
    </xf>
    <xf numFmtId="165" fontId="7" fillId="6" borderId="0" xfId="0" applyFont="true" applyBorder="false" applyAlignment="true" applyProtection="false">
      <alignment horizontal="center" vertical="bottom" textRotation="0" wrapText="false" indent="0" shrinkToFit="false"/>
      <protection locked="true" hidden="false"/>
    </xf>
    <xf numFmtId="168" fontId="7" fillId="6" borderId="0" xfId="0" applyFont="true" applyBorder="false" applyAlignment="true" applyProtection="false">
      <alignment horizontal="center" vertical="bottom" textRotation="0" wrapText="false" indent="0" shrinkToFit="false"/>
      <protection locked="true" hidden="false"/>
    </xf>
    <xf numFmtId="167" fontId="7" fillId="6"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7" fontId="11" fillId="3" borderId="1" xfId="0" applyFont="true" applyBorder="true" applyAlignment="true" applyProtection="false">
      <alignment horizontal="center" vertical="bottom" textRotation="0" wrapText="false" indent="0" shrinkToFit="false"/>
      <protection locked="true" hidden="false"/>
    </xf>
    <xf numFmtId="164" fontId="11" fillId="3"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6" fontId="10" fillId="4" borderId="1" xfId="0" applyFont="true" applyBorder="true" applyAlignment="true" applyProtection="false">
      <alignment horizontal="center" vertical="bottom" textRotation="0" wrapText="false" indent="0" shrinkToFit="false"/>
      <protection locked="true" hidden="false"/>
    </xf>
    <xf numFmtId="167" fontId="10" fillId="4" borderId="1" xfId="0" applyFont="true" applyBorder="true" applyAlignment="true" applyProtection="false">
      <alignment horizontal="center" vertical="bottom" textRotation="0" wrapText="false" indent="0" shrinkToFit="false"/>
      <protection locked="true" hidden="false"/>
    </xf>
    <xf numFmtId="168" fontId="10" fillId="4" borderId="1" xfId="0" applyFont="true" applyBorder="true" applyAlignment="true" applyProtection="false">
      <alignment horizontal="center" vertical="bottom" textRotation="0" wrapText="false" indent="0" shrinkToFit="false"/>
      <protection locked="true" hidden="false"/>
    </xf>
    <xf numFmtId="169" fontId="10" fillId="4"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8" fontId="10" fillId="0" borderId="1" xfId="0" applyFont="true" applyBorder="true" applyAlignment="true" applyProtection="false">
      <alignment horizontal="center" vertical="bottom" textRotation="0" wrapText="false" indent="0" shrinkToFit="false"/>
      <protection locked="true" hidden="false"/>
    </xf>
    <xf numFmtId="167" fontId="7" fillId="5" borderId="1" xfId="0" applyFont="true" applyBorder="true" applyAlignment="true" applyProtection="false">
      <alignment horizontal="center" vertical="bottom" textRotation="0" wrapText="false" indent="0" shrinkToFit="false"/>
      <protection locked="true" hidden="false"/>
    </xf>
    <xf numFmtId="167" fontId="7" fillId="6" borderId="1" xfId="0" applyFont="true" applyBorder="true" applyAlignment="true" applyProtection="false">
      <alignment horizontal="center" vertical="bottom" textRotation="0" wrapText="false" indent="0" shrinkToFit="false"/>
      <protection locked="true" hidden="false"/>
    </xf>
    <xf numFmtId="166" fontId="7" fillId="4" borderId="1" xfId="0" applyFont="true" applyBorder="true" applyAlignment="true" applyProtection="false">
      <alignment horizontal="center" vertical="bottom" textRotation="0" wrapText="false" indent="0" shrinkToFit="false"/>
      <protection locked="true" hidden="false"/>
    </xf>
    <xf numFmtId="167" fontId="7" fillId="4" borderId="1" xfId="0" applyFont="true" applyBorder="true" applyAlignment="true" applyProtection="false">
      <alignment horizontal="center" vertical="bottom" textRotation="0" wrapText="false" indent="0" shrinkToFit="false"/>
      <protection locked="true" hidden="false"/>
    </xf>
    <xf numFmtId="165" fontId="7" fillId="4"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8BEC6"/>
      <rgbColor rgb="FF878787"/>
      <rgbColor rgb="FF9999FF"/>
      <rgbColor rgb="FF993366"/>
      <rgbColor rgb="FFFFF2CC"/>
      <rgbColor rgb="FFEEF3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4F1FA"/>
      <rgbColor rgb="FFCCFFCC"/>
      <rgbColor rgb="FFFBF3E8"/>
      <rgbColor rgb="FF99CCFF"/>
      <rgbColor rgb="FFFF99CC"/>
      <rgbColor rgb="FFCC99FF"/>
      <rgbColor rgb="FFF8D7D7"/>
      <rgbColor rgb="FF2A78D6"/>
      <rgbColor rgb="FF33CCCC"/>
      <rgbColor rgb="FF99CC00"/>
      <rgbColor rgb="FFFFCC00"/>
      <rgbColor rgb="FFEDA100"/>
      <rgbColor rgb="FFEB6834"/>
      <rgbColor rgb="FF666699"/>
      <rgbColor rgb="FF8A8984"/>
      <rgbColor rgb="FF12324A"/>
      <rgbColor rgb="FF1BAF7A"/>
      <rgbColor rgb="FF003300"/>
      <rgbColor rgb="FF333300"/>
      <rgbColor rgb="FFA65A10"/>
      <rgbColor rgb="FF993366"/>
      <rgbColor rgb="FF333399"/>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Lưu lượng đến và xả – P = 1%</a:t>
            </a:r>
          </a:p>
        </c:rich>
      </c:tx>
      <c:overlay val="0"/>
      <c:spPr>
        <a:noFill/>
        <a:ln w="0">
          <a:noFill/>
        </a:ln>
      </c:spPr>
    </c:title>
    <c:autoTitleDeleted val="0"/>
    <c:plotArea>
      <c:lineChart>
        <c:grouping val="standard"/>
        <c:varyColors val="0"/>
        <c:ser>
          <c:idx val="0"/>
          <c:order val="0"/>
          <c:tx>
            <c:strRef>
              <c:f>KetQua!B22</c:f>
              <c:strCache>
                <c:ptCount val="1"/>
                <c:pt idx="0">
                  <c:v>Q đến P = 1%</c:v>
                </c:pt>
              </c:strCache>
            </c:strRef>
          </c:tx>
          <c:spPr>
            <a:solidFill>
              <a:srgbClr val="52514E"/>
            </a:solidFill>
            <a:ln w="22320">
              <a:solidFill>
                <a:srgbClr val="52514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KetQua!$B$23:$B$71</c:f>
              <c:numCache>
                <c:formatCode>0.0</c:formatCode>
                <c:ptCount val="49"/>
                <c:pt idx="0">
                  <c:v>2</c:v>
                </c:pt>
                <c:pt idx="1">
                  <c:v>2</c:v>
                </c:pt>
                <c:pt idx="2">
                  <c:v>50</c:v>
                </c:pt>
                <c:pt idx="3">
                  <c:v>207</c:v>
                </c:pt>
                <c:pt idx="4">
                  <c:v>437</c:v>
                </c:pt>
                <c:pt idx="5">
                  <c:v>657</c:v>
                </c:pt>
                <c:pt idx="6">
                  <c:v>816</c:v>
                </c:pt>
                <c:pt idx="7">
                  <c:v>898</c:v>
                </c:pt>
                <c:pt idx="8">
                  <c:v>914</c:v>
                </c:pt>
                <c:pt idx="9">
                  <c:v>879</c:v>
                </c:pt>
                <c:pt idx="10">
                  <c:v>812</c:v>
                </c:pt>
                <c:pt idx="11">
                  <c:v>727</c:v>
                </c:pt>
                <c:pt idx="12">
                  <c:v>636</c:v>
                </c:pt>
                <c:pt idx="13">
                  <c:v>547</c:v>
                </c:pt>
                <c:pt idx="14">
                  <c:v>461</c:v>
                </c:pt>
                <c:pt idx="15">
                  <c:v>386</c:v>
                </c:pt>
                <c:pt idx="16">
                  <c:v>321</c:v>
                </c:pt>
                <c:pt idx="17">
                  <c:v>263</c:v>
                </c:pt>
                <c:pt idx="18">
                  <c:v>214</c:v>
                </c:pt>
                <c:pt idx="19">
                  <c:v>174</c:v>
                </c:pt>
                <c:pt idx="20">
                  <c:v>141</c:v>
                </c:pt>
                <c:pt idx="21">
                  <c:v>112</c:v>
                </c:pt>
                <c:pt idx="22">
                  <c:v>89</c:v>
                </c:pt>
                <c:pt idx="23">
                  <c:v>71</c:v>
                </c:pt>
                <c:pt idx="24">
                  <c:v>57</c:v>
                </c:pt>
                <c:pt idx="25">
                  <c:v>46</c:v>
                </c:pt>
                <c:pt idx="26">
                  <c:v>36</c:v>
                </c:pt>
                <c:pt idx="27">
                  <c:v>29</c:v>
                </c:pt>
                <c:pt idx="28">
                  <c:v>23</c:v>
                </c:pt>
                <c:pt idx="29">
                  <c:v>18</c:v>
                </c:pt>
                <c:pt idx="30">
                  <c:v>14</c:v>
                </c:pt>
                <c:pt idx="31">
                  <c:v>11</c:v>
                </c:pt>
                <c:pt idx="32">
                  <c:v>8</c:v>
                </c:pt>
                <c:pt idx="33">
                  <c:v>7</c:v>
                </c:pt>
                <c:pt idx="34">
                  <c:v>5</c:v>
                </c:pt>
                <c:pt idx="35">
                  <c:v>4</c:v>
                </c:pt>
                <c:pt idx="36">
                  <c:v>3</c:v>
                </c:pt>
                <c:pt idx="37">
                  <c:v>0</c:v>
                </c:pt>
                <c:pt idx="38">
                  <c:v>0</c:v>
                </c:pt>
                <c:pt idx="39">
                  <c:v>0</c:v>
                </c:pt>
                <c:pt idx="40">
                  <c:v>0</c:v>
                </c:pt>
                <c:pt idx="41">
                  <c:v>0</c:v>
                </c:pt>
                <c:pt idx="42">
                  <c:v>0</c:v>
                </c:pt>
                <c:pt idx="43">
                  <c:v>0</c:v>
                </c:pt>
                <c:pt idx="44">
                  <c:v>0</c:v>
                </c:pt>
                <c:pt idx="45">
                  <c:v>0</c:v>
                </c:pt>
                <c:pt idx="46">
                  <c:v>0</c:v>
                </c:pt>
                <c:pt idx="47">
                  <c:v>0</c:v>
                </c:pt>
                <c:pt idx="48">
                  <c:v>0</c:v>
                </c:pt>
              </c:numCache>
            </c:numRef>
          </c:val>
          <c:smooth val="0"/>
        </c:ser>
        <c:ser>
          <c:idx val="1"/>
          <c:order val="1"/>
          <c:tx>
            <c:strRef>
              <c:f>KetQua!C22</c:f>
              <c:strCache>
                <c:ptCount val="1"/>
                <c:pt idx="0">
                  <c:v>q xả – hai tràn</c:v>
                </c:pt>
              </c:strCache>
            </c:strRef>
          </c:tx>
          <c:spPr>
            <a:solidFill>
              <a:srgbClr val="2A78D6"/>
            </a:solidFill>
            <a:ln w="22320">
              <a:solidFill>
                <a:srgbClr val="2A78D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KetQua!$C$23:$C$71</c:f>
              <c:numCache>
                <c:formatCode>0.0</c:formatCode>
                <c:ptCount val="49"/>
                <c:pt idx="0">
                  <c:v>63.5823321712985</c:v>
                </c:pt>
                <c:pt idx="1">
                  <c:v>62.7453685852321</c:v>
                </c:pt>
                <c:pt idx="2">
                  <c:v>62.2456236489384</c:v>
                </c:pt>
                <c:pt idx="3">
                  <c:v>63.1465187411718</c:v>
                </c:pt>
                <c:pt idx="4">
                  <c:v>68.6072626238657</c:v>
                </c:pt>
                <c:pt idx="5">
                  <c:v>83.4306487698896</c:v>
                </c:pt>
                <c:pt idx="6">
                  <c:v>108.431824846985</c:v>
                </c:pt>
                <c:pt idx="7">
                  <c:v>141.177116671602</c:v>
                </c:pt>
                <c:pt idx="8">
                  <c:v>177.48865904726</c:v>
                </c:pt>
                <c:pt idx="9">
                  <c:v>213.263867270965</c:v>
                </c:pt>
                <c:pt idx="10">
                  <c:v>245.564547158992</c:v>
                </c:pt>
                <c:pt idx="11">
                  <c:v>272.718679830476</c:v>
                </c:pt>
                <c:pt idx="12">
                  <c:v>294.057069131688</c:v>
                </c:pt>
                <c:pt idx="13">
                  <c:v>309.636223514908</c:v>
                </c:pt>
                <c:pt idx="14">
                  <c:v>319.831293555209</c:v>
                </c:pt>
                <c:pt idx="15">
                  <c:v>325.272133182959</c:v>
                </c:pt>
                <c:pt idx="16">
                  <c:v>326.753915791357</c:v>
                </c:pt>
                <c:pt idx="17">
                  <c:v>324.929604206058</c:v>
                </c:pt>
                <c:pt idx="18">
                  <c:v>320.393447437288</c:v>
                </c:pt>
                <c:pt idx="19">
                  <c:v>313.762298977956</c:v>
                </c:pt>
                <c:pt idx="20">
                  <c:v>305.569697369432</c:v>
                </c:pt>
                <c:pt idx="21">
                  <c:v>296.191654191164</c:v>
                </c:pt>
                <c:pt idx="22">
                  <c:v>285.959621364117</c:v>
                </c:pt>
                <c:pt idx="23">
                  <c:v>275.214641712879</c:v>
                </c:pt>
                <c:pt idx="24">
                  <c:v>264.227610400155</c:v>
                </c:pt>
                <c:pt idx="25">
                  <c:v>253.202185280224</c:v>
                </c:pt>
                <c:pt idx="26">
                  <c:v>242.253457791054</c:v>
                </c:pt>
                <c:pt idx="27">
                  <c:v>231.488446090462</c:v>
                </c:pt>
                <c:pt idx="28">
                  <c:v>221.0065821084</c:v>
                </c:pt>
                <c:pt idx="29">
                  <c:v>210.84935189113</c:v>
                </c:pt>
                <c:pt idx="30">
                  <c:v>201.054830084932</c:v>
                </c:pt>
                <c:pt idx="31">
                  <c:v>191.657301295185</c:v>
                </c:pt>
                <c:pt idx="32">
                  <c:v>182.663269270912</c:v>
                </c:pt>
                <c:pt idx="33">
                  <c:v>174.102091751019</c:v>
                </c:pt>
                <c:pt idx="34">
                  <c:v>165.975568002736</c:v>
                </c:pt>
                <c:pt idx="35">
                  <c:v>158.260667812811</c:v>
                </c:pt>
                <c:pt idx="36">
                  <c:v>150.960166649568</c:v>
                </c:pt>
                <c:pt idx="37">
                  <c:v>144.008147257125</c:v>
                </c:pt>
                <c:pt idx="38">
                  <c:v>137.409523922677</c:v>
                </c:pt>
                <c:pt idx="39">
                  <c:v>131.212278767331</c:v>
                </c:pt>
                <c:pt idx="40">
                  <c:v>125.392325492877</c:v>
                </c:pt>
                <c:pt idx="41">
                  <c:v>119.927086376271</c:v>
                </c:pt>
                <c:pt idx="42">
                  <c:v>114.795469672284</c:v>
                </c:pt>
                <c:pt idx="43">
                  <c:v>109.977657106361</c:v>
                </c:pt>
                <c:pt idx="44">
                  <c:v>105.45520349142</c:v>
                </c:pt>
                <c:pt idx="45">
                  <c:v>101.21104514646</c:v>
                </c:pt>
                <c:pt idx="46">
                  <c:v>97.2292461328429</c:v>
                </c:pt>
                <c:pt idx="47">
                  <c:v>93.4952184708707</c:v>
                </c:pt>
                <c:pt idx="48">
                  <c:v>89.9954256838156</c:v>
                </c:pt>
              </c:numCache>
            </c:numRef>
          </c:val>
          <c:smooth val="0"/>
        </c:ser>
        <c:ser>
          <c:idx val="2"/>
          <c:order val="2"/>
          <c:tx>
            <c:strRef>
              <c:f>KetQua!D22</c:f>
              <c:strCache>
                <c:ptCount val="1"/>
                <c:pt idx="0">
                  <c:v>q xả – kẹt van</c:v>
                </c:pt>
              </c:strCache>
            </c:strRef>
          </c:tx>
          <c:spPr>
            <a:solidFill>
              <a:srgbClr val="2A78D6"/>
            </a:solidFill>
            <a:ln w="22320">
              <a:solidFill>
                <a:srgbClr val="2A78D6"/>
              </a:solidFill>
              <a:prstDash val="dash"/>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prstDash val="dash"/>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KetQua!$D$23:$D$71</c:f>
              <c:numCache>
                <c:formatCode>0.0</c:formatCode>
                <c:ptCount val="49"/>
                <c:pt idx="0">
                  <c:v>0</c:v>
                </c:pt>
                <c:pt idx="1">
                  <c:v>0.00167408261279184</c:v>
                </c:pt>
                <c:pt idx="2">
                  <c:v>0.0875235445777328</c:v>
                </c:pt>
                <c:pt idx="3">
                  <c:v>1.14235464488194</c:v>
                </c:pt>
                <c:pt idx="4">
                  <c:v>5.93790790426564</c:v>
                </c:pt>
                <c:pt idx="5">
                  <c:v>17.8604218679597</c:v>
                </c:pt>
                <c:pt idx="6">
                  <c:v>38.2184288414347</c:v>
                </c:pt>
                <c:pt idx="7">
                  <c:v>65.3774026773091</c:v>
                </c:pt>
                <c:pt idx="8">
                  <c:v>96.0241975914148</c:v>
                </c:pt>
                <c:pt idx="9">
                  <c:v>126.845346450615</c:v>
                </c:pt>
                <c:pt idx="10">
                  <c:v>155.37829489135</c:v>
                </c:pt>
                <c:pt idx="11">
                  <c:v>180.156737085075</c:v>
                </c:pt>
                <c:pt idx="12">
                  <c:v>200.544403968357</c:v>
                </c:pt>
                <c:pt idx="13">
                  <c:v>216.496387037317</c:v>
                </c:pt>
                <c:pt idx="14">
                  <c:v>228.239737245373</c:v>
                </c:pt>
                <c:pt idx="15">
                  <c:v>236.215120841509</c:v>
                </c:pt>
                <c:pt idx="16">
                  <c:v>241.003979208344</c:v>
                </c:pt>
                <c:pt idx="17">
                  <c:v>243.085644816096</c:v>
                </c:pt>
                <c:pt idx="18">
                  <c:v>242.898483712976</c:v>
                </c:pt>
                <c:pt idx="19">
                  <c:v>240.902420736627</c:v>
                </c:pt>
                <c:pt idx="20">
                  <c:v>237.49708504605</c:v>
                </c:pt>
                <c:pt idx="21">
                  <c:v>232.964000847204</c:v>
                </c:pt>
                <c:pt idx="22">
                  <c:v>227.553199812177</c:v>
                </c:pt>
                <c:pt idx="23">
                  <c:v>221.525816998546</c:v>
                </c:pt>
                <c:pt idx="24">
                  <c:v>215.092497783506</c:v>
                </c:pt>
                <c:pt idx="25">
                  <c:v>208.414721534828</c:v>
                </c:pt>
                <c:pt idx="26">
                  <c:v>201.586514920502</c:v>
                </c:pt>
                <c:pt idx="27">
                  <c:v>194.697858550248</c:v>
                </c:pt>
                <c:pt idx="28">
                  <c:v>187.835229959524</c:v>
                </c:pt>
                <c:pt idx="29">
                  <c:v>181.040483655618</c:v>
                </c:pt>
                <c:pt idx="30">
                  <c:v>174.353413196068</c:v>
                </c:pt>
                <c:pt idx="31">
                  <c:v>167.812165020503</c:v>
                </c:pt>
                <c:pt idx="32">
                  <c:v>161.432305675573</c:v>
                </c:pt>
                <c:pt idx="33">
                  <c:v>155.248885127706</c:v>
                </c:pt>
                <c:pt idx="34">
                  <c:v>149.274685156062</c:v>
                </c:pt>
                <c:pt idx="35">
                  <c:v>143.50171288415</c:v>
                </c:pt>
                <c:pt idx="36">
                  <c:v>137.942056263877</c:v>
                </c:pt>
                <c:pt idx="37">
                  <c:v>132.54769303209</c:v>
                </c:pt>
                <c:pt idx="38">
                  <c:v>127.332432810363</c:v>
                </c:pt>
                <c:pt idx="39">
                  <c:v>122.347563124235</c:v>
                </c:pt>
                <c:pt idx="40">
                  <c:v>117.583071322321</c:v>
                </c:pt>
                <c:pt idx="41">
                  <c:v>113.029082458943</c:v>
                </c:pt>
                <c:pt idx="42">
                  <c:v>108.676201683862</c:v>
                </c:pt>
                <c:pt idx="43">
                  <c:v>104.515346519918</c:v>
                </c:pt>
                <c:pt idx="44">
                  <c:v>100.537789675395</c:v>
                </c:pt>
                <c:pt idx="45">
                  <c:v>96.735101399499</c:v>
                </c:pt>
                <c:pt idx="46">
                  <c:v>93.0992472040849</c:v>
                </c:pt>
                <c:pt idx="47">
                  <c:v>89.622574654065</c:v>
                </c:pt>
                <c:pt idx="48">
                  <c:v>86.2975787941464</c:v>
                </c:pt>
              </c:numCache>
            </c:numRef>
          </c:val>
          <c:smooth val="0"/>
        </c:ser>
        <c:hiLowLines>
          <c:spPr>
            <a:ln w="0">
              <a:noFill/>
            </a:ln>
          </c:spPr>
        </c:hiLowLines>
        <c:marker val="0"/>
        <c:axId val="29074214"/>
        <c:axId val="95201910"/>
      </c:lineChart>
      <c:catAx>
        <c:axId val="2907421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t (giờ)</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5201910"/>
        <c:crosses val="autoZero"/>
        <c:auto val="1"/>
        <c:lblAlgn val="ctr"/>
        <c:lblOffset val="100"/>
        <c:noMultiLvlLbl val="0"/>
      </c:catAx>
      <c:valAx>
        <c:axId val="95201910"/>
        <c:scaling>
          <c:orientation val="minMax"/>
          <c:max val="1000"/>
          <c:min val="0"/>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Lưu lượng (m³/s)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9074214"/>
        <c:crosses val="autoZero"/>
        <c:crossBetween val="between"/>
        <c:majorUnit val="100"/>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Mực nước hồ theo thời gian</a:t>
            </a:r>
          </a:p>
        </c:rich>
      </c:tx>
      <c:overlay val="0"/>
      <c:spPr>
        <a:noFill/>
        <a:ln w="0">
          <a:noFill/>
        </a:ln>
      </c:spPr>
    </c:title>
    <c:autoTitleDeleted val="0"/>
    <c:plotArea>
      <c:lineChart>
        <c:grouping val="standard"/>
        <c:varyColors val="0"/>
        <c:ser>
          <c:idx val="0"/>
          <c:order val="0"/>
          <c:tx>
            <c:strRef>
              <c:f>KetQua!E22</c:f>
              <c:strCache>
                <c:ptCount val="1"/>
                <c:pt idx="0">
                  <c:v>Z P = 1% – hai tràn</c:v>
                </c:pt>
              </c:strCache>
            </c:strRef>
          </c:tx>
          <c:spPr>
            <a:solidFill>
              <a:srgbClr val="2A78D6"/>
            </a:solidFill>
            <a:ln w="22320">
              <a:solidFill>
                <a:srgbClr val="2A78D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KetQua!$E$23:$E$71</c:f>
              <c:numCache>
                <c:formatCode>0.00</c:formatCode>
                <c:ptCount val="49"/>
                <c:pt idx="0">
                  <c:v>74.7</c:v>
                </c:pt>
                <c:pt idx="1">
                  <c:v>74.6647704075964</c:v>
                </c:pt>
                <c:pt idx="2">
                  <c:v>74.6436876607865</c:v>
                </c:pt>
                <c:pt idx="3">
                  <c:v>74.6816679819369</c:v>
                </c:pt>
                <c:pt idx="4">
                  <c:v>74.8280653027006</c:v>
                </c:pt>
                <c:pt idx="5">
                  <c:v>75.0917551192631</c:v>
                </c:pt>
                <c:pt idx="6">
                  <c:v>75.4423510989097</c:v>
                </c:pt>
                <c:pt idx="7">
                  <c:v>75.833396000452</c:v>
                </c:pt>
                <c:pt idx="8">
                  <c:v>76.2220599181522</c:v>
                </c:pt>
                <c:pt idx="9">
                  <c:v>76.5775638778675</c:v>
                </c:pt>
                <c:pt idx="10">
                  <c:v>76.8828463043875</c:v>
                </c:pt>
                <c:pt idx="11">
                  <c:v>77.1310014381576</c:v>
                </c:pt>
                <c:pt idx="12">
                  <c:v>77.3217024905478</c:v>
                </c:pt>
                <c:pt idx="13">
                  <c:v>77.4589238294808</c:v>
                </c:pt>
                <c:pt idx="14">
                  <c:v>77.5479116111803</c:v>
                </c:pt>
                <c:pt idx="15">
                  <c:v>77.5951601686508</c:v>
                </c:pt>
                <c:pt idx="16">
                  <c:v>77.6080001550135</c:v>
                </c:pt>
                <c:pt idx="17">
                  <c:v>77.592190399318</c:v>
                </c:pt>
                <c:pt idx="18">
                  <c:v>77.5528009689552</c:v>
                </c:pt>
                <c:pt idx="19">
                  <c:v>77.4950116553818</c:v>
                </c:pt>
                <c:pt idx="20">
                  <c:v>77.4232556098097</c:v>
                </c:pt>
                <c:pt idx="21">
                  <c:v>77.3405980350869</c:v>
                </c:pt>
                <c:pt idx="22">
                  <c:v>77.249734066512</c:v>
                </c:pt>
                <c:pt idx="23">
                  <c:v>77.1534877379193</c:v>
                </c:pt>
                <c:pt idx="24">
                  <c:v>77.0541179931066</c:v>
                </c:pt>
                <c:pt idx="25">
                  <c:v>76.9533381604905</c:v>
                </c:pt>
                <c:pt idx="26">
                  <c:v>76.8521026169023</c:v>
                </c:pt>
                <c:pt idx="27">
                  <c:v>76.7513289390506</c:v>
                </c:pt>
                <c:pt idx="28">
                  <c:v>76.6519066202781</c:v>
                </c:pt>
                <c:pt idx="29">
                  <c:v>76.5542130370213</c:v>
                </c:pt>
                <c:pt idx="30">
                  <c:v>76.4586161160983</c:v>
                </c:pt>
                <c:pt idx="31">
                  <c:v>76.3654718164569</c:v>
                </c:pt>
                <c:pt idx="32">
                  <c:v>76.2748812357667</c:v>
                </c:pt>
                <c:pt idx="33">
                  <c:v>76.1871932343983</c:v>
                </c:pt>
                <c:pt idx="34">
                  <c:v>76.1024967359996</c:v>
                </c:pt>
                <c:pt idx="35">
                  <c:v>76.0206268669827</c:v>
                </c:pt>
                <c:pt idx="36">
                  <c:v>75.9416933923496</c:v>
                </c:pt>
                <c:pt idx="37">
                  <c:v>75.8650551005507</c:v>
                </c:pt>
                <c:pt idx="38">
                  <c:v>75.7908279156426</c:v>
                </c:pt>
                <c:pt idx="39">
                  <c:v>75.7196416927994</c:v>
                </c:pt>
                <c:pt idx="40">
                  <c:v>75.6513310265945</c:v>
                </c:pt>
                <c:pt idx="41">
                  <c:v>75.5857385956707</c:v>
                </c:pt>
                <c:pt idx="42">
                  <c:v>75.5227151830026</c:v>
                </c:pt>
                <c:pt idx="43">
                  <c:v>75.462117331997</c:v>
                </c:pt>
                <c:pt idx="44">
                  <c:v>75.4038087570243</c:v>
                </c:pt>
                <c:pt idx="45">
                  <c:v>75.3476607665064</c:v>
                </c:pt>
                <c:pt idx="46">
                  <c:v>75.2935491428022</c:v>
                </c:pt>
                <c:pt idx="47">
                  <c:v>75.2413571785334</c:v>
                </c:pt>
                <c:pt idx="48">
                  <c:v>75.1909716426723</c:v>
                </c:pt>
              </c:numCache>
            </c:numRef>
          </c:val>
          <c:smooth val="0"/>
        </c:ser>
        <c:ser>
          <c:idx val="1"/>
          <c:order val="1"/>
          <c:tx>
            <c:strRef>
              <c:f>KetQua!F22</c:f>
              <c:strCache>
                <c:ptCount val="1"/>
                <c:pt idx="0">
                  <c:v>Z P = 1% – kẹt van</c:v>
                </c:pt>
              </c:strCache>
            </c:strRef>
          </c:tx>
          <c:spPr>
            <a:solidFill>
              <a:srgbClr val="2A78D6"/>
            </a:solidFill>
            <a:ln w="22320">
              <a:solidFill>
                <a:srgbClr val="2A78D6"/>
              </a:solidFill>
              <a:prstDash val="dash"/>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prstDash val="dash"/>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KetQua!$F$23:$F$71</c:f>
              <c:numCache>
                <c:formatCode>0.00</c:formatCode>
                <c:ptCount val="49"/>
                <c:pt idx="0">
                  <c:v>74.7</c:v>
                </c:pt>
                <c:pt idx="1">
                  <c:v>74.7011477676436</c:v>
                </c:pt>
                <c:pt idx="2">
                  <c:v>74.7160542940645</c:v>
                </c:pt>
                <c:pt idx="3">
                  <c:v>74.7891702262675</c:v>
                </c:pt>
                <c:pt idx="4">
                  <c:v>74.9688610038549</c:v>
                </c:pt>
                <c:pt idx="5">
                  <c:v>75.2647221279724</c:v>
                </c:pt>
                <c:pt idx="6">
                  <c:v>75.6476326666395</c:v>
                </c:pt>
                <c:pt idx="7">
                  <c:v>76.0715117044191</c:v>
                </c:pt>
                <c:pt idx="8">
                  <c:v>76.4934647433621</c:v>
                </c:pt>
                <c:pt idx="9">
                  <c:v>76.8835987494629</c:v>
                </c:pt>
                <c:pt idx="10">
                  <c:v>77.2249873962702</c:v>
                </c:pt>
                <c:pt idx="11">
                  <c:v>77.5104870956193</c:v>
                </c:pt>
                <c:pt idx="12">
                  <c:v>77.7395572726729</c:v>
                </c:pt>
                <c:pt idx="13">
                  <c:v>77.9158165541477</c:v>
                </c:pt>
                <c:pt idx="14">
                  <c:v>78.044157251998</c:v>
                </c:pt>
                <c:pt idx="15">
                  <c:v>78.130712308665</c:v>
                </c:pt>
                <c:pt idx="16">
                  <c:v>78.1824680743475</c:v>
                </c:pt>
                <c:pt idx="17">
                  <c:v>78.2049176030153</c:v>
                </c:pt>
                <c:pt idx="18">
                  <c:v>78.2029003478177</c:v>
                </c:pt>
                <c:pt idx="19">
                  <c:v>78.1813720921057</c:v>
                </c:pt>
                <c:pt idx="20">
                  <c:v>78.14458261468</c:v>
                </c:pt>
                <c:pt idx="21">
                  <c:v>78.095484575478</c:v>
                </c:pt>
                <c:pt idx="22">
                  <c:v>78.0366843483244</c:v>
                </c:pt>
                <c:pt idx="23">
                  <c:v>77.9709189367743</c:v>
                </c:pt>
                <c:pt idx="24">
                  <c:v>77.9003973242414</c:v>
                </c:pt>
                <c:pt idx="25">
                  <c:v>77.8268150055719</c:v>
                </c:pt>
                <c:pt idx="26">
                  <c:v>77.7511458710029</c:v>
                </c:pt>
                <c:pt idx="27">
                  <c:v>77.6743356841598</c:v>
                </c:pt>
                <c:pt idx="28">
                  <c:v>77.5973111294998</c:v>
                </c:pt>
                <c:pt idx="29">
                  <c:v>77.520516200836</c:v>
                </c:pt>
                <c:pt idx="30">
                  <c:v>77.4443835201147</c:v>
                </c:pt>
                <c:pt idx="31">
                  <c:v>77.3693400204949</c:v>
                </c:pt>
                <c:pt idx="32">
                  <c:v>77.2955648383883</c:v>
                </c:pt>
                <c:pt idx="33">
                  <c:v>77.2234723955329</c:v>
                </c:pt>
                <c:pt idx="34">
                  <c:v>77.1532298287065</c:v>
                </c:pt>
                <c:pt idx="35">
                  <c:v>77.0847644927843</c:v>
                </c:pt>
                <c:pt idx="36">
                  <c:v>77.0182443627791</c:v>
                </c:pt>
                <c:pt idx="37">
                  <c:v>76.9531162421337</c:v>
                </c:pt>
                <c:pt idx="38">
                  <c:v>76.889564971555</c:v>
                </c:pt>
                <c:pt idx="39">
                  <c:v>76.8282470625337</c:v>
                </c:pt>
                <c:pt idx="40">
                  <c:v>76.7690808655607</c:v>
                </c:pt>
                <c:pt idx="41">
                  <c:v>76.7119847511513</c:v>
                </c:pt>
                <c:pt idx="42">
                  <c:v>76.6568812933471</c:v>
                </c:pt>
                <c:pt idx="43">
                  <c:v>76.6036951692202</c:v>
                </c:pt>
                <c:pt idx="44">
                  <c:v>76.552353684267</c:v>
                </c:pt>
                <c:pt idx="45">
                  <c:v>76.5027860309315</c:v>
                </c:pt>
                <c:pt idx="46">
                  <c:v>76.454924574115</c:v>
                </c:pt>
                <c:pt idx="47">
                  <c:v>76.4087047457961</c:v>
                </c:pt>
                <c:pt idx="48">
                  <c:v>76.364061958004</c:v>
                </c:pt>
              </c:numCache>
            </c:numRef>
          </c:val>
          <c:smooth val="0"/>
        </c:ser>
        <c:ser>
          <c:idx val="2"/>
          <c:order val="2"/>
          <c:tx>
            <c:strRef>
              <c:f>KetQua!G22</c:f>
              <c:strCache>
                <c:ptCount val="1"/>
                <c:pt idx="0">
                  <c:v>Z P = 0,2% – hai tràn</c:v>
                </c:pt>
              </c:strCache>
            </c:strRef>
          </c:tx>
          <c:spPr>
            <a:solidFill>
              <a:srgbClr val="EB6834"/>
            </a:solidFill>
            <a:ln w="22320">
              <a:solidFill>
                <a:srgbClr val="EB683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KetQua!$G$23:$G$71</c:f>
              <c:numCache>
                <c:formatCode>0.00</c:formatCode>
                <c:ptCount val="49"/>
                <c:pt idx="0">
                  <c:v>74.7</c:v>
                </c:pt>
                <c:pt idx="1">
                  <c:v>74.6659166116332</c:v>
                </c:pt>
                <c:pt idx="2">
                  <c:v>74.655152892359</c:v>
                </c:pt>
                <c:pt idx="3">
                  <c:v>74.7358923306823</c:v>
                </c:pt>
                <c:pt idx="4">
                  <c:v>74.9721071904987</c:v>
                </c:pt>
                <c:pt idx="5">
                  <c:v>75.3642361757912</c:v>
                </c:pt>
                <c:pt idx="6">
                  <c:v>75.8601476389885</c:v>
                </c:pt>
                <c:pt idx="7">
                  <c:v>76.3903659196594</c:v>
                </c:pt>
                <c:pt idx="8">
                  <c:v>76.8972544519853</c:v>
                </c:pt>
                <c:pt idx="9">
                  <c:v>77.3459398003893</c:v>
                </c:pt>
                <c:pt idx="10">
                  <c:v>77.7198156641666</c:v>
                </c:pt>
                <c:pt idx="11">
                  <c:v>78.0147426889025</c:v>
                </c:pt>
                <c:pt idx="12">
                  <c:v>78.233750446094</c:v>
                </c:pt>
                <c:pt idx="13">
                  <c:v>78.3841148400168</c:v>
                </c:pt>
                <c:pt idx="14">
                  <c:v>78.4746855091373</c:v>
                </c:pt>
                <c:pt idx="15">
                  <c:v>78.5144728723692</c:v>
                </c:pt>
                <c:pt idx="16">
                  <c:v>78.5124840977243</c:v>
                </c:pt>
                <c:pt idx="17">
                  <c:v>78.4764611783398</c:v>
                </c:pt>
                <c:pt idx="18">
                  <c:v>78.4133415467147</c:v>
                </c:pt>
                <c:pt idx="19">
                  <c:v>78.3294208146645</c:v>
                </c:pt>
                <c:pt idx="20">
                  <c:v>78.2293757806379</c:v>
                </c:pt>
                <c:pt idx="21">
                  <c:v>78.117465721682</c:v>
                </c:pt>
                <c:pt idx="22">
                  <c:v>77.9973584512475</c:v>
                </c:pt>
                <c:pt idx="23">
                  <c:v>77.8721746918595</c:v>
                </c:pt>
                <c:pt idx="24">
                  <c:v>77.7440524481906</c:v>
                </c:pt>
                <c:pt idx="25">
                  <c:v>77.6146131837268</c:v>
                </c:pt>
                <c:pt idx="26">
                  <c:v>77.485437996234</c:v>
                </c:pt>
                <c:pt idx="27">
                  <c:v>77.3573787033792</c:v>
                </c:pt>
                <c:pt idx="28">
                  <c:v>77.2314992731186</c:v>
                </c:pt>
                <c:pt idx="29">
                  <c:v>77.1083694650197</c:v>
                </c:pt>
                <c:pt idx="30">
                  <c:v>76.9883090354949</c:v>
                </c:pt>
                <c:pt idx="31">
                  <c:v>76.8718788873112</c:v>
                </c:pt>
                <c:pt idx="32">
                  <c:v>76.7593823695839</c:v>
                </c:pt>
                <c:pt idx="33">
                  <c:v>76.6508642170232</c:v>
                </c:pt>
                <c:pt idx="34">
                  <c:v>76.5461245641406</c:v>
                </c:pt>
                <c:pt idx="35">
                  <c:v>76.4452161747042</c:v>
                </c:pt>
                <c:pt idx="36">
                  <c:v>76.3481906859716</c:v>
                </c:pt>
                <c:pt idx="37">
                  <c:v>76.2543495653647</c:v>
                </c:pt>
                <c:pt idx="38">
                  <c:v>76.1637689305332</c:v>
                </c:pt>
                <c:pt idx="39">
                  <c:v>76.0770298660138</c:v>
                </c:pt>
                <c:pt idx="40">
                  <c:v>75.9939382063933</c:v>
                </c:pt>
                <c:pt idx="41">
                  <c:v>75.9143384286689</c:v>
                </c:pt>
                <c:pt idx="42">
                  <c:v>75.8380696724792</c:v>
                </c:pt>
                <c:pt idx="43">
                  <c:v>75.7649520347352</c:v>
                </c:pt>
                <c:pt idx="44">
                  <c:v>75.6948158412659</c:v>
                </c:pt>
                <c:pt idx="45">
                  <c:v>75.6274984461294</c:v>
                </c:pt>
                <c:pt idx="46">
                  <c:v>75.5628445585557</c:v>
                </c:pt>
                <c:pt idx="47">
                  <c:v>75.500707607854</c:v>
                </c:pt>
                <c:pt idx="48">
                  <c:v>75.4409461885703</c:v>
                </c:pt>
              </c:numCache>
            </c:numRef>
          </c:val>
          <c:smooth val="0"/>
        </c:ser>
        <c:ser>
          <c:idx val="3"/>
          <c:order val="3"/>
          <c:tx>
            <c:strRef>
              <c:f>KetQua!H22</c:f>
              <c:strCache>
                <c:ptCount val="1"/>
                <c:pt idx="0">
                  <c:v>Z P = 0,2% – kẹt van</c:v>
                </c:pt>
              </c:strCache>
            </c:strRef>
          </c:tx>
          <c:spPr>
            <a:solidFill>
              <a:srgbClr val="EB6834"/>
            </a:solidFill>
            <a:ln w="22320">
              <a:solidFill>
                <a:srgbClr val="EB6834"/>
              </a:solidFill>
              <a:prstDash val="dash"/>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prstDash val="dash"/>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KetQua!$H$23:$H$71</c:f>
              <c:numCache>
                <c:formatCode>0.00</c:formatCode>
                <c:ptCount val="49"/>
                <c:pt idx="0">
                  <c:v>74.7</c:v>
                </c:pt>
                <c:pt idx="1">
                  <c:v>74.7022955352872</c:v>
                </c:pt>
                <c:pt idx="2">
                  <c:v>74.727493096969</c:v>
                </c:pt>
                <c:pt idx="3">
                  <c:v>74.8430117091295</c:v>
                </c:pt>
                <c:pt idx="4">
                  <c:v>75.112028269559</c:v>
                </c:pt>
                <c:pt idx="5">
                  <c:v>75.5370109429266</c:v>
                </c:pt>
                <c:pt idx="6">
                  <c:v>76.0662378692069</c:v>
                </c:pt>
                <c:pt idx="7">
                  <c:v>76.6304442694054</c:v>
                </c:pt>
                <c:pt idx="8">
                  <c:v>77.1733921739583</c:v>
                </c:pt>
                <c:pt idx="9">
                  <c:v>77.6603764408665</c:v>
                </c:pt>
                <c:pt idx="10">
                  <c:v>78.0747686681965</c:v>
                </c:pt>
                <c:pt idx="11">
                  <c:v>78.4119750077644</c:v>
                </c:pt>
                <c:pt idx="12">
                  <c:v>78.6746245331413</c:v>
                </c:pt>
                <c:pt idx="13">
                  <c:v>78.8695611044896</c:v>
                </c:pt>
                <c:pt idx="14">
                  <c:v>79.0051626533151</c:v>
                </c:pt>
                <c:pt idx="15">
                  <c:v>79.0899266030344</c:v>
                </c:pt>
                <c:pt idx="16">
                  <c:v>79.1325216885189</c:v>
                </c:pt>
                <c:pt idx="17">
                  <c:v>79.1404369065048</c:v>
                </c:pt>
                <c:pt idx="18">
                  <c:v>79.120297658592</c:v>
                </c:pt>
                <c:pt idx="19">
                  <c:v>79.0780773480862</c:v>
                </c:pt>
                <c:pt idx="20">
                  <c:v>79.0181947891004</c:v>
                </c:pt>
                <c:pt idx="21">
                  <c:v>78.944704097178</c:v>
                </c:pt>
                <c:pt idx="22">
                  <c:v>78.8611868671297</c:v>
                </c:pt>
                <c:pt idx="23">
                  <c:v>78.7706492845968</c:v>
                </c:pt>
                <c:pt idx="24">
                  <c:v>78.6751700529931</c:v>
                </c:pt>
                <c:pt idx="25">
                  <c:v>78.5763553463079</c:v>
                </c:pt>
                <c:pt idx="26">
                  <c:v>78.475777305215</c:v>
                </c:pt>
                <c:pt idx="27">
                  <c:v>78.3743278830334</c:v>
                </c:pt>
                <c:pt idx="28">
                  <c:v>78.2731016420697</c:v>
                </c:pt>
                <c:pt idx="29">
                  <c:v>78.1727334477393</c:v>
                </c:pt>
                <c:pt idx="30">
                  <c:v>78.0736251165326</c:v>
                </c:pt>
                <c:pt idx="31">
                  <c:v>77.9763949007723</c:v>
                </c:pt>
                <c:pt idx="32">
                  <c:v>77.8814327758549</c:v>
                </c:pt>
                <c:pt idx="33">
                  <c:v>77.7888893002933</c:v>
                </c:pt>
                <c:pt idx="34">
                  <c:v>77.6986816116405</c:v>
                </c:pt>
                <c:pt idx="35">
                  <c:v>77.61095644289</c:v>
                </c:pt>
                <c:pt idx="36">
                  <c:v>77.5258563253068</c:v>
                </c:pt>
                <c:pt idx="37">
                  <c:v>77.4428290272547</c:v>
                </c:pt>
                <c:pt idx="38">
                  <c:v>77.3620281396219</c:v>
                </c:pt>
                <c:pt idx="39">
                  <c:v>77.2840719540365</c:v>
                </c:pt>
                <c:pt idx="40">
                  <c:v>77.2088632467926</c:v>
                </c:pt>
                <c:pt idx="41">
                  <c:v>77.1363040407173</c:v>
                </c:pt>
                <c:pt idx="42">
                  <c:v>77.0663017039195</c:v>
                </c:pt>
                <c:pt idx="43">
                  <c:v>76.9987645299475</c:v>
                </c:pt>
                <c:pt idx="44">
                  <c:v>76.9336048550839</c:v>
                </c:pt>
                <c:pt idx="45">
                  <c:v>76.8707399810012</c:v>
                </c:pt>
                <c:pt idx="46">
                  <c:v>76.8100835806255</c:v>
                </c:pt>
                <c:pt idx="47">
                  <c:v>76.7515529690942</c:v>
                </c:pt>
                <c:pt idx="48">
                  <c:v>76.6950690107078</c:v>
                </c:pt>
              </c:numCache>
            </c:numRef>
          </c:val>
          <c:smooth val="0"/>
        </c:ser>
        <c:hiLowLines>
          <c:spPr>
            <a:ln w="0">
              <a:noFill/>
            </a:ln>
          </c:spPr>
        </c:hiLowLines>
        <c:marker val="0"/>
        <c:axId val="77574223"/>
        <c:axId val="4434371"/>
      </c:lineChart>
      <c:catAx>
        <c:axId val="7757422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t (giờ)</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434371"/>
        <c:crosses val="autoZero"/>
        <c:auto val="1"/>
        <c:lblAlgn val="ctr"/>
        <c:lblOffset val="100"/>
        <c:noMultiLvlLbl val="0"/>
      </c:catAx>
      <c:valAx>
        <c:axId val="4434371"/>
        <c:scaling>
          <c:orientation val="minMax"/>
          <c:max val="80"/>
          <c:min val="74"/>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Mực nước (m)</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7574223"/>
        <c:crosses val="autoZero"/>
        <c:crossBetween val="between"/>
        <c:majorUnit val="1"/>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2</xdr:row>
      <xdr:rowOff>0</xdr:rowOff>
    </xdr:from>
    <xdr:to>
      <xdr:col>21</xdr:col>
      <xdr:colOff>4680</xdr:colOff>
      <xdr:row>16</xdr:row>
      <xdr:rowOff>1080</xdr:rowOff>
    </xdr:to>
    <xdr:graphicFrame>
      <xdr:nvGraphicFramePr>
        <xdr:cNvPr id="1" name="Chart 1"/>
        <xdr:cNvGraphicFramePr/>
      </xdr:nvGraphicFramePr>
      <xdr:xfrm>
        <a:off x="11818800" y="41076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21</xdr:row>
      <xdr:rowOff>0</xdr:rowOff>
    </xdr:from>
    <xdr:to>
      <xdr:col>21</xdr:col>
      <xdr:colOff>4680</xdr:colOff>
      <xdr:row>36</xdr:row>
      <xdr:rowOff>1080</xdr:rowOff>
    </xdr:to>
    <xdr:graphicFrame>
      <xdr:nvGraphicFramePr>
        <xdr:cNvPr id="2" name="Chart 2"/>
        <xdr:cNvGraphicFramePr/>
      </xdr:nvGraphicFramePr>
      <xdr:xfrm>
        <a:off x="11818800" y="460188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5A10"/>
    <pageSetUpPr fitToPage="true"/>
  </sheetPr>
  <dimension ref="B1:B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125"/>
  </cols>
  <sheetData>
    <row r="1" customFormat="false" ht="24" hidden="false" customHeight="true" outlineLevel="0" collapsed="false">
      <c r="B1" s="1" t="s">
        <v>0</v>
      </c>
    </row>
    <row r="2" customFormat="false" ht="30" hidden="false" customHeight="true" outlineLevel="0" collapsed="false">
      <c r="B2" s="2" t="s">
        <v>1</v>
      </c>
    </row>
    <row r="3" customFormat="false" ht="21.75" hidden="false" customHeight="true" outlineLevel="0" collapsed="false">
      <c r="B3" s="3" t="s">
        <v>2</v>
      </c>
    </row>
    <row r="4" customFormat="false" ht="30.75" hidden="false" customHeight="true" outlineLevel="0" collapsed="false">
      <c r="B4" s="4" t="s">
        <v>3</v>
      </c>
    </row>
    <row r="5" customFormat="false" ht="30.75" hidden="false" customHeight="true" outlineLevel="0" collapsed="false">
      <c r="B5" s="4" t="s">
        <v>4</v>
      </c>
    </row>
    <row r="6" customFormat="false" ht="30.75" hidden="false" customHeight="true" outlineLevel="0" collapsed="false">
      <c r="B6" s="4" t="s">
        <v>5</v>
      </c>
    </row>
    <row r="7" customFormat="false" ht="46.5" hidden="false" customHeight="true" outlineLevel="0" collapsed="false">
      <c r="B7" s="4" t="s">
        <v>6</v>
      </c>
    </row>
    <row r="8" customFormat="false" ht="21.75" hidden="false" customHeight="true" outlineLevel="0" collapsed="false">
      <c r="B8" s="3" t="s">
        <v>7</v>
      </c>
    </row>
    <row r="9" customFormat="false" ht="15" hidden="false" customHeight="true" outlineLevel="0" collapsed="false">
      <c r="B9" s="4" t="s">
        <v>8</v>
      </c>
    </row>
    <row r="10" customFormat="false" ht="30.75" hidden="false" customHeight="true" outlineLevel="0" collapsed="false">
      <c r="B10" s="4" t="s">
        <v>9</v>
      </c>
    </row>
    <row r="11" customFormat="false" ht="15" hidden="false" customHeight="true" outlineLevel="0" collapsed="false">
      <c r="B11" s="4" t="s">
        <v>10</v>
      </c>
    </row>
    <row r="12" customFormat="false" ht="15" hidden="false" customHeight="true" outlineLevel="0" collapsed="false">
      <c r="B12" s="4" t="s">
        <v>11</v>
      </c>
    </row>
    <row r="13" customFormat="false" ht="30.75" hidden="false" customHeight="true" outlineLevel="0" collapsed="false">
      <c r="B13" s="4" t="s">
        <v>12</v>
      </c>
    </row>
    <row r="14" customFormat="false" ht="21.75" hidden="false" customHeight="true" outlineLevel="0" collapsed="false">
      <c r="B14" s="3" t="s">
        <v>13</v>
      </c>
    </row>
    <row r="15" customFormat="false" ht="24" hidden="false" customHeight="true" outlineLevel="0" collapsed="false">
      <c r="B15" s="5" t="s">
        <v>14</v>
      </c>
    </row>
    <row r="16" customFormat="false" ht="30.75" hidden="false" customHeight="true" outlineLevel="0" collapsed="false">
      <c r="B16" s="4" t="s">
        <v>15</v>
      </c>
    </row>
    <row r="17" customFormat="false" ht="21.75" hidden="false" customHeight="true" outlineLevel="0" collapsed="false">
      <c r="B17" s="3" t="s">
        <v>16</v>
      </c>
    </row>
    <row r="18" customFormat="false" ht="24" hidden="false" customHeight="true" outlineLevel="0" collapsed="false">
      <c r="B18" s="5" t="s">
        <v>17</v>
      </c>
    </row>
    <row r="19" customFormat="false" ht="30.75" hidden="false" customHeight="true" outlineLevel="0" collapsed="false">
      <c r="B19" s="4" t="s">
        <v>18</v>
      </c>
    </row>
    <row r="20" customFormat="false" ht="30.75" hidden="false" customHeight="true" outlineLevel="0" collapsed="false">
      <c r="B20" s="4" t="s">
        <v>19</v>
      </c>
    </row>
    <row r="21" customFormat="false" ht="15" hidden="false" customHeight="true" outlineLevel="0" collapsed="false">
      <c r="B21" s="4" t="s">
        <v>20</v>
      </c>
    </row>
    <row r="22" customFormat="false" ht="30.75" hidden="false" customHeight="true" outlineLevel="0" collapsed="false">
      <c r="B22" s="4" t="s">
        <v>21</v>
      </c>
    </row>
    <row r="23" customFormat="false" ht="21.75" hidden="false" customHeight="true" outlineLevel="0" collapsed="false">
      <c r="B23" s="3" t="s">
        <v>22</v>
      </c>
    </row>
    <row r="24" customFormat="false" ht="15" hidden="false" customHeight="true" outlineLevel="0" collapsed="false">
      <c r="B24" s="4" t="s">
        <v>23</v>
      </c>
    </row>
    <row r="25" customFormat="false" ht="15" hidden="false" customHeight="true" outlineLevel="0" collapsed="false">
      <c r="B25" s="4" t="s">
        <v>24</v>
      </c>
    </row>
    <row r="26" customFormat="false" ht="15" hidden="false" customHeight="true" outlineLevel="0" collapsed="false">
      <c r="B26" s="4" t="s">
        <v>25</v>
      </c>
    </row>
    <row r="27" customFormat="false" ht="15" hidden="false" customHeight="true" outlineLevel="0" collapsed="false">
      <c r="B27" s="4" t="s">
        <v>26</v>
      </c>
    </row>
    <row r="28" customFormat="false" ht="21.75" hidden="false" customHeight="true" outlineLevel="0" collapsed="false">
      <c r="B28" s="3" t="s">
        <v>27</v>
      </c>
    </row>
    <row r="29" customFormat="false" ht="15" hidden="false" customHeight="true" outlineLevel="0" collapsed="false">
      <c r="B29" s="4" t="s">
        <v>28</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A100"/>
    <pageSetUpPr fitToPage="true"/>
  </sheetPr>
  <dimension ref="A1:H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2" min="2" style="0" width="11"/>
    <col collapsed="false" customWidth="true" hidden="false" outlineLevel="0" max="3" min="3" style="0" width="10"/>
    <col collapsed="false" customWidth="true" hidden="false" outlineLevel="0" max="7" min="4" style="0" width="14"/>
    <col collapsed="false" customWidth="true" hidden="false" outlineLevel="0" max="8" min="8" style="0" width="30"/>
  </cols>
  <sheetData>
    <row r="1" customFormat="false" ht="17.35" hidden="false" customHeight="false" outlineLevel="0" collapsed="false">
      <c r="A1" s="6" t="s">
        <v>29</v>
      </c>
    </row>
    <row r="2" customFormat="false" ht="15" hidden="false" customHeight="false" outlineLevel="0" collapsed="false">
      <c r="A2" s="7" t="s">
        <v>30</v>
      </c>
    </row>
    <row r="4" customFormat="false" ht="15" hidden="false" customHeight="false" outlineLevel="0" collapsed="false">
      <c r="A4" s="8" t="s">
        <v>31</v>
      </c>
    </row>
    <row r="5" customFormat="false" ht="15" hidden="false" customHeight="true" outlineLevel="0" collapsed="false">
      <c r="A5" s="9" t="s">
        <v>32</v>
      </c>
      <c r="B5" s="9" t="s">
        <v>33</v>
      </c>
      <c r="C5" s="9" t="s">
        <v>34</v>
      </c>
      <c r="D5" s="9" t="s">
        <v>35</v>
      </c>
      <c r="E5" s="9"/>
      <c r="F5" s="9"/>
      <c r="G5" s="9"/>
      <c r="H5" s="9"/>
    </row>
    <row r="6" customFormat="false" ht="15" hidden="false" customHeight="false" outlineLevel="0" collapsed="false">
      <c r="A6" s="10" t="s">
        <v>36</v>
      </c>
      <c r="B6" s="11" t="n">
        <v>74.7</v>
      </c>
      <c r="C6" s="12" t="s">
        <v>37</v>
      </c>
      <c r="D6" s="13" t="s">
        <v>38</v>
      </c>
      <c r="E6" s="13"/>
      <c r="F6" s="13"/>
      <c r="G6" s="13"/>
      <c r="H6" s="13"/>
    </row>
    <row r="7" customFormat="false" ht="15" hidden="false" customHeight="false" outlineLevel="0" collapsed="false">
      <c r="A7" s="10" t="s">
        <v>39</v>
      </c>
      <c r="B7" s="14" t="n">
        <v>1</v>
      </c>
      <c r="C7" s="12" t="s">
        <v>40</v>
      </c>
      <c r="D7" s="13" t="s">
        <v>41</v>
      </c>
      <c r="E7" s="13"/>
      <c r="F7" s="13"/>
      <c r="G7" s="13"/>
      <c r="H7" s="13"/>
    </row>
    <row r="8" customFormat="false" ht="15" hidden="false" customHeight="false" outlineLevel="0" collapsed="false">
      <c r="A8" s="10" t="s">
        <v>42</v>
      </c>
      <c r="B8" s="14" t="n">
        <f aca="false">dt_h*3600</f>
        <v>3600</v>
      </c>
      <c r="C8" s="12" t="s">
        <v>43</v>
      </c>
      <c r="D8" s="13"/>
      <c r="E8" s="13"/>
      <c r="F8" s="13"/>
      <c r="G8" s="13"/>
      <c r="H8" s="13"/>
    </row>
    <row r="9" customFormat="false" ht="15" hidden="false" customHeight="false" outlineLevel="0" collapsed="false">
      <c r="A9" s="10" t="s">
        <v>44</v>
      </c>
      <c r="B9" s="15" t="n">
        <v>9.81</v>
      </c>
      <c r="C9" s="12" t="s">
        <v>45</v>
      </c>
      <c r="D9" s="13"/>
      <c r="E9" s="13"/>
      <c r="F9" s="13"/>
      <c r="G9" s="13"/>
      <c r="H9" s="13"/>
    </row>
    <row r="11" customFormat="false" ht="15" hidden="false" customHeight="false" outlineLevel="0" collapsed="false">
      <c r="A11" s="8" t="s">
        <v>46</v>
      </c>
    </row>
    <row r="12" customFormat="false" ht="15" hidden="false" customHeight="true" outlineLevel="0" collapsed="false">
      <c r="A12" s="9" t="s">
        <v>32</v>
      </c>
      <c r="B12" s="9" t="s">
        <v>33</v>
      </c>
      <c r="C12" s="9" t="s">
        <v>34</v>
      </c>
      <c r="D12" s="9" t="s">
        <v>35</v>
      </c>
      <c r="E12" s="9"/>
      <c r="F12" s="9"/>
      <c r="G12" s="9"/>
      <c r="H12" s="9"/>
    </row>
    <row r="13" customFormat="false" ht="15" hidden="false" customHeight="false" outlineLevel="0" collapsed="false">
      <c r="A13" s="10" t="s">
        <v>47</v>
      </c>
      <c r="B13" s="11" t="n">
        <v>74.7</v>
      </c>
      <c r="C13" s="12" t="s">
        <v>37</v>
      </c>
      <c r="D13" s="13" t="s">
        <v>48</v>
      </c>
      <c r="E13" s="13"/>
      <c r="F13" s="13"/>
      <c r="G13" s="13"/>
      <c r="H13" s="13"/>
    </row>
    <row r="14" customFormat="false" ht="15" hidden="false" customHeight="false" outlineLevel="0" collapsed="false">
      <c r="A14" s="10" t="s">
        <v>49</v>
      </c>
      <c r="B14" s="16" t="n">
        <v>9</v>
      </c>
      <c r="C14" s="12" t="s">
        <v>50</v>
      </c>
      <c r="D14" s="13" t="s">
        <v>51</v>
      </c>
      <c r="E14" s="13"/>
      <c r="F14" s="13"/>
      <c r="G14" s="13"/>
      <c r="H14" s="13"/>
    </row>
    <row r="15" customFormat="false" ht="15" hidden="false" customHeight="false" outlineLevel="0" collapsed="false">
      <c r="A15" s="10" t="s">
        <v>52</v>
      </c>
      <c r="B15" s="11" t="n">
        <v>2.4</v>
      </c>
      <c r="C15" s="12" t="s">
        <v>37</v>
      </c>
      <c r="D15" s="13" t="s">
        <v>53</v>
      </c>
      <c r="E15" s="13"/>
      <c r="F15" s="13"/>
      <c r="G15" s="13"/>
      <c r="H15" s="13"/>
    </row>
    <row r="16" customFormat="false" ht="15" hidden="false" customHeight="false" outlineLevel="0" collapsed="false">
      <c r="A16" s="10" t="s">
        <v>54</v>
      </c>
      <c r="B16" s="11" t="n">
        <v>0.45</v>
      </c>
      <c r="C16" s="12"/>
      <c r="D16" s="13" t="s">
        <v>55</v>
      </c>
      <c r="E16" s="13"/>
      <c r="F16" s="13"/>
      <c r="G16" s="13"/>
      <c r="H16" s="13"/>
    </row>
    <row r="17" customFormat="false" ht="15" hidden="false" customHeight="false" outlineLevel="0" collapsed="false">
      <c r="A17" s="10" t="s">
        <v>56</v>
      </c>
      <c r="B17" s="11" t="n">
        <v>0.7</v>
      </c>
      <c r="C17" s="12"/>
      <c r="D17" s="13" t="s">
        <v>57</v>
      </c>
      <c r="E17" s="13"/>
      <c r="F17" s="13"/>
      <c r="G17" s="13"/>
      <c r="H17" s="13"/>
    </row>
    <row r="18" customFormat="false" ht="15" hidden="false" customHeight="false" outlineLevel="0" collapsed="false">
      <c r="A18" s="10" t="s">
        <v>58</v>
      </c>
      <c r="B18" s="11" t="n">
        <v>0.45</v>
      </c>
      <c r="C18" s="12"/>
      <c r="D18" s="13" t="s">
        <v>59</v>
      </c>
      <c r="E18" s="13"/>
      <c r="F18" s="13"/>
      <c r="G18" s="13"/>
      <c r="H18" s="13"/>
    </row>
    <row r="19" customFormat="false" ht="15" hidden="false" customHeight="false" outlineLevel="0" collapsed="false">
      <c r="A19" s="10" t="s">
        <v>60</v>
      </c>
      <c r="B19" s="11" t="n">
        <v>1</v>
      </c>
      <c r="C19" s="12"/>
      <c r="D19" s="13" t="s">
        <v>61</v>
      </c>
      <c r="E19" s="13"/>
      <c r="F19" s="13"/>
      <c r="G19" s="13"/>
      <c r="H19" s="13"/>
    </row>
    <row r="21" customFormat="false" ht="15" hidden="false" customHeight="false" outlineLevel="0" collapsed="false">
      <c r="A21" s="8" t="s">
        <v>62</v>
      </c>
    </row>
    <row r="22" customFormat="false" ht="15" hidden="false" customHeight="true" outlineLevel="0" collapsed="false">
      <c r="A22" s="9" t="s">
        <v>32</v>
      </c>
      <c r="B22" s="9" t="s">
        <v>33</v>
      </c>
      <c r="C22" s="9" t="s">
        <v>34</v>
      </c>
      <c r="D22" s="9" t="s">
        <v>35</v>
      </c>
      <c r="E22" s="9"/>
      <c r="F22" s="9"/>
      <c r="G22" s="9"/>
      <c r="H22" s="9"/>
    </row>
    <row r="23" customFormat="false" ht="15" hidden="false" customHeight="false" outlineLevel="0" collapsed="false">
      <c r="A23" s="10" t="s">
        <v>47</v>
      </c>
      <c r="B23" s="11" t="n">
        <v>71</v>
      </c>
      <c r="C23" s="12" t="s">
        <v>37</v>
      </c>
      <c r="D23" s="13" t="s">
        <v>63</v>
      </c>
      <c r="E23" s="13"/>
      <c r="F23" s="13"/>
      <c r="G23" s="13"/>
      <c r="H23" s="13"/>
    </row>
    <row r="24" customFormat="false" ht="15" hidden="false" customHeight="false" outlineLevel="0" collapsed="false">
      <c r="A24" s="10" t="s">
        <v>49</v>
      </c>
      <c r="B24" s="16" t="n">
        <v>1</v>
      </c>
      <c r="C24" s="12" t="s">
        <v>50</v>
      </c>
      <c r="D24" s="13"/>
      <c r="E24" s="13"/>
      <c r="F24" s="13"/>
      <c r="G24" s="13"/>
      <c r="H24" s="13"/>
    </row>
    <row r="25" customFormat="false" ht="15" hidden="false" customHeight="false" outlineLevel="0" collapsed="false">
      <c r="A25" s="10" t="s">
        <v>64</v>
      </c>
      <c r="B25" s="11" t="n">
        <v>5</v>
      </c>
      <c r="C25" s="12" t="s">
        <v>37</v>
      </c>
      <c r="D25" s="13" t="s">
        <v>63</v>
      </c>
      <c r="E25" s="13"/>
      <c r="F25" s="13"/>
      <c r="G25" s="13"/>
      <c r="H25" s="13"/>
    </row>
    <row r="26" customFormat="false" ht="15" hidden="false" customHeight="false" outlineLevel="0" collapsed="false">
      <c r="A26" s="10" t="s">
        <v>54</v>
      </c>
      <c r="B26" s="11" t="n">
        <v>0.45</v>
      </c>
      <c r="C26" s="12"/>
      <c r="D26" s="13" t="s">
        <v>65</v>
      </c>
      <c r="E26" s="13"/>
      <c r="F26" s="13"/>
      <c r="G26" s="13"/>
      <c r="H26" s="13"/>
    </row>
    <row r="27" customFormat="false" ht="15" hidden="false" customHeight="false" outlineLevel="0" collapsed="false">
      <c r="A27" s="10" t="s">
        <v>56</v>
      </c>
      <c r="B27" s="11" t="n">
        <v>0.7</v>
      </c>
      <c r="C27" s="12"/>
      <c r="D27" s="13"/>
      <c r="E27" s="13"/>
      <c r="F27" s="13"/>
      <c r="G27" s="13"/>
      <c r="H27" s="13"/>
    </row>
    <row r="28" customFormat="false" ht="15" hidden="false" customHeight="false" outlineLevel="0" collapsed="false">
      <c r="A28" s="10" t="s">
        <v>58</v>
      </c>
      <c r="B28" s="11" t="n">
        <v>0.45</v>
      </c>
      <c r="C28" s="12"/>
      <c r="D28" s="13" t="s">
        <v>66</v>
      </c>
      <c r="E28" s="13"/>
      <c r="F28" s="13"/>
      <c r="G28" s="13"/>
      <c r="H28" s="13"/>
    </row>
    <row r="29" customFormat="false" ht="15" hidden="false" customHeight="false" outlineLevel="0" collapsed="false">
      <c r="A29" s="10" t="s">
        <v>60</v>
      </c>
      <c r="B29" s="11" t="n">
        <v>1</v>
      </c>
      <c r="C29" s="12"/>
      <c r="D29" s="13" t="s">
        <v>61</v>
      </c>
      <c r="E29" s="13"/>
      <c r="F29" s="13"/>
      <c r="G29" s="13"/>
      <c r="H29" s="13"/>
    </row>
    <row r="31" customFormat="false" ht="15" hidden="false" customHeight="false" outlineLevel="0" collapsed="false">
      <c r="A31" s="8" t="s">
        <v>67</v>
      </c>
    </row>
    <row r="32" customFormat="false" ht="15" hidden="false" customHeight="false" outlineLevel="0" collapsed="false">
      <c r="A32" s="17" t="s">
        <v>68</v>
      </c>
      <c r="B32" s="18" t="n">
        <v>1</v>
      </c>
      <c r="C32" s="18" t="n">
        <v>0.2</v>
      </c>
    </row>
    <row r="33" customFormat="false" ht="15" hidden="false" customHeight="false" outlineLevel="0" collapsed="false">
      <c r="A33" s="9" t="s">
        <v>69</v>
      </c>
      <c r="B33" s="9" t="s">
        <v>70</v>
      </c>
      <c r="C33" s="9" t="s">
        <v>71</v>
      </c>
    </row>
    <row r="34" customFormat="false" ht="15" hidden="false" customHeight="false" outlineLevel="0" collapsed="false">
      <c r="A34" s="19" t="n">
        <v>0</v>
      </c>
      <c r="B34" s="19" t="n">
        <v>2</v>
      </c>
      <c r="C34" s="19" t="n">
        <v>4</v>
      </c>
      <c r="D34" s="7" t="s">
        <v>72</v>
      </c>
    </row>
    <row r="35" customFormat="false" ht="15" hidden="false" customHeight="false" outlineLevel="0" collapsed="false">
      <c r="A35" s="19" t="n">
        <v>1</v>
      </c>
      <c r="B35" s="19" t="n">
        <v>2</v>
      </c>
      <c r="C35" s="19" t="n">
        <v>4</v>
      </c>
      <c r="E35" s="9" t="s">
        <v>70</v>
      </c>
      <c r="F35" s="9" t="s">
        <v>71</v>
      </c>
    </row>
    <row r="36" customFormat="false" ht="15" hidden="false" customHeight="false" outlineLevel="0" collapsed="false">
      <c r="A36" s="19" t="n">
        <v>2</v>
      </c>
      <c r="B36" s="19" t="n">
        <v>50</v>
      </c>
      <c r="C36" s="19" t="n">
        <v>84</v>
      </c>
      <c r="D36" s="20" t="s">
        <v>73</v>
      </c>
      <c r="E36" s="21" t="n">
        <f aca="false">SUMPRODUCT((B34:B69+B35:B70)/2)*dt_s/1000000+B70/2*dt_s/1000000</f>
        <v>36.2736</v>
      </c>
      <c r="F36" s="21" t="n">
        <f aca="false">SUMPRODUCT((C34:C69+C35:C70)/2)*dt_s/1000000+C70/2*dt_s/1000000</f>
        <v>47.6964</v>
      </c>
    </row>
    <row r="37" customFormat="false" ht="15" hidden="false" customHeight="false" outlineLevel="0" collapsed="false">
      <c r="A37" s="19" t="n">
        <v>3</v>
      </c>
      <c r="B37" s="19" t="n">
        <v>207</v>
      </c>
      <c r="C37" s="19" t="n">
        <v>324</v>
      </c>
      <c r="D37" s="20" t="s">
        <v>74</v>
      </c>
      <c r="E37" s="22" t="n">
        <v>32.43</v>
      </c>
      <c r="F37" s="22" t="n">
        <v>41.95</v>
      </c>
    </row>
    <row r="38" customFormat="false" ht="15" hidden="false" customHeight="false" outlineLevel="0" collapsed="false">
      <c r="A38" s="19" t="n">
        <v>4</v>
      </c>
      <c r="B38" s="19" t="n">
        <v>437</v>
      </c>
      <c r="C38" s="19" t="n">
        <v>652</v>
      </c>
      <c r="D38" s="7" t="s">
        <v>75</v>
      </c>
    </row>
    <row r="39" customFormat="false" ht="15" hidden="false" customHeight="false" outlineLevel="0" collapsed="false">
      <c r="A39" s="19" t="n">
        <v>5</v>
      </c>
      <c r="B39" s="19" t="n">
        <v>657</v>
      </c>
      <c r="C39" s="19" t="n">
        <v>950</v>
      </c>
    </row>
    <row r="40" customFormat="false" ht="15" hidden="false" customHeight="false" outlineLevel="0" collapsed="false">
      <c r="A40" s="19" t="n">
        <v>6</v>
      </c>
      <c r="B40" s="19" t="n">
        <v>816</v>
      </c>
      <c r="C40" s="19" t="n">
        <v>1150</v>
      </c>
    </row>
    <row r="41" customFormat="false" ht="15" hidden="false" customHeight="false" outlineLevel="0" collapsed="false">
      <c r="A41" s="19" t="n">
        <v>7</v>
      </c>
      <c r="B41" s="19" t="n">
        <v>898</v>
      </c>
      <c r="C41" s="19" t="n">
        <v>1239</v>
      </c>
    </row>
    <row r="42" customFormat="false" ht="15" hidden="false" customHeight="false" outlineLevel="0" collapsed="false">
      <c r="A42" s="19" t="n">
        <v>8</v>
      </c>
      <c r="B42" s="19" t="n">
        <v>914</v>
      </c>
      <c r="C42" s="19" t="n">
        <v>1236</v>
      </c>
    </row>
    <row r="43" customFormat="false" ht="15" hidden="false" customHeight="false" outlineLevel="0" collapsed="false">
      <c r="A43" s="19" t="n">
        <v>9</v>
      </c>
      <c r="B43" s="19" t="n">
        <v>879</v>
      </c>
      <c r="C43" s="19" t="n">
        <v>1168</v>
      </c>
    </row>
    <row r="44" customFormat="false" ht="15" hidden="false" customHeight="false" outlineLevel="0" collapsed="false">
      <c r="A44" s="19" t="n">
        <v>10</v>
      </c>
      <c r="B44" s="19" t="n">
        <v>812</v>
      </c>
      <c r="C44" s="19" t="n">
        <v>1062</v>
      </c>
    </row>
    <row r="45" customFormat="false" ht="15" hidden="false" customHeight="false" outlineLevel="0" collapsed="false">
      <c r="A45" s="19" t="n">
        <v>11</v>
      </c>
      <c r="B45" s="19" t="n">
        <v>727</v>
      </c>
      <c r="C45" s="19" t="n">
        <v>937</v>
      </c>
    </row>
    <row r="46" customFormat="false" ht="15" hidden="false" customHeight="false" outlineLevel="0" collapsed="false">
      <c r="A46" s="19" t="n">
        <v>12</v>
      </c>
      <c r="B46" s="19" t="n">
        <v>636</v>
      </c>
      <c r="C46" s="19" t="n">
        <v>808</v>
      </c>
    </row>
    <row r="47" customFormat="false" ht="15" hidden="false" customHeight="false" outlineLevel="0" collapsed="false">
      <c r="A47" s="19" t="n">
        <v>13</v>
      </c>
      <c r="B47" s="19" t="n">
        <v>547</v>
      </c>
      <c r="C47" s="19" t="n">
        <v>685</v>
      </c>
    </row>
    <row r="48" customFormat="false" ht="15" hidden="false" customHeight="false" outlineLevel="0" collapsed="false">
      <c r="A48" s="19" t="n">
        <v>14</v>
      </c>
      <c r="B48" s="19" t="n">
        <v>461</v>
      </c>
      <c r="C48" s="19" t="n">
        <v>572</v>
      </c>
    </row>
    <row r="49" customFormat="false" ht="15" hidden="false" customHeight="false" outlineLevel="0" collapsed="false">
      <c r="A49" s="19" t="n">
        <v>15</v>
      </c>
      <c r="B49" s="19" t="n">
        <v>386</v>
      </c>
      <c r="C49" s="19" t="n">
        <v>472</v>
      </c>
    </row>
    <row r="50" customFormat="false" ht="15" hidden="false" customHeight="false" outlineLevel="0" collapsed="false">
      <c r="A50" s="19" t="n">
        <v>16</v>
      </c>
      <c r="B50" s="19" t="n">
        <v>321</v>
      </c>
      <c r="C50" s="19" t="n">
        <v>387</v>
      </c>
    </row>
    <row r="51" customFormat="false" ht="15" hidden="false" customHeight="false" outlineLevel="0" collapsed="false">
      <c r="A51" s="19" t="n">
        <v>17</v>
      </c>
      <c r="B51" s="19" t="n">
        <v>263</v>
      </c>
      <c r="C51" s="19" t="n">
        <v>313</v>
      </c>
    </row>
    <row r="52" customFormat="false" ht="15" hidden="false" customHeight="false" outlineLevel="0" collapsed="false">
      <c r="A52" s="19" t="n">
        <v>18</v>
      </c>
      <c r="B52" s="19" t="n">
        <v>214</v>
      </c>
      <c r="C52" s="19" t="n">
        <v>253</v>
      </c>
    </row>
    <row r="53" customFormat="false" ht="15" hidden="false" customHeight="false" outlineLevel="0" collapsed="false">
      <c r="A53" s="19" t="n">
        <v>19</v>
      </c>
      <c r="B53" s="19" t="n">
        <v>174</v>
      </c>
      <c r="C53" s="19" t="n">
        <v>203</v>
      </c>
    </row>
    <row r="54" customFormat="false" ht="15" hidden="false" customHeight="false" outlineLevel="0" collapsed="false">
      <c r="A54" s="19" t="n">
        <v>20</v>
      </c>
      <c r="B54" s="19" t="n">
        <v>141</v>
      </c>
      <c r="C54" s="19" t="n">
        <v>161</v>
      </c>
    </row>
    <row r="55" customFormat="false" ht="15" hidden="false" customHeight="false" outlineLevel="0" collapsed="false">
      <c r="A55" s="19" t="n">
        <v>21</v>
      </c>
      <c r="B55" s="19" t="n">
        <v>112</v>
      </c>
      <c r="C55" s="19" t="n">
        <v>128</v>
      </c>
    </row>
    <row r="56" customFormat="false" ht="15" hidden="false" customHeight="false" outlineLevel="0" collapsed="false">
      <c r="A56" s="19" t="n">
        <v>22</v>
      </c>
      <c r="B56" s="19" t="n">
        <v>89</v>
      </c>
      <c r="C56" s="19" t="n">
        <v>101</v>
      </c>
    </row>
    <row r="57" customFormat="false" ht="15" hidden="false" customHeight="false" outlineLevel="0" collapsed="false">
      <c r="A57" s="19" t="n">
        <v>23</v>
      </c>
      <c r="B57" s="19" t="n">
        <v>71</v>
      </c>
      <c r="C57" s="19" t="n">
        <v>81</v>
      </c>
    </row>
    <row r="58" customFormat="false" ht="15" hidden="false" customHeight="false" outlineLevel="0" collapsed="false">
      <c r="A58" s="19" t="n">
        <v>24</v>
      </c>
      <c r="B58" s="19" t="n">
        <v>57</v>
      </c>
      <c r="C58" s="19" t="n">
        <v>63</v>
      </c>
    </row>
    <row r="59" customFormat="false" ht="15" hidden="false" customHeight="false" outlineLevel="0" collapsed="false">
      <c r="A59" s="19" t="n">
        <v>25</v>
      </c>
      <c r="B59" s="19" t="n">
        <v>46</v>
      </c>
      <c r="C59" s="19" t="n">
        <v>50</v>
      </c>
    </row>
    <row r="60" customFormat="false" ht="15" hidden="false" customHeight="false" outlineLevel="0" collapsed="false">
      <c r="A60" s="19" t="n">
        <v>26</v>
      </c>
      <c r="B60" s="19" t="n">
        <v>36</v>
      </c>
      <c r="C60" s="19" t="n">
        <v>39</v>
      </c>
    </row>
    <row r="61" customFormat="false" ht="15" hidden="false" customHeight="false" outlineLevel="0" collapsed="false">
      <c r="A61" s="19" t="n">
        <v>27</v>
      </c>
      <c r="B61" s="19" t="n">
        <v>29</v>
      </c>
      <c r="C61" s="19" t="n">
        <v>30</v>
      </c>
    </row>
    <row r="62" customFormat="false" ht="15" hidden="false" customHeight="false" outlineLevel="0" collapsed="false">
      <c r="A62" s="19" t="n">
        <v>28</v>
      </c>
      <c r="B62" s="19" t="n">
        <v>23</v>
      </c>
      <c r="C62" s="19" t="n">
        <v>24</v>
      </c>
    </row>
    <row r="63" customFormat="false" ht="15" hidden="false" customHeight="false" outlineLevel="0" collapsed="false">
      <c r="A63" s="19" t="n">
        <v>29</v>
      </c>
      <c r="B63" s="19" t="n">
        <v>18</v>
      </c>
      <c r="C63" s="19" t="n">
        <v>18</v>
      </c>
    </row>
    <row r="64" customFormat="false" ht="15" hidden="false" customHeight="false" outlineLevel="0" collapsed="false">
      <c r="A64" s="19" t="n">
        <v>30</v>
      </c>
      <c r="B64" s="19" t="n">
        <v>14</v>
      </c>
      <c r="C64" s="19" t="n">
        <v>14</v>
      </c>
    </row>
    <row r="65" customFormat="false" ht="15" hidden="false" customHeight="false" outlineLevel="0" collapsed="false">
      <c r="A65" s="19" t="n">
        <v>31</v>
      </c>
      <c r="B65" s="19" t="n">
        <v>11</v>
      </c>
      <c r="C65" s="19" t="n">
        <v>11</v>
      </c>
    </row>
    <row r="66" customFormat="false" ht="15" hidden="false" customHeight="false" outlineLevel="0" collapsed="false">
      <c r="A66" s="19" t="n">
        <v>32</v>
      </c>
      <c r="B66" s="19" t="n">
        <v>8</v>
      </c>
      <c r="C66" s="19" t="n">
        <v>9</v>
      </c>
    </row>
    <row r="67" customFormat="false" ht="15" hidden="false" customHeight="false" outlineLevel="0" collapsed="false">
      <c r="A67" s="19" t="n">
        <v>33</v>
      </c>
      <c r="B67" s="19" t="n">
        <v>7</v>
      </c>
      <c r="C67" s="19" t="n">
        <v>7</v>
      </c>
    </row>
    <row r="68" customFormat="false" ht="15" hidden="false" customHeight="false" outlineLevel="0" collapsed="false">
      <c r="A68" s="19" t="n">
        <v>34</v>
      </c>
      <c r="B68" s="19" t="n">
        <v>5</v>
      </c>
      <c r="C68" s="19" t="n">
        <v>5</v>
      </c>
    </row>
    <row r="69" customFormat="false" ht="15" hidden="false" customHeight="false" outlineLevel="0" collapsed="false">
      <c r="A69" s="19" t="n">
        <v>35</v>
      </c>
      <c r="B69" s="19" t="n">
        <v>4</v>
      </c>
      <c r="C69" s="19" t="n">
        <v>4</v>
      </c>
    </row>
    <row r="70" customFormat="false" ht="15" hidden="false" customHeight="false" outlineLevel="0" collapsed="false">
      <c r="A70" s="19" t="n">
        <v>36</v>
      </c>
      <c r="B70" s="19" t="n">
        <v>3</v>
      </c>
      <c r="C70" s="19" t="n">
        <v>3</v>
      </c>
    </row>
    <row r="73" customFormat="false" ht="15" hidden="false" customHeight="false" outlineLevel="0" collapsed="false">
      <c r="A73" s="8" t="s">
        <v>76</v>
      </c>
    </row>
    <row r="74" customFormat="false" ht="15" hidden="false" customHeight="false" outlineLevel="0" collapsed="false">
      <c r="A74" s="9" t="s">
        <v>77</v>
      </c>
      <c r="B74" s="9" t="s">
        <v>78</v>
      </c>
      <c r="C74" s="9" t="s">
        <v>79</v>
      </c>
      <c r="D74" s="9" t="s">
        <v>80</v>
      </c>
    </row>
    <row r="75" customFormat="false" ht="15" hidden="false" customHeight="false" outlineLevel="0" collapsed="false">
      <c r="A75" s="22" t="n">
        <v>59</v>
      </c>
      <c r="B75" s="22" t="n">
        <v>0</v>
      </c>
      <c r="C75" s="23" t="n">
        <v>0</v>
      </c>
      <c r="D75" s="7" t="s">
        <v>81</v>
      </c>
    </row>
    <row r="76" customFormat="false" ht="15" hidden="false" customHeight="false" outlineLevel="0" collapsed="false">
      <c r="A76" s="22" t="n">
        <v>60</v>
      </c>
      <c r="B76" s="22" t="n">
        <v>0.09</v>
      </c>
      <c r="C76" s="23" t="n">
        <f aca="false">C75+(A76-A75)*(B75+B76)/2</f>
        <v>0.045</v>
      </c>
    </row>
    <row r="77" customFormat="false" ht="15" hidden="false" customHeight="false" outlineLevel="0" collapsed="false">
      <c r="A77" s="22" t="n">
        <v>61</v>
      </c>
      <c r="B77" s="22" t="n">
        <v>0.21</v>
      </c>
      <c r="C77" s="23" t="n">
        <f aca="false">C76+(A77-A76)*(B76+B77)/2</f>
        <v>0.195</v>
      </c>
    </row>
    <row r="78" customFormat="false" ht="15" hidden="false" customHeight="false" outlineLevel="0" collapsed="false">
      <c r="A78" s="22" t="n">
        <v>62</v>
      </c>
      <c r="B78" s="22" t="n">
        <v>0.4</v>
      </c>
      <c r="C78" s="23" t="n">
        <f aca="false">C77+(A78-A77)*(B77+B78)/2</f>
        <v>0.5</v>
      </c>
    </row>
    <row r="79" customFormat="false" ht="15" hidden="false" customHeight="false" outlineLevel="0" collapsed="false">
      <c r="A79" s="22" t="n">
        <v>63</v>
      </c>
      <c r="B79" s="22" t="n">
        <v>0.62</v>
      </c>
      <c r="C79" s="23" t="n">
        <f aca="false">C78+(A79-A78)*(B78+B79)/2</f>
        <v>1.01</v>
      </c>
    </row>
    <row r="80" customFormat="false" ht="15" hidden="false" customHeight="false" outlineLevel="0" collapsed="false">
      <c r="A80" s="22" t="n">
        <v>64</v>
      </c>
      <c r="B80" s="22" t="n">
        <v>0.87</v>
      </c>
      <c r="C80" s="23" t="n">
        <f aca="false">C79+(A80-A79)*(B79+B80)/2</f>
        <v>1.755</v>
      </c>
    </row>
    <row r="81" customFormat="false" ht="15" hidden="false" customHeight="false" outlineLevel="0" collapsed="false">
      <c r="A81" s="22" t="n">
        <v>65</v>
      </c>
      <c r="B81" s="22" t="n">
        <v>1.16</v>
      </c>
      <c r="C81" s="23" t="n">
        <f aca="false">C80+(A81-A80)*(B80+B81)/2</f>
        <v>2.77</v>
      </c>
    </row>
    <row r="82" customFormat="false" ht="15" hidden="false" customHeight="false" outlineLevel="0" collapsed="false">
      <c r="A82" s="22" t="n">
        <v>66</v>
      </c>
      <c r="B82" s="22" t="n">
        <v>1.48</v>
      </c>
      <c r="C82" s="23" t="n">
        <f aca="false">C81+(A82-A81)*(B81+B82)/2</f>
        <v>4.09</v>
      </c>
    </row>
    <row r="83" customFormat="false" ht="15" hidden="false" customHeight="false" outlineLevel="0" collapsed="false">
      <c r="A83" s="22" t="n">
        <v>67</v>
      </c>
      <c r="B83" s="22" t="n">
        <v>1.92</v>
      </c>
      <c r="C83" s="23" t="n">
        <f aca="false">C82+(A83-A82)*(B82+B83)/2</f>
        <v>5.79</v>
      </c>
    </row>
    <row r="84" customFormat="false" ht="15" hidden="false" customHeight="false" outlineLevel="0" collapsed="false">
      <c r="A84" s="22" t="n">
        <v>68</v>
      </c>
      <c r="B84" s="22" t="n">
        <v>2.45</v>
      </c>
      <c r="C84" s="23" t="n">
        <f aca="false">C83+(A84-A83)*(B83+B84)/2</f>
        <v>7.975</v>
      </c>
    </row>
    <row r="85" customFormat="false" ht="15" hidden="false" customHeight="false" outlineLevel="0" collapsed="false">
      <c r="A85" s="22" t="n">
        <v>69</v>
      </c>
      <c r="B85" s="22" t="n">
        <v>2.94</v>
      </c>
      <c r="C85" s="23" t="n">
        <f aca="false">C84+(A85-A84)*(B84+B85)/2</f>
        <v>10.67</v>
      </c>
    </row>
    <row r="86" customFormat="false" ht="15" hidden="false" customHeight="false" outlineLevel="0" collapsed="false">
      <c r="A86" s="22" t="n">
        <v>70</v>
      </c>
      <c r="B86" s="22" t="n">
        <v>3.45</v>
      </c>
      <c r="C86" s="23" t="n">
        <f aca="false">C85+(A86-A85)*(B85+B86)/2</f>
        <v>13.865</v>
      </c>
    </row>
    <row r="87" customFormat="false" ht="15" hidden="false" customHeight="false" outlineLevel="0" collapsed="false">
      <c r="A87" s="22" t="n">
        <v>71</v>
      </c>
      <c r="B87" s="22" t="n">
        <v>3.95</v>
      </c>
      <c r="C87" s="23" t="n">
        <f aca="false">C86+(A87-A86)*(B86+B87)/2</f>
        <v>17.565</v>
      </c>
    </row>
    <row r="88" customFormat="false" ht="15" hidden="false" customHeight="false" outlineLevel="0" collapsed="false">
      <c r="A88" s="22" t="n">
        <v>72</v>
      </c>
      <c r="B88" s="22" t="n">
        <v>4.55</v>
      </c>
      <c r="C88" s="23" t="n">
        <f aca="false">C87+(A88-A87)*(B87+B88)/2</f>
        <v>21.815</v>
      </c>
    </row>
    <row r="89" customFormat="false" ht="15" hidden="false" customHeight="false" outlineLevel="0" collapsed="false">
      <c r="A89" s="22" t="n">
        <v>73</v>
      </c>
      <c r="B89" s="22" t="n">
        <v>5.2</v>
      </c>
      <c r="C89" s="23" t="n">
        <f aca="false">C88+(A89-A88)*(B88+B89)/2</f>
        <v>26.69</v>
      </c>
    </row>
    <row r="90" customFormat="false" ht="15" hidden="false" customHeight="false" outlineLevel="0" collapsed="false">
      <c r="A90" s="22" t="n">
        <v>74</v>
      </c>
      <c r="B90" s="22" t="n">
        <v>5.8</v>
      </c>
      <c r="C90" s="23" t="n">
        <f aca="false">C89+(A90-A89)*(B89+B90)/2</f>
        <v>32.19</v>
      </c>
    </row>
    <row r="91" customFormat="false" ht="15" hidden="false" customHeight="false" outlineLevel="0" collapsed="false">
      <c r="A91" s="22" t="n">
        <v>75</v>
      </c>
      <c r="B91" s="22" t="n">
        <v>6.46</v>
      </c>
      <c r="C91" s="23" t="n">
        <f aca="false">C90+(A91-A90)*(B90+B91)/2</f>
        <v>38.32</v>
      </c>
    </row>
    <row r="92" customFormat="false" ht="15" hidden="false" customHeight="false" outlineLevel="0" collapsed="false">
      <c r="A92" s="22" t="n">
        <v>76</v>
      </c>
      <c r="B92" s="22" t="n">
        <v>6.9</v>
      </c>
      <c r="C92" s="23" t="n">
        <f aca="false">C91+(A92-A91)*(B91+B92)/2</f>
        <v>45</v>
      </c>
    </row>
    <row r="93" customFormat="false" ht="15" hidden="false" customHeight="false" outlineLevel="0" collapsed="false">
      <c r="A93" s="22" t="n">
        <v>77</v>
      </c>
      <c r="B93" s="22" t="n">
        <v>7.4</v>
      </c>
      <c r="C93" s="23" t="n">
        <f aca="false">C92+(A93-A92)*(B92+B93)/2</f>
        <v>52.15</v>
      </c>
    </row>
    <row r="94" customFormat="false" ht="15" hidden="false" customHeight="false" outlineLevel="0" collapsed="false">
      <c r="A94" s="22" t="n">
        <v>78</v>
      </c>
      <c r="B94" s="22" t="n">
        <v>7.91</v>
      </c>
      <c r="C94" s="23" t="n">
        <f aca="false">C93+(A94-A93)*(B93+B94)/2</f>
        <v>59.805</v>
      </c>
    </row>
    <row r="95" customFormat="false" ht="15" hidden="false" customHeight="false" outlineLevel="0" collapsed="false">
      <c r="A95" s="22" t="n">
        <v>79</v>
      </c>
      <c r="B95" s="22" t="n">
        <v>8.43</v>
      </c>
      <c r="C95" s="23" t="n">
        <f aca="false">C94+(A95-A94)*(B94+B95)/2</f>
        <v>67.975</v>
      </c>
    </row>
    <row r="96" customFormat="false" ht="15" hidden="false" customHeight="false" outlineLevel="0" collapsed="false">
      <c r="A96" s="22" t="n">
        <v>80</v>
      </c>
      <c r="B96" s="22" t="n">
        <v>9.13</v>
      </c>
      <c r="C96" s="23" t="n">
        <f aca="false">C95+(A96-A95)*(B95+B96)/2</f>
        <v>76.755</v>
      </c>
    </row>
    <row r="97" customFormat="false" ht="15" hidden="false" customHeight="false" outlineLevel="0" collapsed="false">
      <c r="A97" s="22" t="n">
        <v>81</v>
      </c>
      <c r="B97" s="22" t="n">
        <v>9.99</v>
      </c>
      <c r="C97" s="23" t="n">
        <f aca="false">C96+(A97-A96)*(B96+B97)/2</f>
        <v>86.315</v>
      </c>
    </row>
    <row r="98" customFormat="false" ht="15" hidden="false" customHeight="false" outlineLevel="0" collapsed="false">
      <c r="A98" s="22" t="n">
        <v>82</v>
      </c>
      <c r="B98" s="22" t="n">
        <v>10.5</v>
      </c>
      <c r="C98" s="23" t="n">
        <f aca="false">C97+(A98-A97)*(B97+B98)/2</f>
        <v>96.56</v>
      </c>
    </row>
    <row r="99" customFormat="false" ht="15" hidden="false" customHeight="false" outlineLevel="0" collapsed="false">
      <c r="A99" s="22" t="n">
        <v>83</v>
      </c>
      <c r="B99" s="22" t="n">
        <v>11.22</v>
      </c>
      <c r="C99" s="23" t="n">
        <f aca="false">C98+(A99-A98)*(B98+B99)/2</f>
        <v>107.42</v>
      </c>
    </row>
    <row r="100" customFormat="false" ht="15" hidden="false" customHeight="false" outlineLevel="0" collapsed="false">
      <c r="A100" s="22" t="n">
        <v>84</v>
      </c>
      <c r="B100" s="22" t="n">
        <v>11.95</v>
      </c>
      <c r="C100" s="23" t="n">
        <f aca="false">C99+(A100-A99)*(B99+B100)/2</f>
        <v>119.005</v>
      </c>
    </row>
    <row r="101" customFormat="false" ht="15" hidden="false" customHeight="false" outlineLevel="0" collapsed="false">
      <c r="A101" s="22" t="n">
        <v>85</v>
      </c>
      <c r="B101" s="22" t="n">
        <v>12.95</v>
      </c>
      <c r="C101" s="23" t="n">
        <f aca="false">C100+(A101-A100)*(B100+B101)/2</f>
        <v>131.455</v>
      </c>
    </row>
  </sheetData>
  <mergeCells count="21">
    <mergeCell ref="D5:H5"/>
    <mergeCell ref="D6:H6"/>
    <mergeCell ref="D7:H7"/>
    <mergeCell ref="D8:H8"/>
    <mergeCell ref="D9:H9"/>
    <mergeCell ref="D12:H12"/>
    <mergeCell ref="D13:H13"/>
    <mergeCell ref="D14:H14"/>
    <mergeCell ref="D15:H15"/>
    <mergeCell ref="D16:H16"/>
    <mergeCell ref="D17:H17"/>
    <mergeCell ref="D18:H18"/>
    <mergeCell ref="D19:H19"/>
    <mergeCell ref="D22:H22"/>
    <mergeCell ref="D23:H23"/>
    <mergeCell ref="D24:H24"/>
    <mergeCell ref="D25:H25"/>
    <mergeCell ref="D26:H26"/>
    <mergeCell ref="D27:H27"/>
    <mergeCell ref="D28:H28"/>
    <mergeCell ref="D29:H2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984"/>
    <pageSetUpPr fitToPage="true"/>
  </sheetPr>
  <dimension ref="A1:M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8"/>
    <col collapsed="false" customWidth="true" hidden="false" outlineLevel="0" max="3" min="3" style="0" width="10"/>
    <col collapsed="false" customWidth="true" hidden="false" outlineLevel="0" max="5" min="4" style="0" width="7"/>
    <col collapsed="false" customWidth="true" hidden="false" outlineLevel="0" max="6" min="6" style="0" width="9"/>
    <col collapsed="false" customWidth="true" hidden="false" outlineLevel="0" max="8" min="7" style="0" width="7"/>
    <col collapsed="false" customWidth="true" hidden="false" outlineLevel="0" max="9" min="9" style="0" width="9"/>
    <col collapsed="false" customWidth="true" hidden="false" outlineLevel="0" max="11" min="10" style="0" width="10"/>
    <col collapsed="false" customWidth="true" hidden="false" outlineLevel="0" max="13" min="12" style="0" width="11"/>
  </cols>
  <sheetData>
    <row r="1" customFormat="false" ht="17.35" hidden="false" customHeight="false" outlineLevel="0" collapsed="false">
      <c r="A1" s="6" t="s">
        <v>82</v>
      </c>
    </row>
    <row r="2" customFormat="false" ht="15" hidden="false" customHeight="false" outlineLevel="0" collapsed="false">
      <c r="A2" s="7" t="s">
        <v>83</v>
      </c>
    </row>
    <row r="4" customFormat="false" ht="45" hidden="false" customHeight="true" outlineLevel="0" collapsed="false">
      <c r="A4" s="9" t="s">
        <v>77</v>
      </c>
      <c r="B4" s="9" t="s">
        <v>78</v>
      </c>
      <c r="C4" s="9" t="s">
        <v>84</v>
      </c>
      <c r="D4" s="9" t="s">
        <v>85</v>
      </c>
      <c r="E4" s="9" t="s">
        <v>86</v>
      </c>
      <c r="F4" s="9" t="s">
        <v>87</v>
      </c>
      <c r="G4" s="9" t="s">
        <v>88</v>
      </c>
      <c r="H4" s="9" t="s">
        <v>89</v>
      </c>
      <c r="I4" s="9" t="s">
        <v>90</v>
      </c>
      <c r="J4" s="9" t="s">
        <v>91</v>
      </c>
      <c r="K4" s="9" t="s">
        <v>92</v>
      </c>
      <c r="L4" s="9" t="s">
        <v>93</v>
      </c>
      <c r="M4" s="9" t="s">
        <v>94</v>
      </c>
    </row>
    <row r="5" customFormat="false" ht="15" hidden="false" customHeight="false" outlineLevel="0" collapsed="false">
      <c r="A5" s="24" t="n">
        <v>71</v>
      </c>
      <c r="B5" s="25" t="n">
        <f aca="false">INDEX(Bang_F,MATCH(A5,Bang_Z,1))+(A5-INDEX(Bang_Z,MATCH(A5,Bang_Z,1)))*(INDEX(Bang_F,MATCH(A5,Bang_Z,1)+1)-INDEX(Bang_F,MATCH(A5,Bang_Z,1)))</f>
        <v>3.95</v>
      </c>
      <c r="C5" s="25" t="n">
        <f aca="false">INDEX(Bang_W,MATCH(A5,Bang_Z,1))+(A5-INDEX(Bang_Z,MATCH(A5,Bang_Z,1)))*(INDEX(Bang_F,MATCH(A5,Bang_Z,1))+B5)/2</f>
        <v>17.565</v>
      </c>
      <c r="D5" s="26" t="n">
        <f aca="false">MAX(A5-TC_Z,0)</f>
        <v>0</v>
      </c>
      <c r="E5" s="27" t="n">
        <f aca="false">1-0.2*(TC_xmb+(TC_n-1)*TC_xmt)*D5/(TC_n*TC_b)</f>
        <v>1</v>
      </c>
      <c r="F5" s="28" t="n">
        <f aca="false">TC_s*E5*TC_m*TC_n*TC_b*SQRT(2*g_)*D5^1.5</f>
        <v>0</v>
      </c>
      <c r="G5" s="29" t="n">
        <f aca="false">MAX(A5-SC_Z,0)</f>
        <v>0</v>
      </c>
      <c r="H5" s="30" t="n">
        <f aca="false">1-0.2*(SC_xmb+(SC_n-1)*SC_xmt)*G5/(SC_n*SC_b)</f>
        <v>1</v>
      </c>
      <c r="I5" s="31" t="n">
        <f aca="false">SC_s*H5*SC_m*SC_n*SC_b*SQRT(2*g_)*G5^1.5</f>
        <v>0</v>
      </c>
      <c r="J5" s="32" t="n">
        <f aca="false">F5+I5</f>
        <v>0</v>
      </c>
      <c r="K5" s="32" t="n">
        <f aca="false">F5</f>
        <v>0</v>
      </c>
      <c r="L5" s="32" t="n">
        <f aca="false">C5*1000000/dt_s+J5/2</f>
        <v>4879.16666666667</v>
      </c>
      <c r="M5" s="32" t="n">
        <f aca="false">C5*1000000/dt_s+K5/2</f>
        <v>4879.16666666667</v>
      </c>
    </row>
    <row r="6" customFormat="false" ht="15" hidden="false" customHeight="false" outlineLevel="0" collapsed="false">
      <c r="A6" s="24" t="n">
        <f aca="false">ROUND(A5+0.01,2)</f>
        <v>71.01</v>
      </c>
      <c r="B6" s="25" t="n">
        <f aca="false">INDEX(Bang_F,MATCH(A6,Bang_Z,1))+(A6-INDEX(Bang_Z,MATCH(A6,Bang_Z,1)))*(INDEX(Bang_F,MATCH(A6,Bang_Z,1)+1)-INDEX(Bang_F,MATCH(A6,Bang_Z,1)))</f>
        <v>3.956</v>
      </c>
      <c r="C6" s="25" t="n">
        <f aca="false">INDEX(Bang_W,MATCH(A6,Bang_Z,1))+(A6-INDEX(Bang_Z,MATCH(A6,Bang_Z,1)))*(INDEX(Bang_F,MATCH(A6,Bang_Z,1))+B6)/2</f>
        <v>17.60453</v>
      </c>
      <c r="D6" s="26" t="n">
        <f aca="false">MAX(A6-TC_Z,0)</f>
        <v>0</v>
      </c>
      <c r="E6" s="27" t="n">
        <f aca="false">1-0.2*(TC_xmb+(TC_n-1)*TC_xmt)*D6/(TC_n*TC_b)</f>
        <v>1</v>
      </c>
      <c r="F6" s="28" t="n">
        <f aca="false">TC_s*E6*TC_m*TC_n*TC_b*SQRT(2*g_)*D6^1.5</f>
        <v>0</v>
      </c>
      <c r="G6" s="29" t="n">
        <f aca="false">MAX(A6-SC_Z,0)</f>
        <v>0.0100000000000051</v>
      </c>
      <c r="H6" s="30" t="n">
        <f aca="false">1-0.2*(SC_xmb+(SC_n-1)*SC_xmt)*G6/(SC_n*SC_b)</f>
        <v>0.99972</v>
      </c>
      <c r="I6" s="31" t="n">
        <f aca="false">SC_s*H6*SC_m*SC_n*SC_b*SQRT(2*g_)*G6^1.5</f>
        <v>0.00996346501410681</v>
      </c>
      <c r="J6" s="32" t="n">
        <f aca="false">F6+I6</f>
        <v>0.00996346501410681</v>
      </c>
      <c r="K6" s="32" t="n">
        <f aca="false">F6</f>
        <v>0</v>
      </c>
      <c r="L6" s="32" t="n">
        <f aca="false">C6*1000000/dt_s+J6/2</f>
        <v>4890.15220395474</v>
      </c>
      <c r="M6" s="32" t="n">
        <f aca="false">C6*1000000/dt_s+K6/2</f>
        <v>4890.14722222223</v>
      </c>
    </row>
    <row r="7" customFormat="false" ht="15" hidden="false" customHeight="false" outlineLevel="0" collapsed="false">
      <c r="A7" s="24" t="n">
        <f aca="false">ROUND(A6+0.01,2)</f>
        <v>71.02</v>
      </c>
      <c r="B7" s="25" t="n">
        <f aca="false">INDEX(Bang_F,MATCH(A7,Bang_Z,1))+(A7-INDEX(Bang_Z,MATCH(A7,Bang_Z,1)))*(INDEX(Bang_F,MATCH(A7,Bang_Z,1)+1)-INDEX(Bang_F,MATCH(A7,Bang_Z,1)))</f>
        <v>3.962</v>
      </c>
      <c r="C7" s="25" t="n">
        <f aca="false">INDEX(Bang_W,MATCH(A7,Bang_Z,1))+(A7-INDEX(Bang_Z,MATCH(A7,Bang_Z,1)))*(INDEX(Bang_F,MATCH(A7,Bang_Z,1))+B7)/2</f>
        <v>17.64412</v>
      </c>
      <c r="D7" s="26" t="n">
        <f aca="false">MAX(A7-TC_Z,0)</f>
        <v>0</v>
      </c>
      <c r="E7" s="27" t="n">
        <f aca="false">1-0.2*(TC_xmb+(TC_n-1)*TC_xmt)*D7/(TC_n*TC_b)</f>
        <v>1</v>
      </c>
      <c r="F7" s="28" t="n">
        <f aca="false">TC_s*E7*TC_m*TC_n*TC_b*SQRT(2*g_)*D7^1.5</f>
        <v>0</v>
      </c>
      <c r="G7" s="29" t="n">
        <f aca="false">MAX(A7-SC_Z,0)</f>
        <v>0.019999999999996</v>
      </c>
      <c r="H7" s="30" t="n">
        <f aca="false">1-0.2*(SC_xmb+(SC_n-1)*SC_xmt)*G7/(SC_n*SC_b)</f>
        <v>0.99944</v>
      </c>
      <c r="I7" s="31" t="n">
        <f aca="false">SC_s*H7*SC_m*SC_n*SC_b*SQRT(2*g_)*G7^1.5</f>
        <v>0.0281730418306086</v>
      </c>
      <c r="J7" s="32" t="n">
        <f aca="false">F7+I7</f>
        <v>0.0281730418306086</v>
      </c>
      <c r="K7" s="32" t="n">
        <f aca="false">F7</f>
        <v>0</v>
      </c>
      <c r="L7" s="32" t="n">
        <f aca="false">C7*1000000/dt_s+J7/2</f>
        <v>4901.15853096536</v>
      </c>
      <c r="M7" s="32" t="n">
        <f aca="false">C7*1000000/dt_s+K7/2</f>
        <v>4901.14444444444</v>
      </c>
    </row>
    <row r="8" customFormat="false" ht="15" hidden="false" customHeight="false" outlineLevel="0" collapsed="false">
      <c r="A8" s="24" t="n">
        <f aca="false">ROUND(A7+0.01,2)</f>
        <v>71.03</v>
      </c>
      <c r="B8" s="25" t="n">
        <f aca="false">INDEX(Bang_F,MATCH(A8,Bang_Z,1))+(A8-INDEX(Bang_Z,MATCH(A8,Bang_Z,1)))*(INDEX(Bang_F,MATCH(A8,Bang_Z,1)+1)-INDEX(Bang_F,MATCH(A8,Bang_Z,1)))</f>
        <v>3.968</v>
      </c>
      <c r="C8" s="25" t="n">
        <f aca="false">INDEX(Bang_W,MATCH(A8,Bang_Z,1))+(A8-INDEX(Bang_Z,MATCH(A8,Bang_Z,1)))*(INDEX(Bang_F,MATCH(A8,Bang_Z,1))+B8)/2</f>
        <v>17.68377</v>
      </c>
      <c r="D8" s="26" t="n">
        <f aca="false">MAX(A8-TC_Z,0)</f>
        <v>0</v>
      </c>
      <c r="E8" s="27" t="n">
        <f aca="false">1-0.2*(TC_xmb+(TC_n-1)*TC_xmt)*D8/(TC_n*TC_b)</f>
        <v>1</v>
      </c>
      <c r="F8" s="28" t="n">
        <f aca="false">TC_s*E8*TC_m*TC_n*TC_b*SQRT(2*g_)*D8^1.5</f>
        <v>0</v>
      </c>
      <c r="G8" s="29" t="n">
        <f aca="false">MAX(A8-SC_Z,0)</f>
        <v>0.0300000000000011</v>
      </c>
      <c r="H8" s="30" t="n">
        <f aca="false">1-0.2*(SC_xmb+(SC_n-1)*SC_xmt)*G8/(SC_n*SC_b)</f>
        <v>0.99916</v>
      </c>
      <c r="I8" s="31" t="n">
        <f aca="false">SC_s*H8*SC_m*SC_n*SC_b*SQRT(2*g_)*G8^1.5</f>
        <v>0.0517426826090855</v>
      </c>
      <c r="J8" s="32" t="n">
        <f aca="false">F8+I8</f>
        <v>0.0517426826090855</v>
      </c>
      <c r="K8" s="32" t="n">
        <f aca="false">F8</f>
        <v>0</v>
      </c>
      <c r="L8" s="32" t="n">
        <f aca="false">C8*1000000/dt_s+J8/2</f>
        <v>4912.18420467464</v>
      </c>
      <c r="M8" s="32" t="n">
        <f aca="false">C8*1000000/dt_s+K8/2</f>
        <v>4912.15833333334</v>
      </c>
    </row>
    <row r="9" customFormat="false" ht="15" hidden="false" customHeight="false" outlineLevel="0" collapsed="false">
      <c r="A9" s="24" t="n">
        <f aca="false">ROUND(A8+0.01,2)</f>
        <v>71.04</v>
      </c>
      <c r="B9" s="25" t="n">
        <f aca="false">INDEX(Bang_F,MATCH(A9,Bang_Z,1))+(A9-INDEX(Bang_Z,MATCH(A9,Bang_Z,1)))*(INDEX(Bang_F,MATCH(A9,Bang_Z,1)+1)-INDEX(Bang_F,MATCH(A9,Bang_Z,1)))</f>
        <v>3.974</v>
      </c>
      <c r="C9" s="25" t="n">
        <f aca="false">INDEX(Bang_W,MATCH(A9,Bang_Z,1))+(A9-INDEX(Bang_Z,MATCH(A9,Bang_Z,1)))*(INDEX(Bang_F,MATCH(A9,Bang_Z,1))+B9)/2</f>
        <v>17.72348</v>
      </c>
      <c r="D9" s="26" t="n">
        <f aca="false">MAX(A9-TC_Z,0)</f>
        <v>0</v>
      </c>
      <c r="E9" s="27" t="n">
        <f aca="false">1-0.2*(TC_xmb+(TC_n-1)*TC_xmt)*D9/(TC_n*TC_b)</f>
        <v>1</v>
      </c>
      <c r="F9" s="28" t="n">
        <f aca="false">TC_s*E9*TC_m*TC_n*TC_b*SQRT(2*g_)*D9^1.5</f>
        <v>0</v>
      </c>
      <c r="G9" s="29" t="n">
        <f aca="false">MAX(A9-SC_Z,0)</f>
        <v>0.0400000000000063</v>
      </c>
      <c r="H9" s="30" t="n">
        <f aca="false">1-0.2*(SC_xmb+(SC_n-1)*SC_xmt)*G9/(SC_n*SC_b)</f>
        <v>0.99888</v>
      </c>
      <c r="I9" s="31" t="n">
        <f aca="false">SC_s*H9*SC_m*SC_n*SC_b*SQRT(2*g_)*G9^1.5</f>
        <v>0.0796407468754107</v>
      </c>
      <c r="J9" s="32" t="n">
        <f aca="false">F9+I9</f>
        <v>0.0796407468754107</v>
      </c>
      <c r="K9" s="32" t="n">
        <f aca="false">F9</f>
        <v>0</v>
      </c>
      <c r="L9" s="32" t="n">
        <f aca="false">C9*1000000/dt_s+J9/2</f>
        <v>4923.22870926233</v>
      </c>
      <c r="M9" s="32" t="n">
        <f aca="false">C9*1000000/dt_s+K9/2</f>
        <v>4923.1888888889</v>
      </c>
    </row>
    <row r="10" customFormat="false" ht="15" hidden="false" customHeight="false" outlineLevel="0" collapsed="false">
      <c r="A10" s="24" t="n">
        <f aca="false">ROUND(A9+0.01,2)</f>
        <v>71.05</v>
      </c>
      <c r="B10" s="25" t="n">
        <f aca="false">INDEX(Bang_F,MATCH(A10,Bang_Z,1))+(A10-INDEX(Bang_Z,MATCH(A10,Bang_Z,1)))*(INDEX(Bang_F,MATCH(A10,Bang_Z,1)+1)-INDEX(Bang_F,MATCH(A10,Bang_Z,1)))</f>
        <v>3.98</v>
      </c>
      <c r="C10" s="25" t="n">
        <f aca="false">INDEX(Bang_W,MATCH(A10,Bang_Z,1))+(A10-INDEX(Bang_Z,MATCH(A10,Bang_Z,1)))*(INDEX(Bang_F,MATCH(A10,Bang_Z,1))+B10)/2</f>
        <v>17.76325</v>
      </c>
      <c r="D10" s="26" t="n">
        <f aca="false">MAX(A10-TC_Z,0)</f>
        <v>0</v>
      </c>
      <c r="E10" s="27" t="n">
        <f aca="false">1-0.2*(TC_xmb+(TC_n-1)*TC_xmt)*D10/(TC_n*TC_b)</f>
        <v>1</v>
      </c>
      <c r="F10" s="28" t="n">
        <f aca="false">TC_s*E10*TC_m*TC_n*TC_b*SQRT(2*g_)*D10^1.5</f>
        <v>0</v>
      </c>
      <c r="G10" s="29" t="n">
        <f aca="false">MAX(A10-SC_Z,0)</f>
        <v>0.0499999999999972</v>
      </c>
      <c r="H10" s="30" t="n">
        <f aca="false">1-0.2*(SC_xmb+(SC_n-1)*SC_xmt)*G10/(SC_n*SC_b)</f>
        <v>0.9986</v>
      </c>
      <c r="I10" s="31" t="n">
        <f aca="false">SC_s*H10*SC_m*SC_n*SC_b*SQRT(2*g_)*G10^1.5</f>
        <v>0.111270128055238</v>
      </c>
      <c r="J10" s="32" t="n">
        <f aca="false">F10+I10</f>
        <v>0.111270128055238</v>
      </c>
      <c r="K10" s="32" t="n">
        <f aca="false">F10</f>
        <v>0</v>
      </c>
      <c r="L10" s="32" t="n">
        <f aca="false">C10*1000000/dt_s+J10/2</f>
        <v>4934.29174617514</v>
      </c>
      <c r="M10" s="32" t="n">
        <f aca="false">C10*1000000/dt_s+K10/2</f>
        <v>4934.23611111111</v>
      </c>
    </row>
    <row r="11" customFormat="false" ht="15" hidden="false" customHeight="false" outlineLevel="0" collapsed="false">
      <c r="A11" s="24" t="n">
        <f aca="false">ROUND(A10+0.01,2)</f>
        <v>71.06</v>
      </c>
      <c r="B11" s="25" t="n">
        <f aca="false">INDEX(Bang_F,MATCH(A11,Bang_Z,1))+(A11-INDEX(Bang_Z,MATCH(A11,Bang_Z,1)))*(INDEX(Bang_F,MATCH(A11,Bang_Z,1)+1)-INDEX(Bang_F,MATCH(A11,Bang_Z,1)))</f>
        <v>3.986</v>
      </c>
      <c r="C11" s="25" t="n">
        <f aca="false">INDEX(Bang_W,MATCH(A11,Bang_Z,1))+(A11-INDEX(Bang_Z,MATCH(A11,Bang_Z,1)))*(INDEX(Bang_F,MATCH(A11,Bang_Z,1))+B11)/2</f>
        <v>17.80308</v>
      </c>
      <c r="D11" s="26" t="n">
        <f aca="false">MAX(A11-TC_Z,0)</f>
        <v>0</v>
      </c>
      <c r="E11" s="27" t="n">
        <f aca="false">1-0.2*(TC_xmb+(TC_n-1)*TC_xmt)*D11/(TC_n*TC_b)</f>
        <v>1</v>
      </c>
      <c r="F11" s="28" t="n">
        <f aca="false">TC_s*E11*TC_m*TC_n*TC_b*SQRT(2*g_)*D11^1.5</f>
        <v>0</v>
      </c>
      <c r="G11" s="29" t="n">
        <f aca="false">MAX(A11-SC_Z,0)</f>
        <v>0.0600000000000023</v>
      </c>
      <c r="H11" s="30" t="n">
        <f aca="false">1-0.2*(SC_xmb+(SC_n-1)*SC_xmt)*G11/(SC_n*SC_b)</f>
        <v>0.99832</v>
      </c>
      <c r="I11" s="31" t="n">
        <f aca="false">SC_s*H11*SC_m*SC_n*SC_b*SQRT(2*g_)*G11^1.5</f>
        <v>0.146227369305129</v>
      </c>
      <c r="J11" s="32" t="n">
        <f aca="false">F11+I11</f>
        <v>0.146227369305129</v>
      </c>
      <c r="K11" s="32" t="n">
        <f aca="false">F11</f>
        <v>0</v>
      </c>
      <c r="L11" s="32" t="n">
        <f aca="false">C11*1000000/dt_s+J11/2</f>
        <v>4945.37311368466</v>
      </c>
      <c r="M11" s="32" t="n">
        <f aca="false">C11*1000000/dt_s+K11/2</f>
        <v>4945.3</v>
      </c>
    </row>
    <row r="12" customFormat="false" ht="15" hidden="false" customHeight="false" outlineLevel="0" collapsed="false">
      <c r="A12" s="24" t="n">
        <f aca="false">ROUND(A11+0.01,2)</f>
        <v>71.07</v>
      </c>
      <c r="B12" s="25" t="n">
        <f aca="false">INDEX(Bang_F,MATCH(A12,Bang_Z,1))+(A12-INDEX(Bang_Z,MATCH(A12,Bang_Z,1)))*(INDEX(Bang_F,MATCH(A12,Bang_Z,1)+1)-INDEX(Bang_F,MATCH(A12,Bang_Z,1)))</f>
        <v>3.992</v>
      </c>
      <c r="C12" s="25" t="n">
        <f aca="false">INDEX(Bang_W,MATCH(A12,Bang_Z,1))+(A12-INDEX(Bang_Z,MATCH(A12,Bang_Z,1)))*(INDEX(Bang_F,MATCH(A12,Bang_Z,1))+B12)/2</f>
        <v>17.84297</v>
      </c>
      <c r="D12" s="26" t="n">
        <f aca="false">MAX(A12-TC_Z,0)</f>
        <v>0</v>
      </c>
      <c r="E12" s="27" t="n">
        <f aca="false">1-0.2*(TC_xmb+(TC_n-1)*TC_xmt)*D12/(TC_n*TC_b)</f>
        <v>1</v>
      </c>
      <c r="F12" s="28" t="n">
        <f aca="false">TC_s*E12*TC_m*TC_n*TC_b*SQRT(2*g_)*D12^1.5</f>
        <v>0</v>
      </c>
      <c r="G12" s="29" t="n">
        <f aca="false">MAX(A12-SC_Z,0)</f>
        <v>0.0699999999999932</v>
      </c>
      <c r="H12" s="30" t="n">
        <f aca="false">1-0.2*(SC_xmb+(SC_n-1)*SC_xmt)*G12/(SC_n*SC_b)</f>
        <v>0.99804</v>
      </c>
      <c r="I12" s="31" t="n">
        <f aca="false">SC_s*H12*SC_m*SC_n*SC_b*SQRT(2*g_)*G12^1.5</f>
        <v>0.18421586393791</v>
      </c>
      <c r="J12" s="32" t="n">
        <f aca="false">F12+I12</f>
        <v>0.18421586393791</v>
      </c>
      <c r="K12" s="32" t="n">
        <f aca="false">F12</f>
        <v>0</v>
      </c>
      <c r="L12" s="32" t="n">
        <f aca="false">C12*1000000/dt_s+J12/2</f>
        <v>4956.47266348752</v>
      </c>
      <c r="M12" s="32" t="n">
        <f aca="false">C12*1000000/dt_s+K12/2</f>
        <v>4956.38055555555</v>
      </c>
    </row>
    <row r="13" customFormat="false" ht="15" hidden="false" customHeight="false" outlineLevel="0" collapsed="false">
      <c r="A13" s="24" t="n">
        <f aca="false">ROUND(A12+0.01,2)</f>
        <v>71.08</v>
      </c>
      <c r="B13" s="25" t="n">
        <f aca="false">INDEX(Bang_F,MATCH(A13,Bang_Z,1))+(A13-INDEX(Bang_Z,MATCH(A13,Bang_Z,1)))*(INDEX(Bang_F,MATCH(A13,Bang_Z,1)+1)-INDEX(Bang_F,MATCH(A13,Bang_Z,1)))</f>
        <v>3.998</v>
      </c>
      <c r="C13" s="25" t="n">
        <f aca="false">INDEX(Bang_W,MATCH(A13,Bang_Z,1))+(A13-INDEX(Bang_Z,MATCH(A13,Bang_Z,1)))*(INDEX(Bang_F,MATCH(A13,Bang_Z,1))+B13)/2</f>
        <v>17.88292</v>
      </c>
      <c r="D13" s="26" t="n">
        <f aca="false">MAX(A13-TC_Z,0)</f>
        <v>0</v>
      </c>
      <c r="E13" s="27" t="n">
        <f aca="false">1-0.2*(TC_xmb+(TC_n-1)*TC_xmt)*D13/(TC_n*TC_b)</f>
        <v>1</v>
      </c>
      <c r="F13" s="28" t="n">
        <f aca="false">TC_s*E13*TC_m*TC_n*TC_b*SQRT(2*g_)*D13^1.5</f>
        <v>0</v>
      </c>
      <c r="G13" s="29" t="n">
        <f aca="false">MAX(A13-SC_Z,0)</f>
        <v>0.0799999999999983</v>
      </c>
      <c r="H13" s="30" t="n">
        <f aca="false">1-0.2*(SC_xmb+(SC_n-1)*SC_xmt)*G13/(SC_n*SC_b)</f>
        <v>0.99776</v>
      </c>
      <c r="I13" s="31" t="n">
        <f aca="false">SC_s*H13*SC_m*SC_n*SC_b*SQRT(2*g_)*G13^1.5</f>
        <v>0.225005476802334</v>
      </c>
      <c r="J13" s="32" t="n">
        <f aca="false">F13+I13</f>
        <v>0.225005476802334</v>
      </c>
      <c r="K13" s="32" t="n">
        <f aca="false">F13</f>
        <v>0</v>
      </c>
      <c r="L13" s="32" t="n">
        <f aca="false">C13*1000000/dt_s+J13/2</f>
        <v>4967.59028051618</v>
      </c>
      <c r="M13" s="32" t="n">
        <f aca="false">C13*1000000/dt_s+K13/2</f>
        <v>4967.47777777778</v>
      </c>
    </row>
    <row r="14" customFormat="false" ht="15" hidden="false" customHeight="false" outlineLevel="0" collapsed="false">
      <c r="A14" s="24" t="n">
        <f aca="false">ROUND(A13+0.01,2)</f>
        <v>71.09</v>
      </c>
      <c r="B14" s="25" t="n">
        <f aca="false">INDEX(Bang_F,MATCH(A14,Bang_Z,1))+(A14-INDEX(Bang_Z,MATCH(A14,Bang_Z,1)))*(INDEX(Bang_F,MATCH(A14,Bang_Z,1)+1)-INDEX(Bang_F,MATCH(A14,Bang_Z,1)))</f>
        <v>4.004</v>
      </c>
      <c r="C14" s="25" t="n">
        <f aca="false">INDEX(Bang_W,MATCH(A14,Bang_Z,1))+(A14-INDEX(Bang_Z,MATCH(A14,Bang_Z,1)))*(INDEX(Bang_F,MATCH(A14,Bang_Z,1))+B14)/2</f>
        <v>17.92293</v>
      </c>
      <c r="D14" s="26" t="n">
        <f aca="false">MAX(A14-TC_Z,0)</f>
        <v>0</v>
      </c>
      <c r="E14" s="27" t="n">
        <f aca="false">1-0.2*(TC_xmb+(TC_n-1)*TC_xmt)*D14/(TC_n*TC_b)</f>
        <v>1</v>
      </c>
      <c r="F14" s="28" t="n">
        <f aca="false">TC_s*E14*TC_m*TC_n*TC_b*SQRT(2*g_)*D14^1.5</f>
        <v>0</v>
      </c>
      <c r="G14" s="29" t="n">
        <f aca="false">MAX(A14-SC_Z,0)</f>
        <v>0.0900000000000034</v>
      </c>
      <c r="H14" s="30" t="n">
        <f aca="false">1-0.2*(SC_xmb+(SC_n-1)*SC_xmt)*G14/(SC_n*SC_b)</f>
        <v>0.99748</v>
      </c>
      <c r="I14" s="31" t="n">
        <f aca="false">SC_s*H14*SC_m*SC_n*SC_b*SQRT(2*g_)*G14^1.5</f>
        <v>0.268410796244082</v>
      </c>
      <c r="J14" s="32" t="n">
        <f aca="false">F14+I14</f>
        <v>0.268410796244082</v>
      </c>
      <c r="K14" s="32" t="n">
        <f aca="false">F14</f>
        <v>0</v>
      </c>
      <c r="L14" s="32" t="n">
        <f aca="false">C14*1000000/dt_s+J14/2</f>
        <v>4978.72587206479</v>
      </c>
      <c r="M14" s="32" t="n">
        <f aca="false">C14*1000000/dt_s+K14/2</f>
        <v>4978.59166666667</v>
      </c>
    </row>
    <row r="15" customFormat="false" ht="15" hidden="false" customHeight="false" outlineLevel="0" collapsed="false">
      <c r="A15" s="24" t="n">
        <f aca="false">ROUND(A14+0.01,2)</f>
        <v>71.1</v>
      </c>
      <c r="B15" s="25" t="n">
        <f aca="false">INDEX(Bang_F,MATCH(A15,Bang_Z,1))+(A15-INDEX(Bang_Z,MATCH(A15,Bang_Z,1)))*(INDEX(Bang_F,MATCH(A15,Bang_Z,1)+1)-INDEX(Bang_F,MATCH(A15,Bang_Z,1)))</f>
        <v>4.01</v>
      </c>
      <c r="C15" s="25" t="n">
        <f aca="false">INDEX(Bang_W,MATCH(A15,Bang_Z,1))+(A15-INDEX(Bang_Z,MATCH(A15,Bang_Z,1)))*(INDEX(Bang_F,MATCH(A15,Bang_Z,1))+B15)/2</f>
        <v>17.963</v>
      </c>
      <c r="D15" s="26" t="n">
        <f aca="false">MAX(A15-TC_Z,0)</f>
        <v>0</v>
      </c>
      <c r="E15" s="27" t="n">
        <f aca="false">1-0.2*(TC_xmb+(TC_n-1)*TC_xmt)*D15/(TC_n*TC_b)</f>
        <v>1</v>
      </c>
      <c r="F15" s="28" t="n">
        <f aca="false">TC_s*E15*TC_m*TC_n*TC_b*SQRT(2*g_)*D15^1.5</f>
        <v>0</v>
      </c>
      <c r="G15" s="29" t="n">
        <f aca="false">MAX(A15-SC_Z,0)</f>
        <v>0.0999999999999943</v>
      </c>
      <c r="H15" s="30" t="n">
        <f aca="false">1-0.2*(SC_xmb+(SC_n-1)*SC_xmt)*G15/(SC_n*SC_b)</f>
        <v>0.9972</v>
      </c>
      <c r="I15" s="31" t="n">
        <f aca="false">SC_s*H15*SC_m*SC_n*SC_b*SQRT(2*g_)*G15^1.5</f>
        <v>0.314278223422787</v>
      </c>
      <c r="J15" s="32" t="n">
        <f aca="false">F15+I15</f>
        <v>0.314278223422787</v>
      </c>
      <c r="K15" s="32" t="n">
        <f aca="false">F15</f>
        <v>0</v>
      </c>
      <c r="L15" s="32" t="n">
        <f aca="false">C15*1000000/dt_s+J15/2</f>
        <v>4989.87936133393</v>
      </c>
      <c r="M15" s="32" t="n">
        <f aca="false">C15*1000000/dt_s+K15/2</f>
        <v>4989.72222222222</v>
      </c>
    </row>
    <row r="16" customFormat="false" ht="15" hidden="false" customHeight="false" outlineLevel="0" collapsed="false">
      <c r="A16" s="24" t="n">
        <f aca="false">ROUND(A15+0.01,2)</f>
        <v>71.11</v>
      </c>
      <c r="B16" s="25" t="n">
        <f aca="false">INDEX(Bang_F,MATCH(A16,Bang_Z,1))+(A16-INDEX(Bang_Z,MATCH(A16,Bang_Z,1)))*(INDEX(Bang_F,MATCH(A16,Bang_Z,1)+1)-INDEX(Bang_F,MATCH(A16,Bang_Z,1)))</f>
        <v>4.016</v>
      </c>
      <c r="C16" s="25" t="n">
        <f aca="false">INDEX(Bang_W,MATCH(A16,Bang_Z,1))+(A16-INDEX(Bang_Z,MATCH(A16,Bang_Z,1)))*(INDEX(Bang_F,MATCH(A16,Bang_Z,1))+B16)/2</f>
        <v>18.00313</v>
      </c>
      <c r="D16" s="26" t="n">
        <f aca="false">MAX(A16-TC_Z,0)</f>
        <v>0</v>
      </c>
      <c r="E16" s="27" t="n">
        <f aca="false">1-0.2*(TC_xmb+(TC_n-1)*TC_xmt)*D16/(TC_n*TC_b)</f>
        <v>1</v>
      </c>
      <c r="F16" s="28" t="n">
        <f aca="false">TC_s*E16*TC_m*TC_n*TC_b*SQRT(2*g_)*D16^1.5</f>
        <v>0</v>
      </c>
      <c r="G16" s="29" t="n">
        <f aca="false">MAX(A16-SC_Z,0)</f>
        <v>0.109999999999999</v>
      </c>
      <c r="H16" s="30" t="n">
        <f aca="false">1-0.2*(SC_xmb+(SC_n-1)*SC_xmt)*G16/(SC_n*SC_b)</f>
        <v>0.99692</v>
      </c>
      <c r="I16" s="31" t="n">
        <f aca="false">SC_s*H16*SC_m*SC_n*SC_b*SQRT(2*g_)*G16^1.5</f>
        <v>0.362477752327094</v>
      </c>
      <c r="J16" s="32" t="n">
        <f aca="false">F16+I16</f>
        <v>0.362477752327094</v>
      </c>
      <c r="K16" s="32" t="n">
        <f aca="false">F16</f>
        <v>0</v>
      </c>
      <c r="L16" s="32" t="n">
        <f aca="false">C16*1000000/dt_s+J16/2</f>
        <v>5001.05068332061</v>
      </c>
      <c r="M16" s="32" t="n">
        <f aca="false">C16*1000000/dt_s+K16/2</f>
        <v>5000.86944444444</v>
      </c>
    </row>
    <row r="17" customFormat="false" ht="15" hidden="false" customHeight="false" outlineLevel="0" collapsed="false">
      <c r="A17" s="24" t="n">
        <f aca="false">ROUND(A16+0.01,2)</f>
        <v>71.12</v>
      </c>
      <c r="B17" s="25" t="n">
        <f aca="false">INDEX(Bang_F,MATCH(A17,Bang_Z,1))+(A17-INDEX(Bang_Z,MATCH(A17,Bang_Z,1)))*(INDEX(Bang_F,MATCH(A17,Bang_Z,1)+1)-INDEX(Bang_F,MATCH(A17,Bang_Z,1)))</f>
        <v>4.022</v>
      </c>
      <c r="C17" s="25" t="n">
        <f aca="false">INDEX(Bang_W,MATCH(A17,Bang_Z,1))+(A17-INDEX(Bang_Z,MATCH(A17,Bang_Z,1)))*(INDEX(Bang_F,MATCH(A17,Bang_Z,1))+B17)/2</f>
        <v>18.04332</v>
      </c>
      <c r="D17" s="26" t="n">
        <f aca="false">MAX(A17-TC_Z,0)</f>
        <v>0</v>
      </c>
      <c r="E17" s="27" t="n">
        <f aca="false">1-0.2*(TC_xmb+(TC_n-1)*TC_xmt)*D17/(TC_n*TC_b)</f>
        <v>1</v>
      </c>
      <c r="F17" s="28" t="n">
        <f aca="false">TC_s*E17*TC_m*TC_n*TC_b*SQRT(2*g_)*D17^1.5</f>
        <v>0</v>
      </c>
      <c r="G17" s="29" t="n">
        <f aca="false">MAX(A17-SC_Z,0)</f>
        <v>0.120000000000005</v>
      </c>
      <c r="H17" s="30" t="n">
        <f aca="false">1-0.2*(SC_xmb+(SC_n-1)*SC_xmt)*G17/(SC_n*SC_b)</f>
        <v>0.99664</v>
      </c>
      <c r="I17" s="31" t="n">
        <f aca="false">SC_s*H17*SC_m*SC_n*SC_b*SQRT(2*g_)*G17^1.5</f>
        <v>0.412897451423347</v>
      </c>
      <c r="J17" s="32" t="n">
        <f aca="false">F17+I17</f>
        <v>0.412897451423347</v>
      </c>
      <c r="K17" s="32" t="n">
        <f aca="false">F17</f>
        <v>0</v>
      </c>
      <c r="L17" s="32" t="n">
        <f aca="false">C17*1000000/dt_s+J17/2</f>
        <v>5012.23978205905</v>
      </c>
      <c r="M17" s="32" t="n">
        <f aca="false">C17*1000000/dt_s+K17/2</f>
        <v>5012.03333333334</v>
      </c>
    </row>
    <row r="18" customFormat="false" ht="15" hidden="false" customHeight="false" outlineLevel="0" collapsed="false">
      <c r="A18" s="24" t="n">
        <f aca="false">ROUND(A17+0.01,2)</f>
        <v>71.13</v>
      </c>
      <c r="B18" s="25" t="n">
        <f aca="false">INDEX(Bang_F,MATCH(A18,Bang_Z,1))+(A18-INDEX(Bang_Z,MATCH(A18,Bang_Z,1)))*(INDEX(Bang_F,MATCH(A18,Bang_Z,1)+1)-INDEX(Bang_F,MATCH(A18,Bang_Z,1)))</f>
        <v>4.028</v>
      </c>
      <c r="C18" s="25" t="n">
        <f aca="false">INDEX(Bang_W,MATCH(A18,Bang_Z,1))+(A18-INDEX(Bang_Z,MATCH(A18,Bang_Z,1)))*(INDEX(Bang_F,MATCH(A18,Bang_Z,1))+B18)/2</f>
        <v>18.08357</v>
      </c>
      <c r="D18" s="26" t="n">
        <f aca="false">MAX(A18-TC_Z,0)</f>
        <v>0</v>
      </c>
      <c r="E18" s="27" t="n">
        <f aca="false">1-0.2*(TC_xmb+(TC_n-1)*TC_xmt)*D18/(TC_n*TC_b)</f>
        <v>1</v>
      </c>
      <c r="F18" s="28" t="n">
        <f aca="false">TC_s*E18*TC_m*TC_n*TC_b*SQRT(2*g_)*D18^1.5</f>
        <v>0</v>
      </c>
      <c r="G18" s="29" t="n">
        <f aca="false">MAX(A18-SC_Z,0)</f>
        <v>0.129999999999995</v>
      </c>
      <c r="H18" s="30" t="n">
        <f aca="false">1-0.2*(SC_xmb+(SC_n-1)*SC_xmt)*G18/(SC_n*SC_b)</f>
        <v>0.99636</v>
      </c>
      <c r="I18" s="31" t="n">
        <f aca="false">SC_s*H18*SC_m*SC_n*SC_b*SQRT(2*g_)*G18^1.5</f>
        <v>0.465439601495144</v>
      </c>
      <c r="J18" s="32" t="n">
        <f aca="false">F18+I18</f>
        <v>0.465439601495144</v>
      </c>
      <c r="K18" s="32" t="n">
        <f aca="false">F18</f>
        <v>0</v>
      </c>
      <c r="L18" s="32" t="n">
        <f aca="false">C18*1000000/dt_s+J18/2</f>
        <v>5023.44660868963</v>
      </c>
      <c r="M18" s="32" t="n">
        <f aca="false">C18*1000000/dt_s+K18/2</f>
        <v>5023.21388888889</v>
      </c>
    </row>
    <row r="19" customFormat="false" ht="15" hidden="false" customHeight="false" outlineLevel="0" collapsed="false">
      <c r="A19" s="24" t="n">
        <f aca="false">ROUND(A18+0.01,2)</f>
        <v>71.14</v>
      </c>
      <c r="B19" s="25" t="n">
        <f aca="false">INDEX(Bang_F,MATCH(A19,Bang_Z,1))+(A19-INDEX(Bang_Z,MATCH(A19,Bang_Z,1)))*(INDEX(Bang_F,MATCH(A19,Bang_Z,1)+1)-INDEX(Bang_F,MATCH(A19,Bang_Z,1)))</f>
        <v>4.034</v>
      </c>
      <c r="C19" s="25" t="n">
        <f aca="false">INDEX(Bang_W,MATCH(A19,Bang_Z,1))+(A19-INDEX(Bang_Z,MATCH(A19,Bang_Z,1)))*(INDEX(Bang_F,MATCH(A19,Bang_Z,1))+B19)/2</f>
        <v>18.12388</v>
      </c>
      <c r="D19" s="26" t="n">
        <f aca="false">MAX(A19-TC_Z,0)</f>
        <v>0</v>
      </c>
      <c r="E19" s="27" t="n">
        <f aca="false">1-0.2*(TC_xmb+(TC_n-1)*TC_xmt)*D19/(TC_n*TC_b)</f>
        <v>1</v>
      </c>
      <c r="F19" s="28" t="n">
        <f aca="false">TC_s*E19*TC_m*TC_n*TC_b*SQRT(2*g_)*D19^1.5</f>
        <v>0</v>
      </c>
      <c r="G19" s="29" t="n">
        <f aca="false">MAX(A19-SC_Z,0)</f>
        <v>0.140000000000001</v>
      </c>
      <c r="H19" s="30" t="n">
        <f aca="false">1-0.2*(SC_xmb+(SC_n-1)*SC_xmt)*G19/(SC_n*SC_b)</f>
        <v>0.99608</v>
      </c>
      <c r="I19" s="31" t="n">
        <f aca="false">SC_s*H19*SC_m*SC_n*SC_b*SQRT(2*g_)*G19^1.5</f>
        <v>0.520017900161162</v>
      </c>
      <c r="J19" s="32" t="n">
        <f aca="false">F19+I19</f>
        <v>0.520017900161162</v>
      </c>
      <c r="K19" s="32" t="n">
        <f aca="false">F19</f>
        <v>0</v>
      </c>
      <c r="L19" s="32" t="n">
        <f aca="false">C19*1000000/dt_s+J19/2</f>
        <v>5034.67112006119</v>
      </c>
      <c r="M19" s="32" t="n">
        <f aca="false">C19*1000000/dt_s+K19/2</f>
        <v>5034.41111111111</v>
      </c>
    </row>
    <row r="20" customFormat="false" ht="15" hidden="false" customHeight="false" outlineLevel="0" collapsed="false">
      <c r="A20" s="24" t="n">
        <f aca="false">ROUND(A19+0.01,2)</f>
        <v>71.15</v>
      </c>
      <c r="B20" s="25" t="n">
        <f aca="false">INDEX(Bang_F,MATCH(A20,Bang_Z,1))+(A20-INDEX(Bang_Z,MATCH(A20,Bang_Z,1)))*(INDEX(Bang_F,MATCH(A20,Bang_Z,1)+1)-INDEX(Bang_F,MATCH(A20,Bang_Z,1)))</f>
        <v>4.04</v>
      </c>
      <c r="C20" s="25" t="n">
        <f aca="false">INDEX(Bang_W,MATCH(A20,Bang_Z,1))+(A20-INDEX(Bang_Z,MATCH(A20,Bang_Z,1)))*(INDEX(Bang_F,MATCH(A20,Bang_Z,1))+B20)/2</f>
        <v>18.16425</v>
      </c>
      <c r="D20" s="26" t="n">
        <f aca="false">MAX(A20-TC_Z,0)</f>
        <v>0</v>
      </c>
      <c r="E20" s="27" t="n">
        <f aca="false">1-0.2*(TC_xmb+(TC_n-1)*TC_xmt)*D20/(TC_n*TC_b)</f>
        <v>1</v>
      </c>
      <c r="F20" s="28" t="n">
        <f aca="false">TC_s*E20*TC_m*TC_n*TC_b*SQRT(2*g_)*D20^1.5</f>
        <v>0</v>
      </c>
      <c r="G20" s="29" t="n">
        <f aca="false">MAX(A20-SC_Z,0)</f>
        <v>0.150000000000006</v>
      </c>
      <c r="H20" s="30" t="n">
        <f aca="false">1-0.2*(SC_xmb+(SC_n-1)*SC_xmt)*G20/(SC_n*SC_b)</f>
        <v>0.9958</v>
      </c>
      <c r="I20" s="31" t="n">
        <f aca="false">SC_s*H20*SC_m*SC_n*SC_b*SQRT(2*g_)*G20^1.5</f>
        <v>0.576555381512333</v>
      </c>
      <c r="J20" s="32" t="n">
        <f aca="false">F20+I20</f>
        <v>0.576555381512333</v>
      </c>
      <c r="K20" s="32" t="n">
        <f aca="false">F20</f>
        <v>0</v>
      </c>
      <c r="L20" s="32" t="n">
        <f aca="false">C20*1000000/dt_s+J20/2</f>
        <v>5045.91327769076</v>
      </c>
      <c r="M20" s="32" t="n">
        <f aca="false">C20*1000000/dt_s+K20/2</f>
        <v>5045.62500000001</v>
      </c>
    </row>
    <row r="21" customFormat="false" ht="15" hidden="false" customHeight="false" outlineLevel="0" collapsed="false">
      <c r="A21" s="24" t="n">
        <f aca="false">ROUND(A20+0.01,2)</f>
        <v>71.16</v>
      </c>
      <c r="B21" s="25" t="n">
        <f aca="false">INDEX(Bang_F,MATCH(A21,Bang_Z,1))+(A21-INDEX(Bang_Z,MATCH(A21,Bang_Z,1)))*(INDEX(Bang_F,MATCH(A21,Bang_Z,1)+1)-INDEX(Bang_F,MATCH(A21,Bang_Z,1)))</f>
        <v>4.046</v>
      </c>
      <c r="C21" s="25" t="n">
        <f aca="false">INDEX(Bang_W,MATCH(A21,Bang_Z,1))+(A21-INDEX(Bang_Z,MATCH(A21,Bang_Z,1)))*(INDEX(Bang_F,MATCH(A21,Bang_Z,1))+B21)/2</f>
        <v>18.20468</v>
      </c>
      <c r="D21" s="26" t="n">
        <f aca="false">MAX(A21-TC_Z,0)</f>
        <v>0</v>
      </c>
      <c r="E21" s="27" t="n">
        <f aca="false">1-0.2*(TC_xmb+(TC_n-1)*TC_xmt)*D21/(TC_n*TC_b)</f>
        <v>1</v>
      </c>
      <c r="F21" s="28" t="n">
        <f aca="false">TC_s*E21*TC_m*TC_n*TC_b*SQRT(2*g_)*D21^1.5</f>
        <v>0</v>
      </c>
      <c r="G21" s="29" t="n">
        <f aca="false">MAX(A21-SC_Z,0)</f>
        <v>0.159999999999997</v>
      </c>
      <c r="H21" s="30" t="n">
        <f aca="false">1-0.2*(SC_xmb+(SC_n-1)*SC_xmt)*G21/(SC_n*SC_b)</f>
        <v>0.99552</v>
      </c>
      <c r="I21" s="31" t="n">
        <f aca="false">SC_s*H21*SC_m*SC_n*SC_b*SQRT(2*g_)*G21^1.5</f>
        <v>0.634982831406277</v>
      </c>
      <c r="J21" s="32" t="n">
        <f aca="false">F21+I21</f>
        <v>0.634982831406277</v>
      </c>
      <c r="K21" s="32" t="n">
        <f aca="false">F21</f>
        <v>0</v>
      </c>
      <c r="L21" s="32" t="n">
        <f aca="false">C21*1000000/dt_s+J21/2</f>
        <v>5057.17304697126</v>
      </c>
      <c r="M21" s="32" t="n">
        <f aca="false">C21*1000000/dt_s+K21/2</f>
        <v>5056.85555555555</v>
      </c>
    </row>
    <row r="22" customFormat="false" ht="15" hidden="false" customHeight="false" outlineLevel="0" collapsed="false">
      <c r="A22" s="24" t="n">
        <f aca="false">ROUND(A21+0.01,2)</f>
        <v>71.17</v>
      </c>
      <c r="B22" s="25" t="n">
        <f aca="false">INDEX(Bang_F,MATCH(A22,Bang_Z,1))+(A22-INDEX(Bang_Z,MATCH(A22,Bang_Z,1)))*(INDEX(Bang_F,MATCH(A22,Bang_Z,1)+1)-INDEX(Bang_F,MATCH(A22,Bang_Z,1)))</f>
        <v>4.052</v>
      </c>
      <c r="C22" s="25" t="n">
        <f aca="false">INDEX(Bang_W,MATCH(A22,Bang_Z,1))+(A22-INDEX(Bang_Z,MATCH(A22,Bang_Z,1)))*(INDEX(Bang_F,MATCH(A22,Bang_Z,1))+B22)/2</f>
        <v>18.24517</v>
      </c>
      <c r="D22" s="26" t="n">
        <f aca="false">MAX(A22-TC_Z,0)</f>
        <v>0</v>
      </c>
      <c r="E22" s="27" t="n">
        <f aca="false">1-0.2*(TC_xmb+(TC_n-1)*TC_xmt)*D22/(TC_n*TC_b)</f>
        <v>1</v>
      </c>
      <c r="F22" s="28" t="n">
        <f aca="false">TC_s*E22*TC_m*TC_n*TC_b*SQRT(2*g_)*D22^1.5</f>
        <v>0</v>
      </c>
      <c r="G22" s="29" t="n">
        <f aca="false">MAX(A22-SC_Z,0)</f>
        <v>0.170000000000002</v>
      </c>
      <c r="H22" s="30" t="n">
        <f aca="false">1-0.2*(SC_xmb+(SC_n-1)*SC_xmt)*G22/(SC_n*SC_b)</f>
        <v>0.99524</v>
      </c>
      <c r="I22" s="31" t="n">
        <f aca="false">SC_s*H22*SC_m*SC_n*SC_b*SQRT(2*g_)*G22^1.5</f>
        <v>0.695237556093245</v>
      </c>
      <c r="J22" s="32" t="n">
        <f aca="false">F22+I22</f>
        <v>0.695237556093245</v>
      </c>
      <c r="K22" s="32" t="n">
        <f aca="false">F22</f>
        <v>0</v>
      </c>
      <c r="L22" s="32" t="n">
        <f aca="false">C22*1000000/dt_s+J22/2</f>
        <v>5068.45039655583</v>
      </c>
      <c r="M22" s="32" t="n">
        <f aca="false">C22*1000000/dt_s+K22/2</f>
        <v>5068.10277777778</v>
      </c>
    </row>
    <row r="23" customFormat="false" ht="15" hidden="false" customHeight="false" outlineLevel="0" collapsed="false">
      <c r="A23" s="24" t="n">
        <f aca="false">ROUND(A22+0.01,2)</f>
        <v>71.18</v>
      </c>
      <c r="B23" s="25" t="n">
        <f aca="false">INDEX(Bang_F,MATCH(A23,Bang_Z,1))+(A23-INDEX(Bang_Z,MATCH(A23,Bang_Z,1)))*(INDEX(Bang_F,MATCH(A23,Bang_Z,1)+1)-INDEX(Bang_F,MATCH(A23,Bang_Z,1)))</f>
        <v>4.058</v>
      </c>
      <c r="C23" s="25" t="n">
        <f aca="false">INDEX(Bang_W,MATCH(A23,Bang_Z,1))+(A23-INDEX(Bang_Z,MATCH(A23,Bang_Z,1)))*(INDEX(Bang_F,MATCH(A23,Bang_Z,1))+B23)/2</f>
        <v>18.28572</v>
      </c>
      <c r="D23" s="26" t="n">
        <f aca="false">MAX(A23-TC_Z,0)</f>
        <v>0</v>
      </c>
      <c r="E23" s="27" t="n">
        <f aca="false">1-0.2*(TC_xmb+(TC_n-1)*TC_xmt)*D23/(TC_n*TC_b)</f>
        <v>1</v>
      </c>
      <c r="F23" s="28" t="n">
        <f aca="false">TC_s*E23*TC_m*TC_n*TC_b*SQRT(2*g_)*D23^1.5</f>
        <v>0</v>
      </c>
      <c r="G23" s="29" t="n">
        <f aca="false">MAX(A23-SC_Z,0)</f>
        <v>0.180000000000007</v>
      </c>
      <c r="H23" s="30" t="n">
        <f aca="false">1-0.2*(SC_xmb+(SC_n-1)*SC_xmt)*G23/(SC_n*SC_b)</f>
        <v>0.99496</v>
      </c>
      <c r="I23" s="31" t="n">
        <f aca="false">SC_s*H23*SC_m*SC_n*SC_b*SQRT(2*g_)*G23^1.5</f>
        <v>0.757262408843344</v>
      </c>
      <c r="J23" s="32" t="n">
        <f aca="false">F23+I23</f>
        <v>0.757262408843344</v>
      </c>
      <c r="K23" s="32" t="n">
        <f aca="false">F23</f>
        <v>0</v>
      </c>
      <c r="L23" s="32" t="n">
        <f aca="false">C23*1000000/dt_s+J23/2</f>
        <v>5079.7452978711</v>
      </c>
      <c r="M23" s="32" t="n">
        <f aca="false">C23*1000000/dt_s+K23/2</f>
        <v>5079.36666666668</v>
      </c>
    </row>
    <row r="24" customFormat="false" ht="15" hidden="false" customHeight="false" outlineLevel="0" collapsed="false">
      <c r="A24" s="24" t="n">
        <f aca="false">ROUND(A23+0.01,2)</f>
        <v>71.19</v>
      </c>
      <c r="B24" s="25" t="n">
        <f aca="false">INDEX(Bang_F,MATCH(A24,Bang_Z,1))+(A24-INDEX(Bang_Z,MATCH(A24,Bang_Z,1)))*(INDEX(Bang_F,MATCH(A24,Bang_Z,1)+1)-INDEX(Bang_F,MATCH(A24,Bang_Z,1)))</f>
        <v>4.064</v>
      </c>
      <c r="C24" s="25" t="n">
        <f aca="false">INDEX(Bang_W,MATCH(A24,Bang_Z,1))+(A24-INDEX(Bang_Z,MATCH(A24,Bang_Z,1)))*(INDEX(Bang_F,MATCH(A24,Bang_Z,1))+B24)/2</f>
        <v>18.32633</v>
      </c>
      <c r="D24" s="26" t="n">
        <f aca="false">MAX(A24-TC_Z,0)</f>
        <v>0</v>
      </c>
      <c r="E24" s="27" t="n">
        <f aca="false">1-0.2*(TC_xmb+(TC_n-1)*TC_xmt)*D24/(TC_n*TC_b)</f>
        <v>1</v>
      </c>
      <c r="F24" s="28" t="n">
        <f aca="false">TC_s*E24*TC_m*TC_n*TC_b*SQRT(2*g_)*D24^1.5</f>
        <v>0</v>
      </c>
      <c r="G24" s="29" t="n">
        <f aca="false">MAX(A24-SC_Z,0)</f>
        <v>0.189999999999998</v>
      </c>
      <c r="H24" s="30" t="n">
        <f aca="false">1-0.2*(SC_xmb+(SC_n-1)*SC_xmt)*G24/(SC_n*SC_b)</f>
        <v>0.99468</v>
      </c>
      <c r="I24" s="31" t="n">
        <f aca="false">SC_s*H24*SC_m*SC_n*SC_b*SQRT(2*g_)*G24^1.5</f>
        <v>0.82100500892926</v>
      </c>
      <c r="J24" s="32" t="n">
        <f aca="false">F24+I24</f>
        <v>0.82100500892926</v>
      </c>
      <c r="K24" s="32" t="n">
        <f aca="false">F24</f>
        <v>0</v>
      </c>
      <c r="L24" s="32" t="n">
        <f aca="false">C24*1000000/dt_s+J24/2</f>
        <v>5091.05772472669</v>
      </c>
      <c r="M24" s="32" t="n">
        <f aca="false">C24*1000000/dt_s+K24/2</f>
        <v>5090.64722222222</v>
      </c>
    </row>
    <row r="25" customFormat="false" ht="15" hidden="false" customHeight="false" outlineLevel="0" collapsed="false">
      <c r="A25" s="24" t="n">
        <f aca="false">ROUND(A24+0.01,2)</f>
        <v>71.2</v>
      </c>
      <c r="B25" s="25" t="n">
        <f aca="false">INDEX(Bang_F,MATCH(A25,Bang_Z,1))+(A25-INDEX(Bang_Z,MATCH(A25,Bang_Z,1)))*(INDEX(Bang_F,MATCH(A25,Bang_Z,1)+1)-INDEX(Bang_F,MATCH(A25,Bang_Z,1)))</f>
        <v>4.07</v>
      </c>
      <c r="C25" s="25" t="n">
        <f aca="false">INDEX(Bang_W,MATCH(A25,Bang_Z,1))+(A25-INDEX(Bang_Z,MATCH(A25,Bang_Z,1)))*(INDEX(Bang_F,MATCH(A25,Bang_Z,1))+B25)/2</f>
        <v>18.367</v>
      </c>
      <c r="D25" s="26" t="n">
        <f aca="false">MAX(A25-TC_Z,0)</f>
        <v>0</v>
      </c>
      <c r="E25" s="27" t="n">
        <f aca="false">1-0.2*(TC_xmb+(TC_n-1)*TC_xmt)*D25/(TC_n*TC_b)</f>
        <v>1</v>
      </c>
      <c r="F25" s="28" t="n">
        <f aca="false">TC_s*E25*TC_m*TC_n*TC_b*SQRT(2*g_)*D25^1.5</f>
        <v>0</v>
      </c>
      <c r="G25" s="29" t="n">
        <f aca="false">MAX(A25-SC_Z,0)</f>
        <v>0.200000000000003</v>
      </c>
      <c r="H25" s="30" t="n">
        <f aca="false">1-0.2*(SC_xmb+(SC_n-1)*SC_xmt)*G25/(SC_n*SC_b)</f>
        <v>0.9944</v>
      </c>
      <c r="I25" s="31" t="n">
        <f aca="false">SC_s*H25*SC_m*SC_n*SC_b*SQRT(2*g_)*G25^1.5</f>
        <v>0.886417106654443</v>
      </c>
      <c r="J25" s="32" t="n">
        <f aca="false">F25+I25</f>
        <v>0.886417106654443</v>
      </c>
      <c r="K25" s="32" t="n">
        <f aca="false">F25</f>
        <v>0</v>
      </c>
      <c r="L25" s="32" t="n">
        <f aca="false">C25*1000000/dt_s+J25/2</f>
        <v>5102.38765299778</v>
      </c>
      <c r="M25" s="32" t="n">
        <f aca="false">C25*1000000/dt_s+K25/2</f>
        <v>5101.94444444445</v>
      </c>
    </row>
    <row r="26" customFormat="false" ht="15" hidden="false" customHeight="false" outlineLevel="0" collapsed="false">
      <c r="A26" s="24" t="n">
        <f aca="false">ROUND(A25+0.01,2)</f>
        <v>71.21</v>
      </c>
      <c r="B26" s="25" t="n">
        <f aca="false">INDEX(Bang_F,MATCH(A26,Bang_Z,1))+(A26-INDEX(Bang_Z,MATCH(A26,Bang_Z,1)))*(INDEX(Bang_F,MATCH(A26,Bang_Z,1)+1)-INDEX(Bang_F,MATCH(A26,Bang_Z,1)))</f>
        <v>4.076</v>
      </c>
      <c r="C26" s="25" t="n">
        <f aca="false">INDEX(Bang_W,MATCH(A26,Bang_Z,1))+(A26-INDEX(Bang_Z,MATCH(A26,Bang_Z,1)))*(INDEX(Bang_F,MATCH(A26,Bang_Z,1))+B26)/2</f>
        <v>18.40773</v>
      </c>
      <c r="D26" s="26" t="n">
        <f aca="false">MAX(A26-TC_Z,0)</f>
        <v>0</v>
      </c>
      <c r="E26" s="27" t="n">
        <f aca="false">1-0.2*(TC_xmb+(TC_n-1)*TC_xmt)*D26/(TC_n*TC_b)</f>
        <v>1</v>
      </c>
      <c r="F26" s="28" t="n">
        <f aca="false">TC_s*E26*TC_m*TC_n*TC_b*SQRT(2*g_)*D26^1.5</f>
        <v>0</v>
      </c>
      <c r="G26" s="29" t="n">
        <f aca="false">MAX(A26-SC_Z,0)</f>
        <v>0.209999999999994</v>
      </c>
      <c r="H26" s="30" t="n">
        <f aca="false">1-0.2*(SC_xmb+(SC_n-1)*SC_xmt)*G26/(SC_n*SC_b)</f>
        <v>0.99412</v>
      </c>
      <c r="I26" s="31" t="n">
        <f aca="false">SC_s*H26*SC_m*SC_n*SC_b*SQRT(2*g_)*G26^1.5</f>
        <v>0.953454061060456</v>
      </c>
      <c r="J26" s="32" t="n">
        <f aca="false">F26+I26</f>
        <v>0.953454061060456</v>
      </c>
      <c r="K26" s="32" t="n">
        <f aca="false">F26</f>
        <v>0</v>
      </c>
      <c r="L26" s="32" t="n">
        <f aca="false">C26*1000000/dt_s+J26/2</f>
        <v>5113.73506036386</v>
      </c>
      <c r="M26" s="32" t="n">
        <f aca="false">C26*1000000/dt_s+K26/2</f>
        <v>5113.25833333333</v>
      </c>
    </row>
    <row r="27" customFormat="false" ht="15" hidden="false" customHeight="false" outlineLevel="0" collapsed="false">
      <c r="A27" s="24" t="n">
        <f aca="false">ROUND(A26+0.01,2)</f>
        <v>71.22</v>
      </c>
      <c r="B27" s="25" t="n">
        <f aca="false">INDEX(Bang_F,MATCH(A27,Bang_Z,1))+(A27-INDEX(Bang_Z,MATCH(A27,Bang_Z,1)))*(INDEX(Bang_F,MATCH(A27,Bang_Z,1)+1)-INDEX(Bang_F,MATCH(A27,Bang_Z,1)))</f>
        <v>4.082</v>
      </c>
      <c r="C27" s="25" t="n">
        <f aca="false">INDEX(Bang_W,MATCH(A27,Bang_Z,1))+(A27-INDEX(Bang_Z,MATCH(A27,Bang_Z,1)))*(INDEX(Bang_F,MATCH(A27,Bang_Z,1))+B27)/2</f>
        <v>18.44852</v>
      </c>
      <c r="D27" s="26" t="n">
        <f aca="false">MAX(A27-TC_Z,0)</f>
        <v>0</v>
      </c>
      <c r="E27" s="27" t="n">
        <f aca="false">1-0.2*(TC_xmb+(TC_n-1)*TC_xmt)*D27/(TC_n*TC_b)</f>
        <v>1</v>
      </c>
      <c r="F27" s="28" t="n">
        <f aca="false">TC_s*E27*TC_m*TC_n*TC_b*SQRT(2*g_)*D27^1.5</f>
        <v>0</v>
      </c>
      <c r="G27" s="29" t="n">
        <f aca="false">MAX(A27-SC_Z,0)</f>
        <v>0.219999999999999</v>
      </c>
      <c r="H27" s="30" t="n">
        <f aca="false">1-0.2*(SC_xmb+(SC_n-1)*SC_xmt)*G27/(SC_n*SC_b)</f>
        <v>0.99384</v>
      </c>
      <c r="I27" s="31" t="n">
        <f aca="false">SC_s*H27*SC_m*SC_n*SC_b*SQRT(2*g_)*G27^1.5</f>
        <v>1.02207440582304</v>
      </c>
      <c r="J27" s="32" t="n">
        <f aca="false">F27+I27</f>
        <v>1.02207440582304</v>
      </c>
      <c r="K27" s="32" t="n">
        <f aca="false">F27</f>
        <v>0</v>
      </c>
      <c r="L27" s="32" t="n">
        <f aca="false">C27*1000000/dt_s+J27/2</f>
        <v>5125.0999260918</v>
      </c>
      <c r="M27" s="32" t="n">
        <f aca="false">C27*1000000/dt_s+K27/2</f>
        <v>5124.58888888889</v>
      </c>
    </row>
    <row r="28" customFormat="false" ht="15" hidden="false" customHeight="false" outlineLevel="0" collapsed="false">
      <c r="A28" s="24" t="n">
        <f aca="false">ROUND(A27+0.01,2)</f>
        <v>71.23</v>
      </c>
      <c r="B28" s="25" t="n">
        <f aca="false">INDEX(Bang_F,MATCH(A28,Bang_Z,1))+(A28-INDEX(Bang_Z,MATCH(A28,Bang_Z,1)))*(INDEX(Bang_F,MATCH(A28,Bang_Z,1)+1)-INDEX(Bang_F,MATCH(A28,Bang_Z,1)))</f>
        <v>4.088</v>
      </c>
      <c r="C28" s="25" t="n">
        <f aca="false">INDEX(Bang_W,MATCH(A28,Bang_Z,1))+(A28-INDEX(Bang_Z,MATCH(A28,Bang_Z,1)))*(INDEX(Bang_F,MATCH(A28,Bang_Z,1))+B28)/2</f>
        <v>18.48937</v>
      </c>
      <c r="D28" s="26" t="n">
        <f aca="false">MAX(A28-TC_Z,0)</f>
        <v>0</v>
      </c>
      <c r="E28" s="27" t="n">
        <f aca="false">1-0.2*(TC_xmb+(TC_n-1)*TC_xmt)*D28/(TC_n*TC_b)</f>
        <v>1</v>
      </c>
      <c r="F28" s="28" t="n">
        <f aca="false">TC_s*E28*TC_m*TC_n*TC_b*SQRT(2*g_)*D28^1.5</f>
        <v>0</v>
      </c>
      <c r="G28" s="29" t="n">
        <f aca="false">MAX(A28-SC_Z,0)</f>
        <v>0.230000000000004</v>
      </c>
      <c r="H28" s="30" t="n">
        <f aca="false">1-0.2*(SC_xmb+(SC_n-1)*SC_xmt)*G28/(SC_n*SC_b)</f>
        <v>0.99356</v>
      </c>
      <c r="I28" s="31" t="n">
        <f aca="false">SC_s*H28*SC_m*SC_n*SC_b*SQRT(2*g_)*G28^1.5</f>
        <v>1.0922394850526</v>
      </c>
      <c r="J28" s="32" t="n">
        <f aca="false">F28+I28</f>
        <v>1.0922394850526</v>
      </c>
      <c r="K28" s="32" t="n">
        <f aca="false">F28</f>
        <v>0</v>
      </c>
      <c r="L28" s="32" t="n">
        <f aca="false">C28*1000000/dt_s+J28/2</f>
        <v>5136.48223085364</v>
      </c>
      <c r="M28" s="32" t="n">
        <f aca="false">C28*1000000/dt_s+K28/2</f>
        <v>5135.93611111112</v>
      </c>
    </row>
    <row r="29" customFormat="false" ht="15" hidden="false" customHeight="false" outlineLevel="0" collapsed="false">
      <c r="A29" s="24" t="n">
        <f aca="false">ROUND(A28+0.01,2)</f>
        <v>71.24</v>
      </c>
      <c r="B29" s="25" t="n">
        <f aca="false">INDEX(Bang_F,MATCH(A29,Bang_Z,1))+(A29-INDEX(Bang_Z,MATCH(A29,Bang_Z,1)))*(INDEX(Bang_F,MATCH(A29,Bang_Z,1)+1)-INDEX(Bang_F,MATCH(A29,Bang_Z,1)))</f>
        <v>4.094</v>
      </c>
      <c r="C29" s="25" t="n">
        <f aca="false">INDEX(Bang_W,MATCH(A29,Bang_Z,1))+(A29-INDEX(Bang_Z,MATCH(A29,Bang_Z,1)))*(INDEX(Bang_F,MATCH(A29,Bang_Z,1))+B29)/2</f>
        <v>18.53028</v>
      </c>
      <c r="D29" s="26" t="n">
        <f aca="false">MAX(A29-TC_Z,0)</f>
        <v>0</v>
      </c>
      <c r="E29" s="27" t="n">
        <f aca="false">1-0.2*(TC_xmb+(TC_n-1)*TC_xmt)*D29/(TC_n*TC_b)</f>
        <v>1</v>
      </c>
      <c r="F29" s="28" t="n">
        <f aca="false">TC_s*E29*TC_m*TC_n*TC_b*SQRT(2*g_)*D29^1.5</f>
        <v>0</v>
      </c>
      <c r="G29" s="29" t="n">
        <f aca="false">MAX(A29-SC_Z,0)</f>
        <v>0.239999999999995</v>
      </c>
      <c r="H29" s="30" t="n">
        <f aca="false">1-0.2*(SC_xmb+(SC_n-1)*SC_xmt)*G29/(SC_n*SC_b)</f>
        <v>0.99328</v>
      </c>
      <c r="I29" s="31" t="n">
        <f aca="false">SC_s*H29*SC_m*SC_n*SC_b*SQRT(2*g_)*G29^1.5</f>
        <v>1.16391314515094</v>
      </c>
      <c r="J29" s="32" t="n">
        <f aca="false">F29+I29</f>
        <v>1.16391314515094</v>
      </c>
      <c r="K29" s="32" t="n">
        <f aca="false">F29</f>
        <v>0</v>
      </c>
      <c r="L29" s="32" t="n">
        <f aca="false">C29*1000000/dt_s+J29/2</f>
        <v>5147.88195657257</v>
      </c>
      <c r="M29" s="32" t="n">
        <f aca="false">C29*1000000/dt_s+K29/2</f>
        <v>5147.3</v>
      </c>
    </row>
    <row r="30" customFormat="false" ht="15" hidden="false" customHeight="false" outlineLevel="0" collapsed="false">
      <c r="A30" s="24" t="n">
        <f aca="false">ROUND(A29+0.01,2)</f>
        <v>71.25</v>
      </c>
      <c r="B30" s="25" t="n">
        <f aca="false">INDEX(Bang_F,MATCH(A30,Bang_Z,1))+(A30-INDEX(Bang_Z,MATCH(A30,Bang_Z,1)))*(INDEX(Bang_F,MATCH(A30,Bang_Z,1)+1)-INDEX(Bang_F,MATCH(A30,Bang_Z,1)))</f>
        <v>4.1</v>
      </c>
      <c r="C30" s="25" t="n">
        <f aca="false">INDEX(Bang_W,MATCH(A30,Bang_Z,1))+(A30-INDEX(Bang_Z,MATCH(A30,Bang_Z,1)))*(INDEX(Bang_F,MATCH(A30,Bang_Z,1))+B30)/2</f>
        <v>18.57125</v>
      </c>
      <c r="D30" s="26" t="n">
        <f aca="false">MAX(A30-TC_Z,0)</f>
        <v>0</v>
      </c>
      <c r="E30" s="27" t="n">
        <f aca="false">1-0.2*(TC_xmb+(TC_n-1)*TC_xmt)*D30/(TC_n*TC_b)</f>
        <v>1</v>
      </c>
      <c r="F30" s="28" t="n">
        <f aca="false">TC_s*E30*TC_m*TC_n*TC_b*SQRT(2*g_)*D30^1.5</f>
        <v>0</v>
      </c>
      <c r="G30" s="29" t="n">
        <f aca="false">MAX(A30-SC_Z,0)</f>
        <v>0.25</v>
      </c>
      <c r="H30" s="30" t="n">
        <f aca="false">1-0.2*(SC_xmb+(SC_n-1)*SC_xmt)*G30/(SC_n*SC_b)</f>
        <v>0.993</v>
      </c>
      <c r="I30" s="31" t="n">
        <f aca="false">SC_s*H30*SC_m*SC_n*SC_b*SQRT(2*g_)*G30^1.5</f>
        <v>1.23706147208724</v>
      </c>
      <c r="J30" s="32" t="n">
        <f aca="false">F30+I30</f>
        <v>1.23706147208724</v>
      </c>
      <c r="K30" s="32" t="n">
        <f aca="false">F30</f>
        <v>0</v>
      </c>
      <c r="L30" s="32" t="n">
        <f aca="false">C30*1000000/dt_s+J30/2</f>
        <v>5159.2990862916</v>
      </c>
      <c r="M30" s="32" t="n">
        <f aca="false">C30*1000000/dt_s+K30/2</f>
        <v>5158.68055555556</v>
      </c>
    </row>
    <row r="31" customFormat="false" ht="15" hidden="false" customHeight="false" outlineLevel="0" collapsed="false">
      <c r="A31" s="24" t="n">
        <f aca="false">ROUND(A30+0.01,2)</f>
        <v>71.26</v>
      </c>
      <c r="B31" s="25" t="n">
        <f aca="false">INDEX(Bang_F,MATCH(A31,Bang_Z,1))+(A31-INDEX(Bang_Z,MATCH(A31,Bang_Z,1)))*(INDEX(Bang_F,MATCH(A31,Bang_Z,1)+1)-INDEX(Bang_F,MATCH(A31,Bang_Z,1)))</f>
        <v>4.106</v>
      </c>
      <c r="C31" s="25" t="n">
        <f aca="false">INDEX(Bang_W,MATCH(A31,Bang_Z,1))+(A31-INDEX(Bang_Z,MATCH(A31,Bang_Z,1)))*(INDEX(Bang_F,MATCH(A31,Bang_Z,1))+B31)/2</f>
        <v>18.61228</v>
      </c>
      <c r="D31" s="26" t="n">
        <f aca="false">MAX(A31-TC_Z,0)</f>
        <v>0</v>
      </c>
      <c r="E31" s="27" t="n">
        <f aca="false">1-0.2*(TC_xmb+(TC_n-1)*TC_xmt)*D31/(TC_n*TC_b)</f>
        <v>1</v>
      </c>
      <c r="F31" s="28" t="n">
        <f aca="false">TC_s*E31*TC_m*TC_n*TC_b*SQRT(2*g_)*D31^1.5</f>
        <v>0</v>
      </c>
      <c r="G31" s="29" t="n">
        <f aca="false">MAX(A31-SC_Z,0)</f>
        <v>0.260000000000005</v>
      </c>
      <c r="H31" s="30" t="n">
        <f aca="false">1-0.2*(SC_xmb+(SC_n-1)*SC_xmt)*G31/(SC_n*SC_b)</f>
        <v>0.99272</v>
      </c>
      <c r="I31" s="31" t="n">
        <f aca="false">SC_s*H31*SC_m*SC_n*SC_b*SQRT(2*g_)*G31^1.5</f>
        <v>1.31165256582477</v>
      </c>
      <c r="J31" s="32" t="n">
        <f aca="false">F31+I31</f>
        <v>1.31165256582477</v>
      </c>
      <c r="K31" s="32" t="n">
        <f aca="false">F31</f>
        <v>0</v>
      </c>
      <c r="L31" s="32" t="n">
        <f aca="false">C31*1000000/dt_s+J31/2</f>
        <v>5170.7336040607</v>
      </c>
      <c r="M31" s="32" t="n">
        <f aca="false">C31*1000000/dt_s+K31/2</f>
        <v>5170.07777777778</v>
      </c>
    </row>
    <row r="32" customFormat="false" ht="15" hidden="false" customHeight="false" outlineLevel="0" collapsed="false">
      <c r="A32" s="24" t="n">
        <f aca="false">ROUND(A31+0.01,2)</f>
        <v>71.27</v>
      </c>
      <c r="B32" s="25" t="n">
        <f aca="false">INDEX(Bang_F,MATCH(A32,Bang_Z,1))+(A32-INDEX(Bang_Z,MATCH(A32,Bang_Z,1)))*(INDEX(Bang_F,MATCH(A32,Bang_Z,1)+1)-INDEX(Bang_F,MATCH(A32,Bang_Z,1)))</f>
        <v>4.112</v>
      </c>
      <c r="C32" s="25" t="n">
        <f aca="false">INDEX(Bang_W,MATCH(A32,Bang_Z,1))+(A32-INDEX(Bang_Z,MATCH(A32,Bang_Z,1)))*(INDEX(Bang_F,MATCH(A32,Bang_Z,1))+B32)/2</f>
        <v>18.65337</v>
      </c>
      <c r="D32" s="26" t="n">
        <f aca="false">MAX(A32-TC_Z,0)</f>
        <v>0</v>
      </c>
      <c r="E32" s="27" t="n">
        <f aca="false">1-0.2*(TC_xmb+(TC_n-1)*TC_xmt)*D32/(TC_n*TC_b)</f>
        <v>1</v>
      </c>
      <c r="F32" s="28" t="n">
        <f aca="false">TC_s*E32*TC_m*TC_n*TC_b*SQRT(2*g_)*D32^1.5</f>
        <v>0</v>
      </c>
      <c r="G32" s="29" t="n">
        <f aca="false">MAX(A32-SC_Z,0)</f>
        <v>0.269999999999996</v>
      </c>
      <c r="H32" s="30" t="n">
        <f aca="false">1-0.2*(SC_xmb+(SC_n-1)*SC_xmt)*G32/(SC_n*SC_b)</f>
        <v>0.99244</v>
      </c>
      <c r="I32" s="31" t="n">
        <f aca="false">SC_s*H32*SC_m*SC_n*SC_b*SQRT(2*g_)*G32^1.5</f>
        <v>1.38765634540117</v>
      </c>
      <c r="J32" s="32" t="n">
        <f aca="false">F32+I32</f>
        <v>1.38765634540117</v>
      </c>
      <c r="K32" s="32" t="n">
        <f aca="false">F32</f>
        <v>0</v>
      </c>
      <c r="L32" s="32" t="n">
        <f aca="false">C32*1000000/dt_s+J32/2</f>
        <v>5182.18549483936</v>
      </c>
      <c r="M32" s="32" t="n">
        <f aca="false">C32*1000000/dt_s+K32/2</f>
        <v>5181.49166666666</v>
      </c>
    </row>
    <row r="33" customFormat="false" ht="15" hidden="false" customHeight="false" outlineLevel="0" collapsed="false">
      <c r="A33" s="24" t="n">
        <f aca="false">ROUND(A32+0.01,2)</f>
        <v>71.28</v>
      </c>
      <c r="B33" s="25" t="n">
        <f aca="false">INDEX(Bang_F,MATCH(A33,Bang_Z,1))+(A33-INDEX(Bang_Z,MATCH(A33,Bang_Z,1)))*(INDEX(Bang_F,MATCH(A33,Bang_Z,1)+1)-INDEX(Bang_F,MATCH(A33,Bang_Z,1)))</f>
        <v>4.118</v>
      </c>
      <c r="C33" s="25" t="n">
        <f aca="false">INDEX(Bang_W,MATCH(A33,Bang_Z,1))+(A33-INDEX(Bang_Z,MATCH(A33,Bang_Z,1)))*(INDEX(Bang_F,MATCH(A33,Bang_Z,1))+B33)/2</f>
        <v>18.69452</v>
      </c>
      <c r="D33" s="26" t="n">
        <f aca="false">MAX(A33-TC_Z,0)</f>
        <v>0</v>
      </c>
      <c r="E33" s="27" t="n">
        <f aca="false">1-0.2*(TC_xmb+(TC_n-1)*TC_xmt)*D33/(TC_n*TC_b)</f>
        <v>1</v>
      </c>
      <c r="F33" s="28" t="n">
        <f aca="false">TC_s*E33*TC_m*TC_n*TC_b*SQRT(2*g_)*D33^1.5</f>
        <v>0</v>
      </c>
      <c r="G33" s="29" t="n">
        <f aca="false">MAX(A33-SC_Z,0)</f>
        <v>0.280000000000001</v>
      </c>
      <c r="H33" s="30" t="n">
        <f aca="false">1-0.2*(SC_xmb+(SC_n-1)*SC_xmt)*G33/(SC_n*SC_b)</f>
        <v>0.99216</v>
      </c>
      <c r="I33" s="31" t="n">
        <f aca="false">SC_s*H33*SC_m*SC_n*SC_b*SQRT(2*g_)*G33^1.5</f>
        <v>1.46504437950114</v>
      </c>
      <c r="J33" s="32" t="n">
        <f aca="false">F33+I33</f>
        <v>1.46504437950114</v>
      </c>
      <c r="K33" s="32" t="n">
        <f aca="false">F33</f>
        <v>0</v>
      </c>
      <c r="L33" s="32" t="n">
        <f aca="false">C33*1000000/dt_s+J33/2</f>
        <v>5193.65474441197</v>
      </c>
      <c r="M33" s="32" t="n">
        <f aca="false">C33*1000000/dt_s+K33/2</f>
        <v>5192.92222222222</v>
      </c>
    </row>
    <row r="34" customFormat="false" ht="15" hidden="false" customHeight="false" outlineLevel="0" collapsed="false">
      <c r="A34" s="24" t="n">
        <f aca="false">ROUND(A33+0.01,2)</f>
        <v>71.29</v>
      </c>
      <c r="B34" s="25" t="n">
        <f aca="false">INDEX(Bang_F,MATCH(A34,Bang_Z,1))+(A34-INDEX(Bang_Z,MATCH(A34,Bang_Z,1)))*(INDEX(Bang_F,MATCH(A34,Bang_Z,1)+1)-INDEX(Bang_F,MATCH(A34,Bang_Z,1)))</f>
        <v>4.124</v>
      </c>
      <c r="C34" s="25" t="n">
        <f aca="false">INDEX(Bang_W,MATCH(A34,Bang_Z,1))+(A34-INDEX(Bang_Z,MATCH(A34,Bang_Z,1)))*(INDEX(Bang_F,MATCH(A34,Bang_Z,1))+B34)/2</f>
        <v>18.73573</v>
      </c>
      <c r="D34" s="26" t="n">
        <f aca="false">MAX(A34-TC_Z,0)</f>
        <v>0</v>
      </c>
      <c r="E34" s="27" t="n">
        <f aca="false">1-0.2*(TC_xmb+(TC_n-1)*TC_xmt)*D34/(TC_n*TC_b)</f>
        <v>1</v>
      </c>
      <c r="F34" s="28" t="n">
        <f aca="false">TC_s*E34*TC_m*TC_n*TC_b*SQRT(2*g_)*D34^1.5</f>
        <v>0</v>
      </c>
      <c r="G34" s="29" t="n">
        <f aca="false">MAX(A34-SC_Z,0)</f>
        <v>0.290000000000006</v>
      </c>
      <c r="H34" s="30" t="n">
        <f aca="false">1-0.2*(SC_xmb+(SC_n-1)*SC_xmt)*G34/(SC_n*SC_b)</f>
        <v>0.99188</v>
      </c>
      <c r="I34" s="31" t="n">
        <f aca="false">SC_s*H34*SC_m*SC_n*SC_b*SQRT(2*g_)*G34^1.5</f>
        <v>1.54378973838399</v>
      </c>
      <c r="J34" s="32" t="n">
        <f aca="false">F34+I34</f>
        <v>1.54378973838399</v>
      </c>
      <c r="K34" s="32" t="n">
        <f aca="false">F34</f>
        <v>0</v>
      </c>
      <c r="L34" s="32" t="n">
        <f aca="false">C34*1000000/dt_s+J34/2</f>
        <v>5205.14133931364</v>
      </c>
      <c r="M34" s="32" t="n">
        <f aca="false">C34*1000000/dt_s+K34/2</f>
        <v>5204.36944444445</v>
      </c>
    </row>
    <row r="35" customFormat="false" ht="15" hidden="false" customHeight="false" outlineLevel="0" collapsed="false">
      <c r="A35" s="24" t="n">
        <f aca="false">ROUND(A34+0.01,2)</f>
        <v>71.3</v>
      </c>
      <c r="B35" s="25" t="n">
        <f aca="false">INDEX(Bang_F,MATCH(A35,Bang_Z,1))+(A35-INDEX(Bang_Z,MATCH(A35,Bang_Z,1)))*(INDEX(Bang_F,MATCH(A35,Bang_Z,1)+1)-INDEX(Bang_F,MATCH(A35,Bang_Z,1)))</f>
        <v>4.13</v>
      </c>
      <c r="C35" s="25" t="n">
        <f aca="false">INDEX(Bang_W,MATCH(A35,Bang_Z,1))+(A35-INDEX(Bang_Z,MATCH(A35,Bang_Z,1)))*(INDEX(Bang_F,MATCH(A35,Bang_Z,1))+B35)/2</f>
        <v>18.777</v>
      </c>
      <c r="D35" s="26" t="n">
        <f aca="false">MAX(A35-TC_Z,0)</f>
        <v>0</v>
      </c>
      <c r="E35" s="27" t="n">
        <f aca="false">1-0.2*(TC_xmb+(TC_n-1)*TC_xmt)*D35/(TC_n*TC_b)</f>
        <v>1</v>
      </c>
      <c r="F35" s="28" t="n">
        <f aca="false">TC_s*E35*TC_m*TC_n*TC_b*SQRT(2*g_)*D35^1.5</f>
        <v>0</v>
      </c>
      <c r="G35" s="29" t="n">
        <f aca="false">MAX(A35-SC_Z,0)</f>
        <v>0.299999999999997</v>
      </c>
      <c r="H35" s="30" t="n">
        <f aca="false">1-0.2*(SC_xmb+(SC_n-1)*SC_xmt)*G35/(SC_n*SC_b)</f>
        <v>0.9916</v>
      </c>
      <c r="I35" s="31" t="n">
        <f aca="false">SC_s*H35*SC_m*SC_n*SC_b*SQRT(2*g_)*G35^1.5</f>
        <v>1.62386686382392</v>
      </c>
      <c r="J35" s="32" t="n">
        <f aca="false">F35+I35</f>
        <v>1.62386686382392</v>
      </c>
      <c r="K35" s="32" t="n">
        <f aca="false">F35</f>
        <v>0</v>
      </c>
      <c r="L35" s="32" t="n">
        <f aca="false">C35*1000000/dt_s+J35/2</f>
        <v>5216.64526676524</v>
      </c>
      <c r="M35" s="32" t="n">
        <f aca="false">C35*1000000/dt_s+K35/2</f>
        <v>5215.83333333333</v>
      </c>
    </row>
    <row r="36" customFormat="false" ht="15" hidden="false" customHeight="false" outlineLevel="0" collapsed="false">
      <c r="A36" s="24" t="n">
        <f aca="false">ROUND(A35+0.01,2)</f>
        <v>71.31</v>
      </c>
      <c r="B36" s="25" t="n">
        <f aca="false">INDEX(Bang_F,MATCH(A36,Bang_Z,1))+(A36-INDEX(Bang_Z,MATCH(A36,Bang_Z,1)))*(INDEX(Bang_F,MATCH(A36,Bang_Z,1)+1)-INDEX(Bang_F,MATCH(A36,Bang_Z,1)))</f>
        <v>4.136</v>
      </c>
      <c r="C36" s="25" t="n">
        <f aca="false">INDEX(Bang_W,MATCH(A36,Bang_Z,1))+(A36-INDEX(Bang_Z,MATCH(A36,Bang_Z,1)))*(INDEX(Bang_F,MATCH(A36,Bang_Z,1))+B36)/2</f>
        <v>18.81833</v>
      </c>
      <c r="D36" s="26" t="n">
        <f aca="false">MAX(A36-TC_Z,0)</f>
        <v>0</v>
      </c>
      <c r="E36" s="27" t="n">
        <f aca="false">1-0.2*(TC_xmb+(TC_n-1)*TC_xmt)*D36/(TC_n*TC_b)</f>
        <v>1</v>
      </c>
      <c r="F36" s="28" t="n">
        <f aca="false">TC_s*E36*TC_m*TC_n*TC_b*SQRT(2*g_)*D36^1.5</f>
        <v>0</v>
      </c>
      <c r="G36" s="29" t="n">
        <f aca="false">MAX(A36-SC_Z,0)</f>
        <v>0.310000000000002</v>
      </c>
      <c r="H36" s="30" t="n">
        <f aca="false">1-0.2*(SC_xmb+(SC_n-1)*SC_xmt)*G36/(SC_n*SC_b)</f>
        <v>0.99132</v>
      </c>
      <c r="I36" s="31" t="n">
        <f aca="false">SC_s*H36*SC_m*SC_n*SC_b*SQRT(2*g_)*G36^1.5</f>
        <v>1.70525145433692</v>
      </c>
      <c r="J36" s="32" t="n">
        <f aca="false">F36+I36</f>
        <v>1.70525145433692</v>
      </c>
      <c r="K36" s="32" t="n">
        <f aca="false">F36</f>
        <v>0</v>
      </c>
      <c r="L36" s="32" t="n">
        <f aca="false">C36*1000000/dt_s+J36/2</f>
        <v>5228.16651461606</v>
      </c>
      <c r="M36" s="32" t="n">
        <f aca="false">C36*1000000/dt_s+K36/2</f>
        <v>5227.31388888889</v>
      </c>
    </row>
    <row r="37" customFormat="false" ht="15" hidden="false" customHeight="false" outlineLevel="0" collapsed="false">
      <c r="A37" s="24" t="n">
        <f aca="false">ROUND(A36+0.01,2)</f>
        <v>71.32</v>
      </c>
      <c r="B37" s="25" t="n">
        <f aca="false">INDEX(Bang_F,MATCH(A37,Bang_Z,1))+(A37-INDEX(Bang_Z,MATCH(A37,Bang_Z,1)))*(INDEX(Bang_F,MATCH(A37,Bang_Z,1)+1)-INDEX(Bang_F,MATCH(A37,Bang_Z,1)))</f>
        <v>4.142</v>
      </c>
      <c r="C37" s="25" t="n">
        <f aca="false">INDEX(Bang_W,MATCH(A37,Bang_Z,1))+(A37-INDEX(Bang_Z,MATCH(A37,Bang_Z,1)))*(INDEX(Bang_F,MATCH(A37,Bang_Z,1))+B37)/2</f>
        <v>18.85972</v>
      </c>
      <c r="D37" s="26" t="n">
        <f aca="false">MAX(A37-TC_Z,0)</f>
        <v>0</v>
      </c>
      <c r="E37" s="27" t="n">
        <f aca="false">1-0.2*(TC_xmb+(TC_n-1)*TC_xmt)*D37/(TC_n*TC_b)</f>
        <v>1</v>
      </c>
      <c r="F37" s="28" t="n">
        <f aca="false">TC_s*E37*TC_m*TC_n*TC_b*SQRT(2*g_)*D37^1.5</f>
        <v>0</v>
      </c>
      <c r="G37" s="29" t="n">
        <f aca="false">MAX(A37-SC_Z,0)</f>
        <v>0.319999999999993</v>
      </c>
      <c r="H37" s="30" t="n">
        <f aca="false">1-0.2*(SC_xmb+(SC_n-1)*SC_xmt)*G37/(SC_n*SC_b)</f>
        <v>0.99104</v>
      </c>
      <c r="I37" s="31" t="n">
        <f aca="false">SC_s*H37*SC_m*SC_n*SC_b*SQRT(2*g_)*G37^1.5</f>
        <v>1.78792036345562</v>
      </c>
      <c r="J37" s="32" t="n">
        <f aca="false">F37+I37</f>
        <v>1.78792036345562</v>
      </c>
      <c r="K37" s="32" t="n">
        <f aca="false">F37</f>
        <v>0</v>
      </c>
      <c r="L37" s="32" t="n">
        <f aca="false">C37*1000000/dt_s+J37/2</f>
        <v>5239.70507129283</v>
      </c>
      <c r="M37" s="32" t="n">
        <f aca="false">C37*1000000/dt_s+K37/2</f>
        <v>5238.8111111111</v>
      </c>
    </row>
    <row r="38" customFormat="false" ht="15" hidden="false" customHeight="false" outlineLevel="0" collapsed="false">
      <c r="A38" s="24" t="n">
        <f aca="false">ROUND(A37+0.01,2)</f>
        <v>71.33</v>
      </c>
      <c r="B38" s="25" t="n">
        <f aca="false">INDEX(Bang_F,MATCH(A38,Bang_Z,1))+(A38-INDEX(Bang_Z,MATCH(A38,Bang_Z,1)))*(INDEX(Bang_F,MATCH(A38,Bang_Z,1)+1)-INDEX(Bang_F,MATCH(A38,Bang_Z,1)))</f>
        <v>4.148</v>
      </c>
      <c r="C38" s="25" t="n">
        <f aca="false">INDEX(Bang_W,MATCH(A38,Bang_Z,1))+(A38-INDEX(Bang_Z,MATCH(A38,Bang_Z,1)))*(INDEX(Bang_F,MATCH(A38,Bang_Z,1))+B38)/2</f>
        <v>18.90117</v>
      </c>
      <c r="D38" s="26" t="n">
        <f aca="false">MAX(A38-TC_Z,0)</f>
        <v>0</v>
      </c>
      <c r="E38" s="27" t="n">
        <f aca="false">1-0.2*(TC_xmb+(TC_n-1)*TC_xmt)*D38/(TC_n*TC_b)</f>
        <v>1</v>
      </c>
      <c r="F38" s="28" t="n">
        <f aca="false">TC_s*E38*TC_m*TC_n*TC_b*SQRT(2*g_)*D38^1.5</f>
        <v>0</v>
      </c>
      <c r="G38" s="29" t="n">
        <f aca="false">MAX(A38-SC_Z,0)</f>
        <v>0.329999999999998</v>
      </c>
      <c r="H38" s="30" t="n">
        <f aca="false">1-0.2*(SC_xmb+(SC_n-1)*SC_xmt)*G38/(SC_n*SC_b)</f>
        <v>0.99076</v>
      </c>
      <c r="I38" s="31" t="n">
        <f aca="false">SC_s*H38*SC_m*SC_n*SC_b*SQRT(2*g_)*G38^1.5</f>
        <v>1.87185150920543</v>
      </c>
      <c r="J38" s="32" t="n">
        <f aca="false">F38+I38</f>
        <v>1.87185150920543</v>
      </c>
      <c r="K38" s="32" t="n">
        <f aca="false">F38</f>
        <v>0</v>
      </c>
      <c r="L38" s="32" t="n">
        <f aca="false">C38*1000000/dt_s+J38/2</f>
        <v>5251.2609257546</v>
      </c>
      <c r="M38" s="32" t="n">
        <f aca="false">C38*1000000/dt_s+K38/2</f>
        <v>5250.325</v>
      </c>
    </row>
    <row r="39" customFormat="false" ht="15" hidden="false" customHeight="false" outlineLevel="0" collapsed="false">
      <c r="A39" s="24" t="n">
        <f aca="false">ROUND(A38+0.01,2)</f>
        <v>71.34</v>
      </c>
      <c r="B39" s="25" t="n">
        <f aca="false">INDEX(Bang_F,MATCH(A39,Bang_Z,1))+(A39-INDEX(Bang_Z,MATCH(A39,Bang_Z,1)))*(INDEX(Bang_F,MATCH(A39,Bang_Z,1)+1)-INDEX(Bang_F,MATCH(A39,Bang_Z,1)))</f>
        <v>4.154</v>
      </c>
      <c r="C39" s="25" t="n">
        <f aca="false">INDEX(Bang_W,MATCH(A39,Bang_Z,1))+(A39-INDEX(Bang_Z,MATCH(A39,Bang_Z,1)))*(INDEX(Bang_F,MATCH(A39,Bang_Z,1))+B39)/2</f>
        <v>18.94268</v>
      </c>
      <c r="D39" s="26" t="n">
        <f aca="false">MAX(A39-TC_Z,0)</f>
        <v>0</v>
      </c>
      <c r="E39" s="27" t="n">
        <f aca="false">1-0.2*(TC_xmb+(TC_n-1)*TC_xmt)*D39/(TC_n*TC_b)</f>
        <v>1</v>
      </c>
      <c r="F39" s="28" t="n">
        <f aca="false">TC_s*E39*TC_m*TC_n*TC_b*SQRT(2*g_)*D39^1.5</f>
        <v>0</v>
      </c>
      <c r="G39" s="29" t="n">
        <f aca="false">MAX(A39-SC_Z,0)</f>
        <v>0.340000000000003</v>
      </c>
      <c r="H39" s="30" t="n">
        <f aca="false">1-0.2*(SC_xmb+(SC_n-1)*SC_xmt)*G39/(SC_n*SC_b)</f>
        <v>0.99048</v>
      </c>
      <c r="I39" s="31" t="n">
        <f aca="false">SC_s*H39*SC_m*SC_n*SC_b*SQRT(2*g_)*G39^1.5</f>
        <v>1.95702379323991</v>
      </c>
      <c r="J39" s="32" t="n">
        <f aca="false">F39+I39</f>
        <v>1.95702379323991</v>
      </c>
      <c r="K39" s="32" t="n">
        <f aca="false">F39</f>
        <v>0</v>
      </c>
      <c r="L39" s="32" t="n">
        <f aca="false">C39*1000000/dt_s+J39/2</f>
        <v>5262.83406745218</v>
      </c>
      <c r="M39" s="32" t="n">
        <f aca="false">C39*1000000/dt_s+K39/2</f>
        <v>5261.85555555556</v>
      </c>
    </row>
    <row r="40" customFormat="false" ht="15" hidden="false" customHeight="false" outlineLevel="0" collapsed="false">
      <c r="A40" s="24" t="n">
        <f aca="false">ROUND(A39+0.01,2)</f>
        <v>71.35</v>
      </c>
      <c r="B40" s="25" t="n">
        <f aca="false">INDEX(Bang_F,MATCH(A40,Bang_Z,1))+(A40-INDEX(Bang_Z,MATCH(A40,Bang_Z,1)))*(INDEX(Bang_F,MATCH(A40,Bang_Z,1)+1)-INDEX(Bang_F,MATCH(A40,Bang_Z,1)))</f>
        <v>4.16</v>
      </c>
      <c r="C40" s="25" t="n">
        <f aca="false">INDEX(Bang_W,MATCH(A40,Bang_Z,1))+(A40-INDEX(Bang_Z,MATCH(A40,Bang_Z,1)))*(INDEX(Bang_F,MATCH(A40,Bang_Z,1))+B40)/2</f>
        <v>18.98425</v>
      </c>
      <c r="D40" s="26" t="n">
        <f aca="false">MAX(A40-TC_Z,0)</f>
        <v>0</v>
      </c>
      <c r="E40" s="27" t="n">
        <f aca="false">1-0.2*(TC_xmb+(TC_n-1)*TC_xmt)*D40/(TC_n*TC_b)</f>
        <v>1</v>
      </c>
      <c r="F40" s="28" t="n">
        <f aca="false">TC_s*E40*TC_m*TC_n*TC_b*SQRT(2*g_)*D40^1.5</f>
        <v>0</v>
      </c>
      <c r="G40" s="29" t="n">
        <f aca="false">MAX(A40-SC_Z,0)</f>
        <v>0.349999999999994</v>
      </c>
      <c r="H40" s="30" t="n">
        <f aca="false">1-0.2*(SC_xmb+(SC_n-1)*SC_xmt)*G40/(SC_n*SC_b)</f>
        <v>0.9902</v>
      </c>
      <c r="I40" s="31" t="n">
        <f aca="false">SC_s*H40*SC_m*SC_n*SC_b*SQRT(2*g_)*G40^1.5</f>
        <v>2.04341702835026</v>
      </c>
      <c r="J40" s="32" t="n">
        <f aca="false">F40+I40</f>
        <v>2.04341702835026</v>
      </c>
      <c r="K40" s="32" t="n">
        <f aca="false">F40</f>
        <v>0</v>
      </c>
      <c r="L40" s="32" t="n">
        <f aca="false">C40*1000000/dt_s+J40/2</f>
        <v>5274.42448629195</v>
      </c>
      <c r="M40" s="32" t="n">
        <f aca="false">C40*1000000/dt_s+K40/2</f>
        <v>5273.40277777777</v>
      </c>
    </row>
    <row r="41" customFormat="false" ht="15" hidden="false" customHeight="false" outlineLevel="0" collapsed="false">
      <c r="A41" s="24" t="n">
        <f aca="false">ROUND(A40+0.01,2)</f>
        <v>71.36</v>
      </c>
      <c r="B41" s="25" t="n">
        <f aca="false">INDEX(Bang_F,MATCH(A41,Bang_Z,1))+(A41-INDEX(Bang_Z,MATCH(A41,Bang_Z,1)))*(INDEX(Bang_F,MATCH(A41,Bang_Z,1)+1)-INDEX(Bang_F,MATCH(A41,Bang_Z,1)))</f>
        <v>4.166</v>
      </c>
      <c r="C41" s="25" t="n">
        <f aca="false">INDEX(Bang_W,MATCH(A41,Bang_Z,1))+(A41-INDEX(Bang_Z,MATCH(A41,Bang_Z,1)))*(INDEX(Bang_F,MATCH(A41,Bang_Z,1))+B41)/2</f>
        <v>19.02588</v>
      </c>
      <c r="D41" s="26" t="n">
        <f aca="false">MAX(A41-TC_Z,0)</f>
        <v>0</v>
      </c>
      <c r="E41" s="27" t="n">
        <f aca="false">1-0.2*(TC_xmb+(TC_n-1)*TC_xmt)*D41/(TC_n*TC_b)</f>
        <v>1</v>
      </c>
      <c r="F41" s="28" t="n">
        <f aca="false">TC_s*E41*TC_m*TC_n*TC_b*SQRT(2*g_)*D41^1.5</f>
        <v>0</v>
      </c>
      <c r="G41" s="29" t="n">
        <f aca="false">MAX(A41-SC_Z,0)</f>
        <v>0.359999999999999</v>
      </c>
      <c r="H41" s="30" t="n">
        <f aca="false">1-0.2*(SC_xmb+(SC_n-1)*SC_xmt)*G41/(SC_n*SC_b)</f>
        <v>0.98992</v>
      </c>
      <c r="I41" s="31" t="n">
        <f aca="false">SC_s*H41*SC_m*SC_n*SC_b*SQRT(2*g_)*G41^1.5</f>
        <v>2.13101187326403</v>
      </c>
      <c r="J41" s="32" t="n">
        <f aca="false">F41+I41</f>
        <v>2.13101187326403</v>
      </c>
      <c r="K41" s="32" t="n">
        <f aca="false">F41</f>
        <v>0</v>
      </c>
      <c r="L41" s="32" t="n">
        <f aca="false">C41*1000000/dt_s+J41/2</f>
        <v>5286.0321726033</v>
      </c>
      <c r="M41" s="32" t="n">
        <f aca="false">C41*1000000/dt_s+K41/2</f>
        <v>5284.96666666667</v>
      </c>
    </row>
    <row r="42" customFormat="false" ht="15" hidden="false" customHeight="false" outlineLevel="0" collapsed="false">
      <c r="A42" s="24" t="n">
        <f aca="false">ROUND(A41+0.01,2)</f>
        <v>71.37</v>
      </c>
      <c r="B42" s="25" t="n">
        <f aca="false">INDEX(Bang_F,MATCH(A42,Bang_Z,1))+(A42-INDEX(Bang_Z,MATCH(A42,Bang_Z,1)))*(INDEX(Bang_F,MATCH(A42,Bang_Z,1)+1)-INDEX(Bang_F,MATCH(A42,Bang_Z,1)))</f>
        <v>4.172</v>
      </c>
      <c r="C42" s="25" t="n">
        <f aca="false">INDEX(Bang_W,MATCH(A42,Bang_Z,1))+(A42-INDEX(Bang_Z,MATCH(A42,Bang_Z,1)))*(INDEX(Bang_F,MATCH(A42,Bang_Z,1))+B42)/2</f>
        <v>19.06757</v>
      </c>
      <c r="D42" s="26" t="n">
        <f aca="false">MAX(A42-TC_Z,0)</f>
        <v>0</v>
      </c>
      <c r="E42" s="27" t="n">
        <f aca="false">1-0.2*(TC_xmb+(TC_n-1)*TC_xmt)*D42/(TC_n*TC_b)</f>
        <v>1</v>
      </c>
      <c r="F42" s="28" t="n">
        <f aca="false">TC_s*E42*TC_m*TC_n*TC_b*SQRT(2*g_)*D42^1.5</f>
        <v>0</v>
      </c>
      <c r="G42" s="29" t="n">
        <f aca="false">MAX(A42-SC_Z,0)</f>
        <v>0.370000000000005</v>
      </c>
      <c r="H42" s="30" t="n">
        <f aca="false">1-0.2*(SC_xmb+(SC_n-1)*SC_xmt)*G42/(SC_n*SC_b)</f>
        <v>0.98964</v>
      </c>
      <c r="I42" s="31" t="n">
        <f aca="false">SC_s*H42*SC_m*SC_n*SC_b*SQRT(2*g_)*G42^1.5</f>
        <v>2.2197897738146</v>
      </c>
      <c r="J42" s="32" t="n">
        <f aca="false">F42+I42</f>
        <v>2.2197897738146</v>
      </c>
      <c r="K42" s="32" t="n">
        <f aca="false">F42</f>
        <v>0</v>
      </c>
      <c r="L42" s="32" t="n">
        <f aca="false">C42*1000000/dt_s+J42/2</f>
        <v>5297.65711710914</v>
      </c>
      <c r="M42" s="32" t="n">
        <f aca="false">C42*1000000/dt_s+K42/2</f>
        <v>5296.54722222223</v>
      </c>
    </row>
    <row r="43" customFormat="false" ht="15" hidden="false" customHeight="false" outlineLevel="0" collapsed="false">
      <c r="A43" s="24" t="n">
        <f aca="false">ROUND(A42+0.01,2)</f>
        <v>71.38</v>
      </c>
      <c r="B43" s="25" t="n">
        <f aca="false">INDEX(Bang_F,MATCH(A43,Bang_Z,1))+(A43-INDEX(Bang_Z,MATCH(A43,Bang_Z,1)))*(INDEX(Bang_F,MATCH(A43,Bang_Z,1)+1)-INDEX(Bang_F,MATCH(A43,Bang_Z,1)))</f>
        <v>4.178</v>
      </c>
      <c r="C43" s="25" t="n">
        <f aca="false">INDEX(Bang_W,MATCH(A43,Bang_Z,1))+(A43-INDEX(Bang_Z,MATCH(A43,Bang_Z,1)))*(INDEX(Bang_F,MATCH(A43,Bang_Z,1))+B43)/2</f>
        <v>19.10932</v>
      </c>
      <c r="D43" s="26" t="n">
        <f aca="false">MAX(A43-TC_Z,0)</f>
        <v>0</v>
      </c>
      <c r="E43" s="27" t="n">
        <f aca="false">1-0.2*(TC_xmb+(TC_n-1)*TC_xmt)*D43/(TC_n*TC_b)</f>
        <v>1</v>
      </c>
      <c r="F43" s="28" t="n">
        <f aca="false">TC_s*E43*TC_m*TC_n*TC_b*SQRT(2*g_)*D43^1.5</f>
        <v>0</v>
      </c>
      <c r="G43" s="29" t="n">
        <f aca="false">MAX(A43-SC_Z,0)</f>
        <v>0.379999999999995</v>
      </c>
      <c r="H43" s="30" t="n">
        <f aca="false">1-0.2*(SC_xmb+(SC_n-1)*SC_xmt)*G43/(SC_n*SC_b)</f>
        <v>0.98936</v>
      </c>
      <c r="I43" s="31" t="n">
        <f aca="false">SC_s*H43*SC_m*SC_n*SC_b*SQRT(2*g_)*G43^1.5</f>
        <v>2.309732909704</v>
      </c>
      <c r="J43" s="32" t="n">
        <f aca="false">F43+I43</f>
        <v>2.309732909704</v>
      </c>
      <c r="K43" s="32" t="n">
        <f aca="false">F43</f>
        <v>0</v>
      </c>
      <c r="L43" s="32" t="n">
        <f aca="false">C43*1000000/dt_s+J43/2</f>
        <v>5309.29931089929</v>
      </c>
      <c r="M43" s="32" t="n">
        <f aca="false">C43*1000000/dt_s+K43/2</f>
        <v>5308.14444444444</v>
      </c>
    </row>
    <row r="44" customFormat="false" ht="15" hidden="false" customHeight="false" outlineLevel="0" collapsed="false">
      <c r="A44" s="24" t="n">
        <f aca="false">ROUND(A43+0.01,2)</f>
        <v>71.39</v>
      </c>
      <c r="B44" s="25" t="n">
        <f aca="false">INDEX(Bang_F,MATCH(A44,Bang_Z,1))+(A44-INDEX(Bang_Z,MATCH(A44,Bang_Z,1)))*(INDEX(Bang_F,MATCH(A44,Bang_Z,1)+1)-INDEX(Bang_F,MATCH(A44,Bang_Z,1)))</f>
        <v>4.184</v>
      </c>
      <c r="C44" s="25" t="n">
        <f aca="false">INDEX(Bang_W,MATCH(A44,Bang_Z,1))+(A44-INDEX(Bang_Z,MATCH(A44,Bang_Z,1)))*(INDEX(Bang_F,MATCH(A44,Bang_Z,1))+B44)/2</f>
        <v>19.15113</v>
      </c>
      <c r="D44" s="26" t="n">
        <f aca="false">MAX(A44-TC_Z,0)</f>
        <v>0</v>
      </c>
      <c r="E44" s="27" t="n">
        <f aca="false">1-0.2*(TC_xmb+(TC_n-1)*TC_xmt)*D44/(TC_n*TC_b)</f>
        <v>1</v>
      </c>
      <c r="F44" s="28" t="n">
        <f aca="false">TC_s*E44*TC_m*TC_n*TC_b*SQRT(2*g_)*D44^1.5</f>
        <v>0</v>
      </c>
      <c r="G44" s="29" t="n">
        <f aca="false">MAX(A44-SC_Z,0)</f>
        <v>0.390000000000001</v>
      </c>
      <c r="H44" s="30" t="n">
        <f aca="false">1-0.2*(SC_xmb+(SC_n-1)*SC_xmt)*G44/(SC_n*SC_b)</f>
        <v>0.98908</v>
      </c>
      <c r="I44" s="31" t="n">
        <f aca="false">SC_s*H44*SC_m*SC_n*SC_b*SQRT(2*g_)*G44^1.5</f>
        <v>2.40082414619165</v>
      </c>
      <c r="J44" s="32" t="n">
        <f aca="false">F44+I44</f>
        <v>2.40082414619165</v>
      </c>
      <c r="K44" s="32" t="n">
        <f aca="false">F44</f>
        <v>0</v>
      </c>
      <c r="L44" s="32" t="n">
        <f aca="false">C44*1000000/dt_s+J44/2</f>
        <v>5320.95874540643</v>
      </c>
      <c r="M44" s="32" t="n">
        <f aca="false">C44*1000000/dt_s+K44/2</f>
        <v>5319.75833333333</v>
      </c>
    </row>
    <row r="45" customFormat="false" ht="15" hidden="false" customHeight="false" outlineLevel="0" collapsed="false">
      <c r="A45" s="24" t="n">
        <f aca="false">ROUND(A44+0.01,2)</f>
        <v>71.4</v>
      </c>
      <c r="B45" s="25" t="n">
        <f aca="false">INDEX(Bang_F,MATCH(A45,Bang_Z,1))+(A45-INDEX(Bang_Z,MATCH(A45,Bang_Z,1)))*(INDEX(Bang_F,MATCH(A45,Bang_Z,1)+1)-INDEX(Bang_F,MATCH(A45,Bang_Z,1)))</f>
        <v>4.19</v>
      </c>
      <c r="C45" s="25" t="n">
        <f aca="false">INDEX(Bang_W,MATCH(A45,Bang_Z,1))+(A45-INDEX(Bang_Z,MATCH(A45,Bang_Z,1)))*(INDEX(Bang_F,MATCH(A45,Bang_Z,1))+B45)/2</f>
        <v>19.193</v>
      </c>
      <c r="D45" s="26" t="n">
        <f aca="false">MAX(A45-TC_Z,0)</f>
        <v>0</v>
      </c>
      <c r="E45" s="27" t="n">
        <f aca="false">1-0.2*(TC_xmb+(TC_n-1)*TC_xmt)*D45/(TC_n*TC_b)</f>
        <v>1</v>
      </c>
      <c r="F45" s="28" t="n">
        <f aca="false">TC_s*E45*TC_m*TC_n*TC_b*SQRT(2*g_)*D45^1.5</f>
        <v>0</v>
      </c>
      <c r="G45" s="29" t="n">
        <f aca="false">MAX(A45-SC_Z,0)</f>
        <v>0.400000000000006</v>
      </c>
      <c r="H45" s="30" t="n">
        <f aca="false">1-0.2*(SC_xmb+(SC_n-1)*SC_xmt)*G45/(SC_n*SC_b)</f>
        <v>0.9888</v>
      </c>
      <c r="I45" s="31" t="n">
        <f aca="false">SC_s*H45*SC_m*SC_n*SC_b*SQRT(2*g_)*G45^1.5</f>
        <v>2.49304699013626</v>
      </c>
      <c r="J45" s="32" t="n">
        <f aca="false">F45+I45</f>
        <v>2.49304699013626</v>
      </c>
      <c r="K45" s="32" t="n">
        <f aca="false">F45</f>
        <v>0</v>
      </c>
      <c r="L45" s="32" t="n">
        <f aca="false">C45*1000000/dt_s+J45/2</f>
        <v>5332.63541238396</v>
      </c>
      <c r="M45" s="32" t="n">
        <f aca="false">C45*1000000/dt_s+K45/2</f>
        <v>5331.3888888889</v>
      </c>
    </row>
    <row r="46" customFormat="false" ht="15" hidden="false" customHeight="false" outlineLevel="0" collapsed="false">
      <c r="A46" s="24" t="n">
        <f aca="false">ROUND(A45+0.01,2)</f>
        <v>71.41</v>
      </c>
      <c r="B46" s="25" t="n">
        <f aca="false">INDEX(Bang_F,MATCH(A46,Bang_Z,1))+(A46-INDEX(Bang_Z,MATCH(A46,Bang_Z,1)))*(INDEX(Bang_F,MATCH(A46,Bang_Z,1)+1)-INDEX(Bang_F,MATCH(A46,Bang_Z,1)))</f>
        <v>4.196</v>
      </c>
      <c r="C46" s="25" t="n">
        <f aca="false">INDEX(Bang_W,MATCH(A46,Bang_Z,1))+(A46-INDEX(Bang_Z,MATCH(A46,Bang_Z,1)))*(INDEX(Bang_F,MATCH(A46,Bang_Z,1))+B46)/2</f>
        <v>19.23493</v>
      </c>
      <c r="D46" s="26" t="n">
        <f aca="false">MAX(A46-TC_Z,0)</f>
        <v>0</v>
      </c>
      <c r="E46" s="27" t="n">
        <f aca="false">1-0.2*(TC_xmb+(TC_n-1)*TC_xmt)*D46/(TC_n*TC_b)</f>
        <v>1</v>
      </c>
      <c r="F46" s="28" t="n">
        <f aca="false">TC_s*E46*TC_m*TC_n*TC_b*SQRT(2*g_)*D46^1.5</f>
        <v>0</v>
      </c>
      <c r="G46" s="29" t="n">
        <f aca="false">MAX(A46-SC_Z,0)</f>
        <v>0.409999999999997</v>
      </c>
      <c r="H46" s="30" t="n">
        <f aca="false">1-0.2*(SC_xmb+(SC_n-1)*SC_xmt)*G46/(SC_n*SC_b)</f>
        <v>0.98852</v>
      </c>
      <c r="I46" s="31" t="n">
        <f aca="false">SC_s*H46*SC_m*SC_n*SC_b*SQRT(2*g_)*G46^1.5</f>
        <v>2.58638554990062</v>
      </c>
      <c r="J46" s="32" t="n">
        <f aca="false">F46+I46</f>
        <v>2.58638554990062</v>
      </c>
      <c r="K46" s="32" t="n">
        <f aca="false">F46</f>
        <v>0</v>
      </c>
      <c r="L46" s="32" t="n">
        <f aca="false">C46*1000000/dt_s+J46/2</f>
        <v>5344.32930388606</v>
      </c>
      <c r="M46" s="32" t="n">
        <f aca="false">C46*1000000/dt_s+K46/2</f>
        <v>5343.03611111111</v>
      </c>
    </row>
    <row r="47" customFormat="false" ht="15" hidden="false" customHeight="false" outlineLevel="0" collapsed="false">
      <c r="A47" s="24" t="n">
        <f aca="false">ROUND(A46+0.01,2)</f>
        <v>71.42</v>
      </c>
      <c r="B47" s="25" t="n">
        <f aca="false">INDEX(Bang_F,MATCH(A47,Bang_Z,1))+(A47-INDEX(Bang_Z,MATCH(A47,Bang_Z,1)))*(INDEX(Bang_F,MATCH(A47,Bang_Z,1)+1)-INDEX(Bang_F,MATCH(A47,Bang_Z,1)))</f>
        <v>4.202</v>
      </c>
      <c r="C47" s="25" t="n">
        <f aca="false">INDEX(Bang_W,MATCH(A47,Bang_Z,1))+(A47-INDEX(Bang_Z,MATCH(A47,Bang_Z,1)))*(INDEX(Bang_F,MATCH(A47,Bang_Z,1))+B47)/2</f>
        <v>19.27692</v>
      </c>
      <c r="D47" s="26" t="n">
        <f aca="false">MAX(A47-TC_Z,0)</f>
        <v>0</v>
      </c>
      <c r="E47" s="27" t="n">
        <f aca="false">1-0.2*(TC_xmb+(TC_n-1)*TC_xmt)*D47/(TC_n*TC_b)</f>
        <v>1</v>
      </c>
      <c r="F47" s="28" t="n">
        <f aca="false">TC_s*E47*TC_m*TC_n*TC_b*SQRT(2*g_)*D47^1.5</f>
        <v>0</v>
      </c>
      <c r="G47" s="29" t="n">
        <f aca="false">MAX(A47-SC_Z,0)</f>
        <v>0.420000000000002</v>
      </c>
      <c r="H47" s="30" t="n">
        <f aca="false">1-0.2*(SC_xmb+(SC_n-1)*SC_xmt)*G47/(SC_n*SC_b)</f>
        <v>0.98824</v>
      </c>
      <c r="I47" s="31" t="n">
        <f aca="false">SC_s*H47*SC_m*SC_n*SC_b*SQRT(2*g_)*G47^1.5</f>
        <v>2.68082449869206</v>
      </c>
      <c r="J47" s="32" t="n">
        <f aca="false">F47+I47</f>
        <v>2.68082449869206</v>
      </c>
      <c r="K47" s="32" t="n">
        <f aca="false">F47</f>
        <v>0</v>
      </c>
      <c r="L47" s="32" t="n">
        <f aca="false">C47*1000000/dt_s+J47/2</f>
        <v>5356.04041224935</v>
      </c>
      <c r="M47" s="32" t="n">
        <f aca="false">C47*1000000/dt_s+K47/2</f>
        <v>5354.7</v>
      </c>
    </row>
    <row r="48" customFormat="false" ht="15" hidden="false" customHeight="false" outlineLevel="0" collapsed="false">
      <c r="A48" s="24" t="n">
        <f aca="false">ROUND(A47+0.01,2)</f>
        <v>71.43</v>
      </c>
      <c r="B48" s="25" t="n">
        <f aca="false">INDEX(Bang_F,MATCH(A48,Bang_Z,1))+(A48-INDEX(Bang_Z,MATCH(A48,Bang_Z,1)))*(INDEX(Bang_F,MATCH(A48,Bang_Z,1)+1)-INDEX(Bang_F,MATCH(A48,Bang_Z,1)))</f>
        <v>4.208</v>
      </c>
      <c r="C48" s="25" t="n">
        <f aca="false">INDEX(Bang_W,MATCH(A48,Bang_Z,1))+(A48-INDEX(Bang_Z,MATCH(A48,Bang_Z,1)))*(INDEX(Bang_F,MATCH(A48,Bang_Z,1))+B48)/2</f>
        <v>19.31897</v>
      </c>
      <c r="D48" s="26" t="n">
        <f aca="false">MAX(A48-TC_Z,0)</f>
        <v>0</v>
      </c>
      <c r="E48" s="27" t="n">
        <f aca="false">1-0.2*(TC_xmb+(TC_n-1)*TC_xmt)*D48/(TC_n*TC_b)</f>
        <v>1</v>
      </c>
      <c r="F48" s="28" t="n">
        <f aca="false">TC_s*E48*TC_m*TC_n*TC_b*SQRT(2*g_)*D48^1.5</f>
        <v>0</v>
      </c>
      <c r="G48" s="29" t="n">
        <f aca="false">MAX(A48-SC_Z,0)</f>
        <v>0.430000000000007</v>
      </c>
      <c r="H48" s="30" t="n">
        <f aca="false">1-0.2*(SC_xmb+(SC_n-1)*SC_xmt)*G48/(SC_n*SC_b)</f>
        <v>0.98796</v>
      </c>
      <c r="I48" s="31" t="n">
        <f aca="false">SC_s*H48*SC_m*SC_n*SC_b*SQRT(2*g_)*G48^1.5</f>
        <v>2.77634904096744</v>
      </c>
      <c r="J48" s="32" t="n">
        <f aca="false">F48+I48</f>
        <v>2.77634904096744</v>
      </c>
      <c r="K48" s="32" t="n">
        <f aca="false">F48</f>
        <v>0</v>
      </c>
      <c r="L48" s="32" t="n">
        <f aca="false">C48*1000000/dt_s+J48/2</f>
        <v>5367.76873007605</v>
      </c>
      <c r="M48" s="32" t="n">
        <f aca="false">C48*1000000/dt_s+K48/2</f>
        <v>5366.38055555556</v>
      </c>
    </row>
    <row r="49" customFormat="false" ht="15" hidden="false" customHeight="false" outlineLevel="0" collapsed="false">
      <c r="A49" s="24" t="n">
        <f aca="false">ROUND(A48+0.01,2)</f>
        <v>71.44</v>
      </c>
      <c r="B49" s="25" t="n">
        <f aca="false">INDEX(Bang_F,MATCH(A49,Bang_Z,1))+(A49-INDEX(Bang_Z,MATCH(A49,Bang_Z,1)))*(INDEX(Bang_F,MATCH(A49,Bang_Z,1)+1)-INDEX(Bang_F,MATCH(A49,Bang_Z,1)))</f>
        <v>4.214</v>
      </c>
      <c r="C49" s="25" t="n">
        <f aca="false">INDEX(Bang_W,MATCH(A49,Bang_Z,1))+(A49-INDEX(Bang_Z,MATCH(A49,Bang_Z,1)))*(INDEX(Bang_F,MATCH(A49,Bang_Z,1))+B49)/2</f>
        <v>19.36108</v>
      </c>
      <c r="D49" s="26" t="n">
        <f aca="false">MAX(A49-TC_Z,0)</f>
        <v>0</v>
      </c>
      <c r="E49" s="27" t="n">
        <f aca="false">1-0.2*(TC_xmb+(TC_n-1)*TC_xmt)*D49/(TC_n*TC_b)</f>
        <v>1</v>
      </c>
      <c r="F49" s="28" t="n">
        <f aca="false">TC_s*E49*TC_m*TC_n*TC_b*SQRT(2*g_)*D49^1.5</f>
        <v>0</v>
      </c>
      <c r="G49" s="29" t="n">
        <f aca="false">MAX(A49-SC_Z,0)</f>
        <v>0.439999999999998</v>
      </c>
      <c r="H49" s="30" t="n">
        <f aca="false">1-0.2*(SC_xmb+(SC_n-1)*SC_xmt)*G49/(SC_n*SC_b)</f>
        <v>0.98768</v>
      </c>
      <c r="I49" s="31" t="n">
        <f aca="false">SC_s*H49*SC_m*SC_n*SC_b*SQRT(2*g_)*G49^1.5</f>
        <v>2.87294488158267</v>
      </c>
      <c r="J49" s="32" t="n">
        <f aca="false">F49+I49</f>
        <v>2.87294488158267</v>
      </c>
      <c r="K49" s="32" t="n">
        <f aca="false">F49</f>
        <v>0</v>
      </c>
      <c r="L49" s="32" t="n">
        <f aca="false">C49*1000000/dt_s+J49/2</f>
        <v>5379.51425021857</v>
      </c>
      <c r="M49" s="32" t="n">
        <f aca="false">C49*1000000/dt_s+K49/2</f>
        <v>5378.07777777778</v>
      </c>
    </row>
    <row r="50" customFormat="false" ht="15" hidden="false" customHeight="false" outlineLevel="0" collapsed="false">
      <c r="A50" s="24" t="n">
        <f aca="false">ROUND(A49+0.01,2)</f>
        <v>71.45</v>
      </c>
      <c r="B50" s="25" t="n">
        <f aca="false">INDEX(Bang_F,MATCH(A50,Bang_Z,1))+(A50-INDEX(Bang_Z,MATCH(A50,Bang_Z,1)))*(INDEX(Bang_F,MATCH(A50,Bang_Z,1)+1)-INDEX(Bang_F,MATCH(A50,Bang_Z,1)))</f>
        <v>4.22</v>
      </c>
      <c r="C50" s="25" t="n">
        <f aca="false">INDEX(Bang_W,MATCH(A50,Bang_Z,1))+(A50-INDEX(Bang_Z,MATCH(A50,Bang_Z,1)))*(INDEX(Bang_F,MATCH(A50,Bang_Z,1))+B50)/2</f>
        <v>19.40325</v>
      </c>
      <c r="D50" s="26" t="n">
        <f aca="false">MAX(A50-TC_Z,0)</f>
        <v>0</v>
      </c>
      <c r="E50" s="27" t="n">
        <f aca="false">1-0.2*(TC_xmb+(TC_n-1)*TC_xmt)*D50/(TC_n*TC_b)</f>
        <v>1</v>
      </c>
      <c r="F50" s="28" t="n">
        <f aca="false">TC_s*E50*TC_m*TC_n*TC_b*SQRT(2*g_)*D50^1.5</f>
        <v>0</v>
      </c>
      <c r="G50" s="29" t="n">
        <f aca="false">MAX(A50-SC_Z,0)</f>
        <v>0.450000000000003</v>
      </c>
      <c r="H50" s="30" t="n">
        <f aca="false">1-0.2*(SC_xmb+(SC_n-1)*SC_xmt)*G50/(SC_n*SC_b)</f>
        <v>0.9874</v>
      </c>
      <c r="I50" s="31" t="n">
        <f aca="false">SC_s*H50*SC_m*SC_n*SC_b*SQRT(2*g_)*G50^1.5</f>
        <v>2.97059819740369</v>
      </c>
      <c r="J50" s="32" t="n">
        <f aca="false">F50+I50</f>
        <v>2.97059819740369</v>
      </c>
      <c r="K50" s="32" t="n">
        <f aca="false">F50</f>
        <v>0</v>
      </c>
      <c r="L50" s="32" t="n">
        <f aca="false">C50*1000000/dt_s+J50/2</f>
        <v>5391.27696576537</v>
      </c>
      <c r="M50" s="32" t="n">
        <f aca="false">C50*1000000/dt_s+K50/2</f>
        <v>5389.79166666667</v>
      </c>
    </row>
    <row r="51" customFormat="false" ht="15" hidden="false" customHeight="false" outlineLevel="0" collapsed="false">
      <c r="A51" s="24" t="n">
        <f aca="false">ROUND(A50+0.01,2)</f>
        <v>71.46</v>
      </c>
      <c r="B51" s="25" t="n">
        <f aca="false">INDEX(Bang_F,MATCH(A51,Bang_Z,1))+(A51-INDEX(Bang_Z,MATCH(A51,Bang_Z,1)))*(INDEX(Bang_F,MATCH(A51,Bang_Z,1)+1)-INDEX(Bang_F,MATCH(A51,Bang_Z,1)))</f>
        <v>4.226</v>
      </c>
      <c r="C51" s="25" t="n">
        <f aca="false">INDEX(Bang_W,MATCH(A51,Bang_Z,1))+(A51-INDEX(Bang_Z,MATCH(A51,Bang_Z,1)))*(INDEX(Bang_F,MATCH(A51,Bang_Z,1))+B51)/2</f>
        <v>19.44548</v>
      </c>
      <c r="D51" s="26" t="n">
        <f aca="false">MAX(A51-TC_Z,0)</f>
        <v>0</v>
      </c>
      <c r="E51" s="27" t="n">
        <f aca="false">1-0.2*(TC_xmb+(TC_n-1)*TC_xmt)*D51/(TC_n*TC_b)</f>
        <v>1</v>
      </c>
      <c r="F51" s="28" t="n">
        <f aca="false">TC_s*E51*TC_m*TC_n*TC_b*SQRT(2*g_)*D51^1.5</f>
        <v>0</v>
      </c>
      <c r="G51" s="29" t="n">
        <f aca="false">MAX(A51-SC_Z,0)</f>
        <v>0.459999999999994</v>
      </c>
      <c r="H51" s="30" t="n">
        <f aca="false">1-0.2*(SC_xmb+(SC_n-1)*SC_xmt)*G51/(SC_n*SC_b)</f>
        <v>0.98712</v>
      </c>
      <c r="I51" s="31" t="n">
        <f aca="false">SC_s*H51*SC_m*SC_n*SC_b*SQRT(2*g_)*G51^1.5</f>
        <v>3.06929561113034</v>
      </c>
      <c r="J51" s="32" t="n">
        <f aca="false">F51+I51</f>
        <v>3.06929561113034</v>
      </c>
      <c r="K51" s="32" t="n">
        <f aca="false">F51</f>
        <v>0</v>
      </c>
      <c r="L51" s="32" t="n">
        <f aca="false">C51*1000000/dt_s+J51/2</f>
        <v>5403.05687002778</v>
      </c>
      <c r="M51" s="32" t="n">
        <f aca="false">C51*1000000/dt_s+K51/2</f>
        <v>5401.52222222222</v>
      </c>
    </row>
    <row r="52" customFormat="false" ht="15" hidden="false" customHeight="false" outlineLevel="0" collapsed="false">
      <c r="A52" s="24" t="n">
        <f aca="false">ROUND(A51+0.01,2)</f>
        <v>71.47</v>
      </c>
      <c r="B52" s="25" t="n">
        <f aca="false">INDEX(Bang_F,MATCH(A52,Bang_Z,1))+(A52-INDEX(Bang_Z,MATCH(A52,Bang_Z,1)))*(INDEX(Bang_F,MATCH(A52,Bang_Z,1)+1)-INDEX(Bang_F,MATCH(A52,Bang_Z,1)))</f>
        <v>4.232</v>
      </c>
      <c r="C52" s="25" t="n">
        <f aca="false">INDEX(Bang_W,MATCH(A52,Bang_Z,1))+(A52-INDEX(Bang_Z,MATCH(A52,Bang_Z,1)))*(INDEX(Bang_F,MATCH(A52,Bang_Z,1))+B52)/2</f>
        <v>19.48777</v>
      </c>
      <c r="D52" s="26" t="n">
        <f aca="false">MAX(A52-TC_Z,0)</f>
        <v>0</v>
      </c>
      <c r="E52" s="27" t="n">
        <f aca="false">1-0.2*(TC_xmb+(TC_n-1)*TC_xmt)*D52/(TC_n*TC_b)</f>
        <v>1</v>
      </c>
      <c r="F52" s="28" t="n">
        <f aca="false">TC_s*E52*TC_m*TC_n*TC_b*SQRT(2*g_)*D52^1.5</f>
        <v>0</v>
      </c>
      <c r="G52" s="29" t="n">
        <f aca="false">MAX(A52-SC_Z,0)</f>
        <v>0.469999999999999</v>
      </c>
      <c r="H52" s="30" t="n">
        <f aca="false">1-0.2*(SC_xmb+(SC_n-1)*SC_xmt)*G52/(SC_n*SC_b)</f>
        <v>0.98684</v>
      </c>
      <c r="I52" s="31" t="n">
        <f aca="false">SC_s*H52*SC_m*SC_n*SC_b*SQRT(2*g_)*G52^1.5</f>
        <v>3.16902416711898</v>
      </c>
      <c r="J52" s="32" t="n">
        <f aca="false">F52+I52</f>
        <v>3.16902416711898</v>
      </c>
      <c r="K52" s="32" t="n">
        <f aca="false">F52</f>
        <v>0</v>
      </c>
      <c r="L52" s="32" t="n">
        <f aca="false">C52*1000000/dt_s+J52/2</f>
        <v>5414.853956528</v>
      </c>
      <c r="M52" s="32" t="n">
        <f aca="false">C52*1000000/dt_s+K52/2</f>
        <v>5413.26944444444</v>
      </c>
    </row>
    <row r="53" customFormat="false" ht="15" hidden="false" customHeight="false" outlineLevel="0" collapsed="false">
      <c r="A53" s="24" t="n">
        <f aca="false">ROUND(A52+0.01,2)</f>
        <v>71.48</v>
      </c>
      <c r="B53" s="25" t="n">
        <f aca="false">INDEX(Bang_F,MATCH(A53,Bang_Z,1))+(A53-INDEX(Bang_Z,MATCH(A53,Bang_Z,1)))*(INDEX(Bang_F,MATCH(A53,Bang_Z,1)+1)-INDEX(Bang_F,MATCH(A53,Bang_Z,1)))</f>
        <v>4.238</v>
      </c>
      <c r="C53" s="25" t="n">
        <f aca="false">INDEX(Bang_W,MATCH(A53,Bang_Z,1))+(A53-INDEX(Bang_Z,MATCH(A53,Bang_Z,1)))*(INDEX(Bang_F,MATCH(A53,Bang_Z,1))+B53)/2</f>
        <v>19.53012</v>
      </c>
      <c r="D53" s="26" t="n">
        <f aca="false">MAX(A53-TC_Z,0)</f>
        <v>0</v>
      </c>
      <c r="E53" s="27" t="n">
        <f aca="false">1-0.2*(TC_xmb+(TC_n-1)*TC_xmt)*D53/(TC_n*TC_b)</f>
        <v>1</v>
      </c>
      <c r="F53" s="28" t="n">
        <f aca="false">TC_s*E53*TC_m*TC_n*TC_b*SQRT(2*g_)*D53^1.5</f>
        <v>0</v>
      </c>
      <c r="G53" s="29" t="n">
        <f aca="false">MAX(A53-SC_Z,0)</f>
        <v>0.480000000000004</v>
      </c>
      <c r="H53" s="30" t="n">
        <f aca="false">1-0.2*(SC_xmb+(SC_n-1)*SC_xmt)*G53/(SC_n*SC_b)</f>
        <v>0.98656</v>
      </c>
      <c r="I53" s="31" t="n">
        <f aca="false">SC_s*H53*SC_m*SC_n*SC_b*SQRT(2*g_)*G53^1.5</f>
        <v>3.26977130900786</v>
      </c>
      <c r="J53" s="32" t="n">
        <f aca="false">F53+I53</f>
        <v>3.26977130900786</v>
      </c>
      <c r="K53" s="32" t="n">
        <f aca="false">F53</f>
        <v>0</v>
      </c>
      <c r="L53" s="32" t="n">
        <f aca="false">C53*1000000/dt_s+J53/2</f>
        <v>5426.66821898784</v>
      </c>
      <c r="M53" s="32" t="n">
        <f aca="false">C53*1000000/dt_s+K53/2</f>
        <v>5425.03333333334</v>
      </c>
    </row>
    <row r="54" customFormat="false" ht="15" hidden="false" customHeight="false" outlineLevel="0" collapsed="false">
      <c r="A54" s="24" t="n">
        <f aca="false">ROUND(A53+0.01,2)</f>
        <v>71.49</v>
      </c>
      <c r="B54" s="25" t="n">
        <f aca="false">INDEX(Bang_F,MATCH(A54,Bang_Z,1))+(A54-INDEX(Bang_Z,MATCH(A54,Bang_Z,1)))*(INDEX(Bang_F,MATCH(A54,Bang_Z,1)+1)-INDEX(Bang_F,MATCH(A54,Bang_Z,1)))</f>
        <v>4.244</v>
      </c>
      <c r="C54" s="25" t="n">
        <f aca="false">INDEX(Bang_W,MATCH(A54,Bang_Z,1))+(A54-INDEX(Bang_Z,MATCH(A54,Bang_Z,1)))*(INDEX(Bang_F,MATCH(A54,Bang_Z,1))+B54)/2</f>
        <v>19.57253</v>
      </c>
      <c r="D54" s="26" t="n">
        <f aca="false">MAX(A54-TC_Z,0)</f>
        <v>0</v>
      </c>
      <c r="E54" s="27" t="n">
        <f aca="false">1-0.2*(TC_xmb+(TC_n-1)*TC_xmt)*D54/(TC_n*TC_b)</f>
        <v>1</v>
      </c>
      <c r="F54" s="28" t="n">
        <f aca="false">TC_s*E54*TC_m*TC_n*TC_b*SQRT(2*g_)*D54^1.5</f>
        <v>0</v>
      </c>
      <c r="G54" s="29" t="n">
        <f aca="false">MAX(A54-SC_Z,0)</f>
        <v>0.489999999999995</v>
      </c>
      <c r="H54" s="30" t="n">
        <f aca="false">1-0.2*(SC_xmb+(SC_n-1)*SC_xmt)*G54/(SC_n*SC_b)</f>
        <v>0.98628</v>
      </c>
      <c r="I54" s="31" t="n">
        <f aca="false">SC_s*H54*SC_m*SC_n*SC_b*SQRT(2*g_)*G54^1.5</f>
        <v>3.37152485897872</v>
      </c>
      <c r="J54" s="32" t="n">
        <f aca="false">F54+I54</f>
        <v>3.37152485897872</v>
      </c>
      <c r="K54" s="32" t="n">
        <f aca="false">F54</f>
        <v>0</v>
      </c>
      <c r="L54" s="32" t="n">
        <f aca="false">C54*1000000/dt_s+J54/2</f>
        <v>5438.49965131837</v>
      </c>
      <c r="M54" s="32" t="n">
        <f aca="false">C54*1000000/dt_s+K54/2</f>
        <v>5436.81388888888</v>
      </c>
    </row>
    <row r="55" customFormat="false" ht="15" hidden="false" customHeight="false" outlineLevel="0" collapsed="false">
      <c r="A55" s="24" t="n">
        <f aca="false">ROUND(A54+0.01,2)</f>
        <v>71.5</v>
      </c>
      <c r="B55" s="25" t="n">
        <f aca="false">INDEX(Bang_F,MATCH(A55,Bang_Z,1))+(A55-INDEX(Bang_Z,MATCH(A55,Bang_Z,1)))*(INDEX(Bang_F,MATCH(A55,Bang_Z,1)+1)-INDEX(Bang_F,MATCH(A55,Bang_Z,1)))</f>
        <v>4.25</v>
      </c>
      <c r="C55" s="25" t="n">
        <f aca="false">INDEX(Bang_W,MATCH(A55,Bang_Z,1))+(A55-INDEX(Bang_Z,MATCH(A55,Bang_Z,1)))*(INDEX(Bang_F,MATCH(A55,Bang_Z,1))+B55)/2</f>
        <v>19.615</v>
      </c>
      <c r="D55" s="26" t="n">
        <f aca="false">MAX(A55-TC_Z,0)</f>
        <v>0</v>
      </c>
      <c r="E55" s="27" t="n">
        <f aca="false">1-0.2*(TC_xmb+(TC_n-1)*TC_xmt)*D55/(TC_n*TC_b)</f>
        <v>1</v>
      </c>
      <c r="F55" s="28" t="n">
        <f aca="false">TC_s*E55*TC_m*TC_n*TC_b*SQRT(2*g_)*D55^1.5</f>
        <v>0</v>
      </c>
      <c r="G55" s="29" t="n">
        <f aca="false">MAX(A55-SC_Z,0)</f>
        <v>0.5</v>
      </c>
      <c r="H55" s="30" t="n">
        <f aca="false">1-0.2*(SC_xmb+(SC_n-1)*SC_xmt)*G55/(SC_n*SC_b)</f>
        <v>0.986</v>
      </c>
      <c r="I55" s="31" t="n">
        <f aca="false">SC_s*H55*SC_m*SC_n*SC_b*SQRT(2*g_)*G55^1.5</f>
        <v>3.47427299850271</v>
      </c>
      <c r="J55" s="32" t="n">
        <f aca="false">F55+I55</f>
        <v>3.47427299850271</v>
      </c>
      <c r="K55" s="32" t="n">
        <f aca="false">F55</f>
        <v>0</v>
      </c>
      <c r="L55" s="32" t="n">
        <f aca="false">C55*1000000/dt_s+J55/2</f>
        <v>5450.34824761036</v>
      </c>
      <c r="M55" s="32" t="n">
        <f aca="false">C55*1000000/dt_s+K55/2</f>
        <v>5448.61111111111</v>
      </c>
    </row>
    <row r="56" customFormat="false" ht="15" hidden="false" customHeight="false" outlineLevel="0" collapsed="false">
      <c r="A56" s="24" t="n">
        <f aca="false">ROUND(A55+0.01,2)</f>
        <v>71.51</v>
      </c>
      <c r="B56" s="25" t="n">
        <f aca="false">INDEX(Bang_F,MATCH(A56,Bang_Z,1))+(A56-INDEX(Bang_Z,MATCH(A56,Bang_Z,1)))*(INDEX(Bang_F,MATCH(A56,Bang_Z,1)+1)-INDEX(Bang_F,MATCH(A56,Bang_Z,1)))</f>
        <v>4.256</v>
      </c>
      <c r="C56" s="25" t="n">
        <f aca="false">INDEX(Bang_W,MATCH(A56,Bang_Z,1))+(A56-INDEX(Bang_Z,MATCH(A56,Bang_Z,1)))*(INDEX(Bang_F,MATCH(A56,Bang_Z,1))+B56)/2</f>
        <v>19.65753</v>
      </c>
      <c r="D56" s="26" t="n">
        <f aca="false">MAX(A56-TC_Z,0)</f>
        <v>0</v>
      </c>
      <c r="E56" s="27" t="n">
        <f aca="false">1-0.2*(TC_xmb+(TC_n-1)*TC_xmt)*D56/(TC_n*TC_b)</f>
        <v>1</v>
      </c>
      <c r="F56" s="28" t="n">
        <f aca="false">TC_s*E56*TC_m*TC_n*TC_b*SQRT(2*g_)*D56^1.5</f>
        <v>0</v>
      </c>
      <c r="G56" s="29" t="n">
        <f aca="false">MAX(A56-SC_Z,0)</f>
        <v>0.510000000000005</v>
      </c>
      <c r="H56" s="30" t="n">
        <f aca="false">1-0.2*(SC_xmb+(SC_n-1)*SC_xmt)*G56/(SC_n*SC_b)</f>
        <v>0.98572</v>
      </c>
      <c r="I56" s="31" t="n">
        <f aca="false">SC_s*H56*SC_m*SC_n*SC_b*SQRT(2*g_)*G56^1.5</f>
        <v>3.57800425043511</v>
      </c>
      <c r="J56" s="32" t="n">
        <f aca="false">F56+I56</f>
        <v>3.57800425043511</v>
      </c>
      <c r="K56" s="32" t="n">
        <f aca="false">F56</f>
        <v>0</v>
      </c>
      <c r="L56" s="32" t="n">
        <f aca="false">C56*1000000/dt_s+J56/2</f>
        <v>5462.21400212522</v>
      </c>
      <c r="M56" s="32" t="n">
        <f aca="false">C56*1000000/dt_s+K56/2</f>
        <v>5460.42500000001</v>
      </c>
    </row>
    <row r="57" customFormat="false" ht="15" hidden="false" customHeight="false" outlineLevel="0" collapsed="false">
      <c r="A57" s="24" t="n">
        <f aca="false">ROUND(A56+0.01,2)</f>
        <v>71.52</v>
      </c>
      <c r="B57" s="25" t="n">
        <f aca="false">INDEX(Bang_F,MATCH(A57,Bang_Z,1))+(A57-INDEX(Bang_Z,MATCH(A57,Bang_Z,1)))*(INDEX(Bang_F,MATCH(A57,Bang_Z,1)+1)-INDEX(Bang_F,MATCH(A57,Bang_Z,1)))</f>
        <v>4.262</v>
      </c>
      <c r="C57" s="25" t="n">
        <f aca="false">INDEX(Bang_W,MATCH(A57,Bang_Z,1))+(A57-INDEX(Bang_Z,MATCH(A57,Bang_Z,1)))*(INDEX(Bang_F,MATCH(A57,Bang_Z,1))+B57)/2</f>
        <v>19.70012</v>
      </c>
      <c r="D57" s="26" t="n">
        <f aca="false">MAX(A57-TC_Z,0)</f>
        <v>0</v>
      </c>
      <c r="E57" s="27" t="n">
        <f aca="false">1-0.2*(TC_xmb+(TC_n-1)*TC_xmt)*D57/(TC_n*TC_b)</f>
        <v>1</v>
      </c>
      <c r="F57" s="28" t="n">
        <f aca="false">TC_s*E57*TC_m*TC_n*TC_b*SQRT(2*g_)*D57^1.5</f>
        <v>0</v>
      </c>
      <c r="G57" s="29" t="n">
        <f aca="false">MAX(A57-SC_Z,0)</f>
        <v>0.519999999999996</v>
      </c>
      <c r="H57" s="30" t="n">
        <f aca="false">1-0.2*(SC_xmb+(SC_n-1)*SC_xmt)*G57/(SC_n*SC_b)</f>
        <v>0.98544</v>
      </c>
      <c r="I57" s="31" t="n">
        <f aca="false">SC_s*H57*SC_m*SC_n*SC_b*SQRT(2*g_)*G57^1.5</f>
        <v>3.68270746234207</v>
      </c>
      <c r="J57" s="32" t="n">
        <f aca="false">F57+I57</f>
        <v>3.68270746234207</v>
      </c>
      <c r="K57" s="32" t="n">
        <f aca="false">F57</f>
        <v>0</v>
      </c>
      <c r="L57" s="32" t="n">
        <f aca="false">C57*1000000/dt_s+J57/2</f>
        <v>5474.09690928672</v>
      </c>
      <c r="M57" s="32" t="n">
        <f aca="false">C57*1000000/dt_s+K57/2</f>
        <v>5472.25555555555</v>
      </c>
    </row>
    <row r="58" customFormat="false" ht="15" hidden="false" customHeight="false" outlineLevel="0" collapsed="false">
      <c r="A58" s="24" t="n">
        <f aca="false">ROUND(A57+0.01,2)</f>
        <v>71.53</v>
      </c>
      <c r="B58" s="25" t="n">
        <f aca="false">INDEX(Bang_F,MATCH(A58,Bang_Z,1))+(A58-INDEX(Bang_Z,MATCH(A58,Bang_Z,1)))*(INDEX(Bang_F,MATCH(A58,Bang_Z,1)+1)-INDEX(Bang_F,MATCH(A58,Bang_Z,1)))</f>
        <v>4.268</v>
      </c>
      <c r="C58" s="25" t="n">
        <f aca="false">INDEX(Bang_W,MATCH(A58,Bang_Z,1))+(A58-INDEX(Bang_Z,MATCH(A58,Bang_Z,1)))*(INDEX(Bang_F,MATCH(A58,Bang_Z,1))+B58)/2</f>
        <v>19.74277</v>
      </c>
      <c r="D58" s="26" t="n">
        <f aca="false">MAX(A58-TC_Z,0)</f>
        <v>0</v>
      </c>
      <c r="E58" s="27" t="n">
        <f aca="false">1-0.2*(TC_xmb+(TC_n-1)*TC_xmt)*D58/(TC_n*TC_b)</f>
        <v>1</v>
      </c>
      <c r="F58" s="28" t="n">
        <f aca="false">TC_s*E58*TC_m*TC_n*TC_b*SQRT(2*g_)*D58^1.5</f>
        <v>0</v>
      </c>
      <c r="G58" s="29" t="n">
        <f aca="false">MAX(A58-SC_Z,0)</f>
        <v>0.530000000000001</v>
      </c>
      <c r="H58" s="30" t="n">
        <f aca="false">1-0.2*(SC_xmb+(SC_n-1)*SC_xmt)*G58/(SC_n*SC_b)</f>
        <v>0.98516</v>
      </c>
      <c r="I58" s="31" t="n">
        <f aca="false">SC_s*H58*SC_m*SC_n*SC_b*SQRT(2*g_)*G58^1.5</f>
        <v>3.78837179095112</v>
      </c>
      <c r="J58" s="32" t="n">
        <f aca="false">F58+I58</f>
        <v>3.78837179095112</v>
      </c>
      <c r="K58" s="32" t="n">
        <f aca="false">F58</f>
        <v>0</v>
      </c>
      <c r="L58" s="32" t="n">
        <f aca="false">C58*1000000/dt_s+J58/2</f>
        <v>5485.99696367326</v>
      </c>
      <c r="M58" s="32" t="n">
        <f aca="false">C58*1000000/dt_s+K58/2</f>
        <v>5484.10277777778</v>
      </c>
    </row>
    <row r="59" customFormat="false" ht="15" hidden="false" customHeight="false" outlineLevel="0" collapsed="false">
      <c r="A59" s="24" t="n">
        <f aca="false">ROUND(A58+0.01,2)</f>
        <v>71.54</v>
      </c>
      <c r="B59" s="25" t="n">
        <f aca="false">INDEX(Bang_F,MATCH(A59,Bang_Z,1))+(A59-INDEX(Bang_Z,MATCH(A59,Bang_Z,1)))*(INDEX(Bang_F,MATCH(A59,Bang_Z,1)+1)-INDEX(Bang_F,MATCH(A59,Bang_Z,1)))</f>
        <v>4.274</v>
      </c>
      <c r="C59" s="25" t="n">
        <f aca="false">INDEX(Bang_W,MATCH(A59,Bang_Z,1))+(A59-INDEX(Bang_Z,MATCH(A59,Bang_Z,1)))*(INDEX(Bang_F,MATCH(A59,Bang_Z,1))+B59)/2</f>
        <v>19.78548</v>
      </c>
      <c r="D59" s="26" t="n">
        <f aca="false">MAX(A59-TC_Z,0)</f>
        <v>0</v>
      </c>
      <c r="E59" s="27" t="n">
        <f aca="false">1-0.2*(TC_xmb+(TC_n-1)*TC_xmt)*D59/(TC_n*TC_b)</f>
        <v>1</v>
      </c>
      <c r="F59" s="28" t="n">
        <f aca="false">TC_s*E59*TC_m*TC_n*TC_b*SQRT(2*g_)*D59^1.5</f>
        <v>0</v>
      </c>
      <c r="G59" s="29" t="n">
        <f aca="false">MAX(A59-SC_Z,0)</f>
        <v>0.540000000000006</v>
      </c>
      <c r="H59" s="30" t="n">
        <f aca="false">1-0.2*(SC_xmb+(SC_n-1)*SC_xmt)*G59/(SC_n*SC_b)</f>
        <v>0.98488</v>
      </c>
      <c r="I59" s="31" t="n">
        <f aca="false">SC_s*H59*SC_m*SC_n*SC_b*SQRT(2*g_)*G59^1.5</f>
        <v>3.89498668762842</v>
      </c>
      <c r="J59" s="32" t="n">
        <f aca="false">F59+I59</f>
        <v>3.89498668762842</v>
      </c>
      <c r="K59" s="32" t="n">
        <f aca="false">F59</f>
        <v>0</v>
      </c>
      <c r="L59" s="32" t="n">
        <f aca="false">C59*1000000/dt_s+J59/2</f>
        <v>5497.91416001049</v>
      </c>
      <c r="M59" s="32" t="n">
        <f aca="false">C59*1000000/dt_s+K59/2</f>
        <v>5495.96666666668</v>
      </c>
    </row>
    <row r="60" customFormat="false" ht="15" hidden="false" customHeight="false" outlineLevel="0" collapsed="false">
      <c r="A60" s="24" t="n">
        <f aca="false">ROUND(A59+0.01,2)</f>
        <v>71.55</v>
      </c>
      <c r="B60" s="25" t="n">
        <f aca="false">INDEX(Bang_F,MATCH(A60,Bang_Z,1))+(A60-INDEX(Bang_Z,MATCH(A60,Bang_Z,1)))*(INDEX(Bang_F,MATCH(A60,Bang_Z,1)+1)-INDEX(Bang_F,MATCH(A60,Bang_Z,1)))</f>
        <v>4.28</v>
      </c>
      <c r="C60" s="25" t="n">
        <f aca="false">INDEX(Bang_W,MATCH(A60,Bang_Z,1))+(A60-INDEX(Bang_Z,MATCH(A60,Bang_Z,1)))*(INDEX(Bang_F,MATCH(A60,Bang_Z,1))+B60)/2</f>
        <v>19.82825</v>
      </c>
      <c r="D60" s="26" t="n">
        <f aca="false">MAX(A60-TC_Z,0)</f>
        <v>0</v>
      </c>
      <c r="E60" s="27" t="n">
        <f aca="false">1-0.2*(TC_xmb+(TC_n-1)*TC_xmt)*D60/(TC_n*TC_b)</f>
        <v>1</v>
      </c>
      <c r="F60" s="28" t="n">
        <f aca="false">TC_s*E60*TC_m*TC_n*TC_b*SQRT(2*g_)*D60^1.5</f>
        <v>0</v>
      </c>
      <c r="G60" s="29" t="n">
        <f aca="false">MAX(A60-SC_Z,0)</f>
        <v>0.549999999999997</v>
      </c>
      <c r="H60" s="30" t="n">
        <f aca="false">1-0.2*(SC_xmb+(SC_n-1)*SC_xmt)*G60/(SC_n*SC_b)</f>
        <v>0.9846</v>
      </c>
      <c r="I60" s="31" t="n">
        <f aca="false">SC_s*H60*SC_m*SC_n*SC_b*SQRT(2*g_)*G60^1.5</f>
        <v>4.00254188479958</v>
      </c>
      <c r="J60" s="32" t="n">
        <f aca="false">F60+I60</f>
        <v>4.00254188479958</v>
      </c>
      <c r="K60" s="32" t="n">
        <f aca="false">F60</f>
        <v>0</v>
      </c>
      <c r="L60" s="32" t="n">
        <f aca="false">C60*1000000/dt_s+J60/2</f>
        <v>5509.84849316462</v>
      </c>
      <c r="M60" s="32" t="n">
        <f aca="false">C60*1000000/dt_s+K60/2</f>
        <v>5507.84722222222</v>
      </c>
    </row>
    <row r="61" customFormat="false" ht="15" hidden="false" customHeight="false" outlineLevel="0" collapsed="false">
      <c r="A61" s="24" t="n">
        <f aca="false">ROUND(A60+0.01,2)</f>
        <v>71.56</v>
      </c>
      <c r="B61" s="25" t="n">
        <f aca="false">INDEX(Bang_F,MATCH(A61,Bang_Z,1))+(A61-INDEX(Bang_Z,MATCH(A61,Bang_Z,1)))*(INDEX(Bang_F,MATCH(A61,Bang_Z,1)+1)-INDEX(Bang_F,MATCH(A61,Bang_Z,1)))</f>
        <v>4.286</v>
      </c>
      <c r="C61" s="25" t="n">
        <f aca="false">INDEX(Bang_W,MATCH(A61,Bang_Z,1))+(A61-INDEX(Bang_Z,MATCH(A61,Bang_Z,1)))*(INDEX(Bang_F,MATCH(A61,Bang_Z,1))+B61)/2</f>
        <v>19.87108</v>
      </c>
      <c r="D61" s="26" t="n">
        <f aca="false">MAX(A61-TC_Z,0)</f>
        <v>0</v>
      </c>
      <c r="E61" s="27" t="n">
        <f aca="false">1-0.2*(TC_xmb+(TC_n-1)*TC_xmt)*D61/(TC_n*TC_b)</f>
        <v>1</v>
      </c>
      <c r="F61" s="28" t="n">
        <f aca="false">TC_s*E61*TC_m*TC_n*TC_b*SQRT(2*g_)*D61^1.5</f>
        <v>0</v>
      </c>
      <c r="G61" s="29" t="n">
        <f aca="false">MAX(A61-SC_Z,0)</f>
        <v>0.560000000000002</v>
      </c>
      <c r="H61" s="30" t="n">
        <f aca="false">1-0.2*(SC_xmb+(SC_n-1)*SC_xmt)*G61/(SC_n*SC_b)</f>
        <v>0.98432</v>
      </c>
      <c r="I61" s="31" t="n">
        <f aca="false">SC_s*H61*SC_m*SC_n*SC_b*SQRT(2*g_)*G61^1.5</f>
        <v>4.11102738323536</v>
      </c>
      <c r="J61" s="32" t="n">
        <f aca="false">F61+I61</f>
        <v>4.11102738323536</v>
      </c>
      <c r="K61" s="32" t="n">
        <f aca="false">F61</f>
        <v>0</v>
      </c>
      <c r="L61" s="32" t="n">
        <f aca="false">C61*1000000/dt_s+J61/2</f>
        <v>5521.79995813607</v>
      </c>
      <c r="M61" s="32" t="n">
        <f aca="false">C61*1000000/dt_s+K61/2</f>
        <v>5519.74444444445</v>
      </c>
    </row>
    <row r="62" customFormat="false" ht="15" hidden="false" customHeight="false" outlineLevel="0" collapsed="false">
      <c r="A62" s="24" t="n">
        <f aca="false">ROUND(A61+0.01,2)</f>
        <v>71.57</v>
      </c>
      <c r="B62" s="25" t="n">
        <f aca="false">INDEX(Bang_F,MATCH(A62,Bang_Z,1))+(A62-INDEX(Bang_Z,MATCH(A62,Bang_Z,1)))*(INDEX(Bang_F,MATCH(A62,Bang_Z,1)+1)-INDEX(Bang_F,MATCH(A62,Bang_Z,1)))</f>
        <v>4.292</v>
      </c>
      <c r="C62" s="25" t="n">
        <f aca="false">INDEX(Bang_W,MATCH(A62,Bang_Z,1))+(A62-INDEX(Bang_Z,MATCH(A62,Bang_Z,1)))*(INDEX(Bang_F,MATCH(A62,Bang_Z,1))+B62)/2</f>
        <v>19.91397</v>
      </c>
      <c r="D62" s="26" t="n">
        <f aca="false">MAX(A62-TC_Z,0)</f>
        <v>0</v>
      </c>
      <c r="E62" s="27" t="n">
        <f aca="false">1-0.2*(TC_xmb+(TC_n-1)*TC_xmt)*D62/(TC_n*TC_b)</f>
        <v>1</v>
      </c>
      <c r="F62" s="28" t="n">
        <f aca="false">TC_s*E62*TC_m*TC_n*TC_b*SQRT(2*g_)*D62^1.5</f>
        <v>0</v>
      </c>
      <c r="G62" s="29" t="n">
        <f aca="false">MAX(A62-SC_Z,0)</f>
        <v>0.569999999999993</v>
      </c>
      <c r="H62" s="30" t="n">
        <f aca="false">1-0.2*(SC_xmb+(SC_n-1)*SC_xmt)*G62/(SC_n*SC_b)</f>
        <v>0.98404</v>
      </c>
      <c r="I62" s="31" t="n">
        <f aca="false">SC_s*H62*SC_m*SC_n*SC_b*SQRT(2*g_)*G62^1.5</f>
        <v>4.22043344013097</v>
      </c>
      <c r="J62" s="32" t="n">
        <f aca="false">F62+I62</f>
        <v>4.22043344013097</v>
      </c>
      <c r="K62" s="32" t="n">
        <f aca="false">F62</f>
        <v>0</v>
      </c>
      <c r="L62" s="32" t="n">
        <f aca="false">C62*1000000/dt_s+J62/2</f>
        <v>5533.76855005339</v>
      </c>
      <c r="M62" s="32" t="n">
        <f aca="false">C62*1000000/dt_s+K62/2</f>
        <v>5531.65833333333</v>
      </c>
    </row>
    <row r="63" customFormat="false" ht="15" hidden="false" customHeight="false" outlineLevel="0" collapsed="false">
      <c r="A63" s="24" t="n">
        <f aca="false">ROUND(A62+0.01,2)</f>
        <v>71.58</v>
      </c>
      <c r="B63" s="25" t="n">
        <f aca="false">INDEX(Bang_F,MATCH(A63,Bang_Z,1))+(A63-INDEX(Bang_Z,MATCH(A63,Bang_Z,1)))*(INDEX(Bang_F,MATCH(A63,Bang_Z,1)+1)-INDEX(Bang_F,MATCH(A63,Bang_Z,1)))</f>
        <v>4.298</v>
      </c>
      <c r="C63" s="25" t="n">
        <f aca="false">INDEX(Bang_W,MATCH(A63,Bang_Z,1))+(A63-INDEX(Bang_Z,MATCH(A63,Bang_Z,1)))*(INDEX(Bang_F,MATCH(A63,Bang_Z,1))+B63)/2</f>
        <v>19.95692</v>
      </c>
      <c r="D63" s="26" t="n">
        <f aca="false">MAX(A63-TC_Z,0)</f>
        <v>0</v>
      </c>
      <c r="E63" s="27" t="n">
        <f aca="false">1-0.2*(TC_xmb+(TC_n-1)*TC_xmt)*D63/(TC_n*TC_b)</f>
        <v>1</v>
      </c>
      <c r="F63" s="28" t="n">
        <f aca="false">TC_s*E63*TC_m*TC_n*TC_b*SQRT(2*g_)*D63^1.5</f>
        <v>0</v>
      </c>
      <c r="G63" s="29" t="n">
        <f aca="false">MAX(A63-SC_Z,0)</f>
        <v>0.579999999999998</v>
      </c>
      <c r="H63" s="30" t="n">
        <f aca="false">1-0.2*(SC_xmb+(SC_n-1)*SC_xmt)*G63/(SC_n*SC_b)</f>
        <v>0.98376</v>
      </c>
      <c r="I63" s="31" t="n">
        <f aca="false">SC_s*H63*SC_m*SC_n*SC_b*SQRT(2*g_)*G63^1.5</f>
        <v>4.33075055792002</v>
      </c>
      <c r="J63" s="32" t="n">
        <f aca="false">F63+I63</f>
        <v>4.33075055792002</v>
      </c>
      <c r="K63" s="32" t="n">
        <f aca="false">F63</f>
        <v>0</v>
      </c>
      <c r="L63" s="32" t="n">
        <f aca="false">C63*1000000/dt_s+J63/2</f>
        <v>5545.75426416785</v>
      </c>
      <c r="M63" s="32" t="n">
        <f aca="false">C63*1000000/dt_s+K63/2</f>
        <v>5543.58888888889</v>
      </c>
    </row>
    <row r="64" customFormat="false" ht="15" hidden="false" customHeight="false" outlineLevel="0" collapsed="false">
      <c r="A64" s="24" t="n">
        <f aca="false">ROUND(A63+0.01,2)</f>
        <v>71.59</v>
      </c>
      <c r="B64" s="25" t="n">
        <f aca="false">INDEX(Bang_F,MATCH(A64,Bang_Z,1))+(A64-INDEX(Bang_Z,MATCH(A64,Bang_Z,1)))*(INDEX(Bang_F,MATCH(A64,Bang_Z,1)+1)-INDEX(Bang_F,MATCH(A64,Bang_Z,1)))</f>
        <v>4.304</v>
      </c>
      <c r="C64" s="25" t="n">
        <f aca="false">INDEX(Bang_W,MATCH(A64,Bang_Z,1))+(A64-INDEX(Bang_Z,MATCH(A64,Bang_Z,1)))*(INDEX(Bang_F,MATCH(A64,Bang_Z,1))+B64)/2</f>
        <v>19.99993</v>
      </c>
      <c r="D64" s="26" t="n">
        <f aca="false">MAX(A64-TC_Z,0)</f>
        <v>0</v>
      </c>
      <c r="E64" s="27" t="n">
        <f aca="false">1-0.2*(TC_xmb+(TC_n-1)*TC_xmt)*D64/(TC_n*TC_b)</f>
        <v>1</v>
      </c>
      <c r="F64" s="28" t="n">
        <f aca="false">TC_s*E64*TC_m*TC_n*TC_b*SQRT(2*g_)*D64^1.5</f>
        <v>0</v>
      </c>
      <c r="G64" s="29" t="n">
        <f aca="false">MAX(A64-SC_Z,0)</f>
        <v>0.590000000000003</v>
      </c>
      <c r="H64" s="30" t="n">
        <f aca="false">1-0.2*(SC_xmb+(SC_n-1)*SC_xmt)*G64/(SC_n*SC_b)</f>
        <v>0.98348</v>
      </c>
      <c r="I64" s="31" t="n">
        <f aca="false">SC_s*H64*SC_m*SC_n*SC_b*SQRT(2*g_)*G64^1.5</f>
        <v>4.44196947376144</v>
      </c>
      <c r="J64" s="32" t="n">
        <f aca="false">F64+I64</f>
        <v>4.44196947376144</v>
      </c>
      <c r="K64" s="32" t="n">
        <f aca="false">F64</f>
        <v>0</v>
      </c>
      <c r="L64" s="32" t="n">
        <f aca="false">C64*1000000/dt_s+J64/2</f>
        <v>5557.757095848</v>
      </c>
      <c r="M64" s="32" t="n">
        <f aca="false">C64*1000000/dt_s+K64/2</f>
        <v>5555.53611111112</v>
      </c>
    </row>
    <row r="65" customFormat="false" ht="15" hidden="false" customHeight="false" outlineLevel="0" collapsed="false">
      <c r="A65" s="24" t="n">
        <f aca="false">ROUND(A64+0.01,2)</f>
        <v>71.6</v>
      </c>
      <c r="B65" s="25" t="n">
        <f aca="false">INDEX(Bang_F,MATCH(A65,Bang_Z,1))+(A65-INDEX(Bang_Z,MATCH(A65,Bang_Z,1)))*(INDEX(Bang_F,MATCH(A65,Bang_Z,1)+1)-INDEX(Bang_F,MATCH(A65,Bang_Z,1)))</f>
        <v>4.31</v>
      </c>
      <c r="C65" s="25" t="n">
        <f aca="false">INDEX(Bang_W,MATCH(A65,Bang_Z,1))+(A65-INDEX(Bang_Z,MATCH(A65,Bang_Z,1)))*(INDEX(Bang_F,MATCH(A65,Bang_Z,1))+B65)/2</f>
        <v>20.043</v>
      </c>
      <c r="D65" s="26" t="n">
        <f aca="false">MAX(A65-TC_Z,0)</f>
        <v>0</v>
      </c>
      <c r="E65" s="27" t="n">
        <f aca="false">1-0.2*(TC_xmb+(TC_n-1)*TC_xmt)*D65/(TC_n*TC_b)</f>
        <v>1</v>
      </c>
      <c r="F65" s="28" t="n">
        <f aca="false">TC_s*E65*TC_m*TC_n*TC_b*SQRT(2*g_)*D65^1.5</f>
        <v>0</v>
      </c>
      <c r="G65" s="29" t="n">
        <f aca="false">MAX(A65-SC_Z,0)</f>
        <v>0.599999999999994</v>
      </c>
      <c r="H65" s="30" t="n">
        <f aca="false">1-0.2*(SC_xmb+(SC_n-1)*SC_xmt)*G65/(SC_n*SC_b)</f>
        <v>0.9832</v>
      </c>
      <c r="I65" s="31" t="n">
        <f aca="false">SC_s*H65*SC_m*SC_n*SC_b*SQRT(2*g_)*G65^1.5</f>
        <v>4.55408114965162</v>
      </c>
      <c r="J65" s="32" t="n">
        <f aca="false">F65+I65</f>
        <v>4.55408114965162</v>
      </c>
      <c r="K65" s="32" t="n">
        <f aca="false">F65</f>
        <v>0</v>
      </c>
      <c r="L65" s="32" t="n">
        <f aca="false">C65*1000000/dt_s+J65/2</f>
        <v>5569.77704057482</v>
      </c>
      <c r="M65" s="32" t="n">
        <f aca="false">C65*1000000/dt_s+K65/2</f>
        <v>5567.49999999999</v>
      </c>
    </row>
    <row r="66" customFormat="false" ht="15" hidden="false" customHeight="false" outlineLevel="0" collapsed="false">
      <c r="A66" s="24" t="n">
        <f aca="false">ROUND(A65+0.01,2)</f>
        <v>71.61</v>
      </c>
      <c r="B66" s="25" t="n">
        <f aca="false">INDEX(Bang_F,MATCH(A66,Bang_Z,1))+(A66-INDEX(Bang_Z,MATCH(A66,Bang_Z,1)))*(INDEX(Bang_F,MATCH(A66,Bang_Z,1)+1)-INDEX(Bang_F,MATCH(A66,Bang_Z,1)))</f>
        <v>4.316</v>
      </c>
      <c r="C66" s="25" t="n">
        <f aca="false">INDEX(Bang_W,MATCH(A66,Bang_Z,1))+(A66-INDEX(Bang_Z,MATCH(A66,Bang_Z,1)))*(INDEX(Bang_F,MATCH(A66,Bang_Z,1))+B66)/2</f>
        <v>20.08613</v>
      </c>
      <c r="D66" s="26" t="n">
        <f aca="false">MAX(A66-TC_Z,0)</f>
        <v>0</v>
      </c>
      <c r="E66" s="27" t="n">
        <f aca="false">1-0.2*(TC_xmb+(TC_n-1)*TC_xmt)*D66/(TC_n*TC_b)</f>
        <v>1</v>
      </c>
      <c r="F66" s="28" t="n">
        <f aca="false">TC_s*E66*TC_m*TC_n*TC_b*SQRT(2*g_)*D66^1.5</f>
        <v>0</v>
      </c>
      <c r="G66" s="29" t="n">
        <f aca="false">MAX(A66-SC_Z,0)</f>
        <v>0.609999999999999</v>
      </c>
      <c r="H66" s="30" t="n">
        <f aca="false">1-0.2*(SC_xmb+(SC_n-1)*SC_xmt)*G66/(SC_n*SC_b)</f>
        <v>0.98292</v>
      </c>
      <c r="I66" s="31" t="n">
        <f aca="false">SC_s*H66*SC_m*SC_n*SC_b*SQRT(2*g_)*G66^1.5</f>
        <v>4.66707676311342</v>
      </c>
      <c r="J66" s="32" t="n">
        <f aca="false">F66+I66</f>
        <v>4.66707676311342</v>
      </c>
      <c r="K66" s="32" t="n">
        <f aca="false">F66</f>
        <v>0</v>
      </c>
      <c r="L66" s="32" t="n">
        <f aca="false">C66*1000000/dt_s+J66/2</f>
        <v>5581.81409393711</v>
      </c>
      <c r="M66" s="32" t="n">
        <f aca="false">C66*1000000/dt_s+K66/2</f>
        <v>5579.48055555556</v>
      </c>
    </row>
    <row r="67" customFormat="false" ht="15" hidden="false" customHeight="false" outlineLevel="0" collapsed="false">
      <c r="A67" s="24" t="n">
        <f aca="false">ROUND(A66+0.01,2)</f>
        <v>71.62</v>
      </c>
      <c r="B67" s="25" t="n">
        <f aca="false">INDEX(Bang_F,MATCH(A67,Bang_Z,1))+(A67-INDEX(Bang_Z,MATCH(A67,Bang_Z,1)))*(INDEX(Bang_F,MATCH(A67,Bang_Z,1)+1)-INDEX(Bang_F,MATCH(A67,Bang_Z,1)))</f>
        <v>4.322</v>
      </c>
      <c r="C67" s="25" t="n">
        <f aca="false">INDEX(Bang_W,MATCH(A67,Bang_Z,1))+(A67-INDEX(Bang_Z,MATCH(A67,Bang_Z,1)))*(INDEX(Bang_F,MATCH(A67,Bang_Z,1))+B67)/2</f>
        <v>20.12932</v>
      </c>
      <c r="D67" s="26" t="n">
        <f aca="false">MAX(A67-TC_Z,0)</f>
        <v>0</v>
      </c>
      <c r="E67" s="27" t="n">
        <f aca="false">1-0.2*(TC_xmb+(TC_n-1)*TC_xmt)*D67/(TC_n*TC_b)</f>
        <v>1</v>
      </c>
      <c r="F67" s="28" t="n">
        <f aca="false">TC_s*E67*TC_m*TC_n*TC_b*SQRT(2*g_)*D67^1.5</f>
        <v>0</v>
      </c>
      <c r="G67" s="29" t="n">
        <f aca="false">MAX(A67-SC_Z,0)</f>
        <v>0.620000000000005</v>
      </c>
      <c r="H67" s="30" t="n">
        <f aca="false">1-0.2*(SC_xmb+(SC_n-1)*SC_xmt)*G67/(SC_n*SC_b)</f>
        <v>0.98264</v>
      </c>
      <c r="I67" s="31" t="n">
        <f aca="false">SC_s*H67*SC_m*SC_n*SC_b*SQRT(2*g_)*G67^1.5</f>
        <v>4.78094769841793</v>
      </c>
      <c r="J67" s="32" t="n">
        <f aca="false">F67+I67</f>
        <v>4.78094769841793</v>
      </c>
      <c r="K67" s="32" t="n">
        <f aca="false">F67</f>
        <v>0</v>
      </c>
      <c r="L67" s="32" t="n">
        <f aca="false">C67*1000000/dt_s+J67/2</f>
        <v>5593.86825162699</v>
      </c>
      <c r="M67" s="32" t="n">
        <f aca="false">C67*1000000/dt_s+K67/2</f>
        <v>5591.47777777778</v>
      </c>
    </row>
    <row r="68" customFormat="false" ht="15" hidden="false" customHeight="false" outlineLevel="0" collapsed="false">
      <c r="A68" s="24" t="n">
        <f aca="false">ROUND(A67+0.01,2)</f>
        <v>71.63</v>
      </c>
      <c r="B68" s="25" t="n">
        <f aca="false">INDEX(Bang_F,MATCH(A68,Bang_Z,1))+(A68-INDEX(Bang_Z,MATCH(A68,Bang_Z,1)))*(INDEX(Bang_F,MATCH(A68,Bang_Z,1)+1)-INDEX(Bang_F,MATCH(A68,Bang_Z,1)))</f>
        <v>4.328</v>
      </c>
      <c r="C68" s="25" t="n">
        <f aca="false">INDEX(Bang_W,MATCH(A68,Bang_Z,1))+(A68-INDEX(Bang_Z,MATCH(A68,Bang_Z,1)))*(INDEX(Bang_F,MATCH(A68,Bang_Z,1))+B68)/2</f>
        <v>20.17257</v>
      </c>
      <c r="D68" s="26" t="n">
        <f aca="false">MAX(A68-TC_Z,0)</f>
        <v>0</v>
      </c>
      <c r="E68" s="27" t="n">
        <f aca="false">1-0.2*(TC_xmb+(TC_n-1)*TC_xmt)*D68/(TC_n*TC_b)</f>
        <v>1</v>
      </c>
      <c r="F68" s="28" t="n">
        <f aca="false">TC_s*E68*TC_m*TC_n*TC_b*SQRT(2*g_)*D68^1.5</f>
        <v>0</v>
      </c>
      <c r="G68" s="29" t="n">
        <f aca="false">MAX(A68-SC_Z,0)</f>
        <v>0.629999999999996</v>
      </c>
      <c r="H68" s="30" t="n">
        <f aca="false">1-0.2*(SC_xmb+(SC_n-1)*SC_xmt)*G68/(SC_n*SC_b)</f>
        <v>0.98236</v>
      </c>
      <c r="I68" s="31" t="n">
        <f aca="false">SC_s*H68*SC_m*SC_n*SC_b*SQRT(2*g_)*G68^1.5</f>
        <v>4.89568553830297</v>
      </c>
      <c r="J68" s="32" t="n">
        <f aca="false">F68+I68</f>
        <v>4.89568553830297</v>
      </c>
      <c r="K68" s="32" t="n">
        <f aca="false">F68</f>
        <v>0</v>
      </c>
      <c r="L68" s="32" t="n">
        <f aca="false">C68*1000000/dt_s+J68/2</f>
        <v>5605.93950943581</v>
      </c>
      <c r="M68" s="32" t="n">
        <f aca="false">C68*1000000/dt_s+K68/2</f>
        <v>5603.49166666666</v>
      </c>
    </row>
    <row r="69" customFormat="false" ht="15" hidden="false" customHeight="false" outlineLevel="0" collapsed="false">
      <c r="A69" s="24" t="n">
        <f aca="false">ROUND(A68+0.01,2)</f>
        <v>71.64</v>
      </c>
      <c r="B69" s="25" t="n">
        <f aca="false">INDEX(Bang_F,MATCH(A69,Bang_Z,1))+(A69-INDEX(Bang_Z,MATCH(A69,Bang_Z,1)))*(INDEX(Bang_F,MATCH(A69,Bang_Z,1)+1)-INDEX(Bang_F,MATCH(A69,Bang_Z,1)))</f>
        <v>4.334</v>
      </c>
      <c r="C69" s="25" t="n">
        <f aca="false">INDEX(Bang_W,MATCH(A69,Bang_Z,1))+(A69-INDEX(Bang_Z,MATCH(A69,Bang_Z,1)))*(INDEX(Bang_F,MATCH(A69,Bang_Z,1))+B69)/2</f>
        <v>20.21588</v>
      </c>
      <c r="D69" s="26" t="n">
        <f aca="false">MAX(A69-TC_Z,0)</f>
        <v>0</v>
      </c>
      <c r="E69" s="27" t="n">
        <f aca="false">1-0.2*(TC_xmb+(TC_n-1)*TC_xmt)*D69/(TC_n*TC_b)</f>
        <v>1</v>
      </c>
      <c r="F69" s="28" t="n">
        <f aca="false">TC_s*E69*TC_m*TC_n*TC_b*SQRT(2*g_)*D69^1.5</f>
        <v>0</v>
      </c>
      <c r="G69" s="29" t="n">
        <f aca="false">MAX(A69-SC_Z,0)</f>
        <v>0.640000000000001</v>
      </c>
      <c r="H69" s="30" t="n">
        <f aca="false">1-0.2*(SC_xmb+(SC_n-1)*SC_xmt)*G69/(SC_n*SC_b)</f>
        <v>0.98208</v>
      </c>
      <c r="I69" s="31" t="n">
        <f aca="false">SC_s*H69*SC_m*SC_n*SC_b*SQRT(2*g_)*G69^1.5</f>
        <v>5.01128205615154</v>
      </c>
      <c r="J69" s="32" t="n">
        <f aca="false">F69+I69</f>
        <v>5.01128205615154</v>
      </c>
      <c r="K69" s="32" t="n">
        <f aca="false">F69</f>
        <v>0</v>
      </c>
      <c r="L69" s="32" t="n">
        <f aca="false">C69*1000000/dt_s+J69/2</f>
        <v>5618.0278632503</v>
      </c>
      <c r="M69" s="32" t="n">
        <f aca="false">C69*1000000/dt_s+K69/2</f>
        <v>5615.52222222223</v>
      </c>
    </row>
    <row r="70" customFormat="false" ht="15" hidden="false" customHeight="false" outlineLevel="0" collapsed="false">
      <c r="A70" s="24" t="n">
        <f aca="false">ROUND(A69+0.01,2)</f>
        <v>71.65</v>
      </c>
      <c r="B70" s="25" t="n">
        <f aca="false">INDEX(Bang_F,MATCH(A70,Bang_Z,1))+(A70-INDEX(Bang_Z,MATCH(A70,Bang_Z,1)))*(INDEX(Bang_F,MATCH(A70,Bang_Z,1)+1)-INDEX(Bang_F,MATCH(A70,Bang_Z,1)))</f>
        <v>4.34</v>
      </c>
      <c r="C70" s="25" t="n">
        <f aca="false">INDEX(Bang_W,MATCH(A70,Bang_Z,1))+(A70-INDEX(Bang_Z,MATCH(A70,Bang_Z,1)))*(INDEX(Bang_F,MATCH(A70,Bang_Z,1))+B70)/2</f>
        <v>20.25925</v>
      </c>
      <c r="D70" s="26" t="n">
        <f aca="false">MAX(A70-TC_Z,0)</f>
        <v>0</v>
      </c>
      <c r="E70" s="27" t="n">
        <f aca="false">1-0.2*(TC_xmb+(TC_n-1)*TC_xmt)*D70/(TC_n*TC_b)</f>
        <v>1</v>
      </c>
      <c r="F70" s="28" t="n">
        <f aca="false">TC_s*E70*TC_m*TC_n*TC_b*SQRT(2*g_)*D70^1.5</f>
        <v>0</v>
      </c>
      <c r="G70" s="29" t="n">
        <f aca="false">MAX(A70-SC_Z,0)</f>
        <v>0.650000000000006</v>
      </c>
      <c r="H70" s="30" t="n">
        <f aca="false">1-0.2*(SC_xmb+(SC_n-1)*SC_xmt)*G70/(SC_n*SC_b)</f>
        <v>0.9818</v>
      </c>
      <c r="I70" s="31" t="n">
        <f aca="false">SC_s*H70*SC_m*SC_n*SC_b*SQRT(2*g_)*G70^1.5</f>
        <v>5.12772920859632</v>
      </c>
      <c r="J70" s="32" t="n">
        <f aca="false">F70+I70</f>
        <v>5.12772920859632</v>
      </c>
      <c r="K70" s="32" t="n">
        <f aca="false">F70</f>
        <v>0</v>
      </c>
      <c r="L70" s="32" t="n">
        <f aca="false">C70*1000000/dt_s+J70/2</f>
        <v>5630.13330904875</v>
      </c>
      <c r="M70" s="32" t="n">
        <f aca="false">C70*1000000/dt_s+K70/2</f>
        <v>5627.56944444445</v>
      </c>
    </row>
    <row r="71" customFormat="false" ht="15" hidden="false" customHeight="false" outlineLevel="0" collapsed="false">
      <c r="A71" s="24" t="n">
        <f aca="false">ROUND(A70+0.01,2)</f>
        <v>71.66</v>
      </c>
      <c r="B71" s="25" t="n">
        <f aca="false">INDEX(Bang_F,MATCH(A71,Bang_Z,1))+(A71-INDEX(Bang_Z,MATCH(A71,Bang_Z,1)))*(INDEX(Bang_F,MATCH(A71,Bang_Z,1)+1)-INDEX(Bang_F,MATCH(A71,Bang_Z,1)))</f>
        <v>4.346</v>
      </c>
      <c r="C71" s="25" t="n">
        <f aca="false">INDEX(Bang_W,MATCH(A71,Bang_Z,1))+(A71-INDEX(Bang_Z,MATCH(A71,Bang_Z,1)))*(INDEX(Bang_F,MATCH(A71,Bang_Z,1))+B71)/2</f>
        <v>20.30268</v>
      </c>
      <c r="D71" s="26" t="n">
        <f aca="false">MAX(A71-TC_Z,0)</f>
        <v>0</v>
      </c>
      <c r="E71" s="27" t="n">
        <f aca="false">1-0.2*(TC_xmb+(TC_n-1)*TC_xmt)*D71/(TC_n*TC_b)</f>
        <v>1</v>
      </c>
      <c r="F71" s="28" t="n">
        <f aca="false">TC_s*E71*TC_m*TC_n*TC_b*SQRT(2*g_)*D71^1.5</f>
        <v>0</v>
      </c>
      <c r="G71" s="29" t="n">
        <f aca="false">MAX(A71-SC_Z,0)</f>
        <v>0.659999999999997</v>
      </c>
      <c r="H71" s="30" t="n">
        <f aca="false">1-0.2*(SC_xmb+(SC_n-1)*SC_xmt)*G71/(SC_n*SC_b)</f>
        <v>0.98152</v>
      </c>
      <c r="I71" s="31" t="n">
        <f aca="false">SC_s*H71*SC_m*SC_n*SC_b*SQRT(2*g_)*G71^1.5</f>
        <v>5.24501912852345</v>
      </c>
      <c r="J71" s="32" t="n">
        <f aca="false">F71+I71</f>
        <v>5.24501912852345</v>
      </c>
      <c r="K71" s="32" t="n">
        <f aca="false">F71</f>
        <v>0</v>
      </c>
      <c r="L71" s="32" t="n">
        <f aca="false">C71*1000000/dt_s+J71/2</f>
        <v>5642.25584289759</v>
      </c>
      <c r="M71" s="32" t="n">
        <f aca="false">C71*1000000/dt_s+K71/2</f>
        <v>5639.63333333333</v>
      </c>
    </row>
    <row r="72" customFormat="false" ht="15" hidden="false" customHeight="false" outlineLevel="0" collapsed="false">
      <c r="A72" s="24" t="n">
        <f aca="false">ROUND(A71+0.01,2)</f>
        <v>71.67</v>
      </c>
      <c r="B72" s="25" t="n">
        <f aca="false">INDEX(Bang_F,MATCH(A72,Bang_Z,1))+(A72-INDEX(Bang_Z,MATCH(A72,Bang_Z,1)))*(INDEX(Bang_F,MATCH(A72,Bang_Z,1)+1)-INDEX(Bang_F,MATCH(A72,Bang_Z,1)))</f>
        <v>4.352</v>
      </c>
      <c r="C72" s="25" t="n">
        <f aca="false">INDEX(Bang_W,MATCH(A72,Bang_Z,1))+(A72-INDEX(Bang_Z,MATCH(A72,Bang_Z,1)))*(INDEX(Bang_F,MATCH(A72,Bang_Z,1))+B72)/2</f>
        <v>20.34617</v>
      </c>
      <c r="D72" s="26" t="n">
        <f aca="false">MAX(A72-TC_Z,0)</f>
        <v>0</v>
      </c>
      <c r="E72" s="27" t="n">
        <f aca="false">1-0.2*(TC_xmb+(TC_n-1)*TC_xmt)*D72/(TC_n*TC_b)</f>
        <v>1</v>
      </c>
      <c r="F72" s="28" t="n">
        <f aca="false">TC_s*E72*TC_m*TC_n*TC_b*SQRT(2*g_)*D72^1.5</f>
        <v>0</v>
      </c>
      <c r="G72" s="29" t="n">
        <f aca="false">MAX(A72-SC_Z,0)</f>
        <v>0.670000000000002</v>
      </c>
      <c r="H72" s="30" t="n">
        <f aca="false">1-0.2*(SC_xmb+(SC_n-1)*SC_xmt)*G72/(SC_n*SC_b)</f>
        <v>0.98124</v>
      </c>
      <c r="I72" s="31" t="n">
        <f aca="false">SC_s*H72*SC_m*SC_n*SC_b*SQRT(2*g_)*G72^1.5</f>
        <v>5.36314411844713</v>
      </c>
      <c r="J72" s="32" t="n">
        <f aca="false">F72+I72</f>
        <v>5.36314411844713</v>
      </c>
      <c r="K72" s="32" t="n">
        <f aca="false">F72</f>
        <v>0</v>
      </c>
      <c r="L72" s="32" t="n">
        <f aca="false">C72*1000000/dt_s+J72/2</f>
        <v>5654.39546094812</v>
      </c>
      <c r="M72" s="32" t="n">
        <f aca="false">C72*1000000/dt_s+K72/2</f>
        <v>5651.71388888889</v>
      </c>
    </row>
    <row r="73" customFormat="false" ht="15" hidden="false" customHeight="false" outlineLevel="0" collapsed="false">
      <c r="A73" s="24" t="n">
        <f aca="false">ROUND(A72+0.01,2)</f>
        <v>71.68</v>
      </c>
      <c r="B73" s="25" t="n">
        <f aca="false">INDEX(Bang_F,MATCH(A73,Bang_Z,1))+(A73-INDEX(Bang_Z,MATCH(A73,Bang_Z,1)))*(INDEX(Bang_F,MATCH(A73,Bang_Z,1)+1)-INDEX(Bang_F,MATCH(A73,Bang_Z,1)))</f>
        <v>4.358</v>
      </c>
      <c r="C73" s="25" t="n">
        <f aca="false">INDEX(Bang_W,MATCH(A73,Bang_Z,1))+(A73-INDEX(Bang_Z,MATCH(A73,Bang_Z,1)))*(INDEX(Bang_F,MATCH(A73,Bang_Z,1))+B73)/2</f>
        <v>20.38972</v>
      </c>
      <c r="D73" s="26" t="n">
        <f aca="false">MAX(A73-TC_Z,0)</f>
        <v>0</v>
      </c>
      <c r="E73" s="27" t="n">
        <f aca="false">1-0.2*(TC_xmb+(TC_n-1)*TC_xmt)*D73/(TC_n*TC_b)</f>
        <v>1</v>
      </c>
      <c r="F73" s="28" t="n">
        <f aca="false">TC_s*E73*TC_m*TC_n*TC_b*SQRT(2*g_)*D73^1.5</f>
        <v>0</v>
      </c>
      <c r="G73" s="29" t="n">
        <f aca="false">MAX(A73-SC_Z,0)</f>
        <v>0.680000000000007</v>
      </c>
      <c r="H73" s="30" t="n">
        <f aca="false">1-0.2*(SC_xmb+(SC_n-1)*SC_xmt)*G73/(SC_n*SC_b)</f>
        <v>0.98096</v>
      </c>
      <c r="I73" s="31" t="n">
        <f aca="false">SC_s*H73*SC_m*SC_n*SC_b*SQRT(2*g_)*G73^1.5</f>
        <v>5.48209664422836</v>
      </c>
      <c r="J73" s="32" t="n">
        <f aca="false">F73+I73</f>
        <v>5.48209664422836</v>
      </c>
      <c r="K73" s="32" t="n">
        <f aca="false">F73</f>
        <v>0</v>
      </c>
      <c r="L73" s="32" t="n">
        <f aca="false">C73*1000000/dt_s+J73/2</f>
        <v>5666.55215943323</v>
      </c>
      <c r="M73" s="32" t="n">
        <f aca="false">C73*1000000/dt_s+K73/2</f>
        <v>5663.81111111112</v>
      </c>
    </row>
    <row r="74" customFormat="false" ht="15" hidden="false" customHeight="false" outlineLevel="0" collapsed="false">
      <c r="A74" s="24" t="n">
        <f aca="false">ROUND(A73+0.01,2)</f>
        <v>71.69</v>
      </c>
      <c r="B74" s="25" t="n">
        <f aca="false">INDEX(Bang_F,MATCH(A74,Bang_Z,1))+(A74-INDEX(Bang_Z,MATCH(A74,Bang_Z,1)))*(INDEX(Bang_F,MATCH(A74,Bang_Z,1)+1)-INDEX(Bang_F,MATCH(A74,Bang_Z,1)))</f>
        <v>4.364</v>
      </c>
      <c r="C74" s="25" t="n">
        <f aca="false">INDEX(Bang_W,MATCH(A74,Bang_Z,1))+(A74-INDEX(Bang_Z,MATCH(A74,Bang_Z,1)))*(INDEX(Bang_F,MATCH(A74,Bang_Z,1))+B74)/2</f>
        <v>20.43333</v>
      </c>
      <c r="D74" s="26" t="n">
        <f aca="false">MAX(A74-TC_Z,0)</f>
        <v>0</v>
      </c>
      <c r="E74" s="27" t="n">
        <f aca="false">1-0.2*(TC_xmb+(TC_n-1)*TC_xmt)*D74/(TC_n*TC_b)</f>
        <v>1</v>
      </c>
      <c r="F74" s="28" t="n">
        <f aca="false">TC_s*E74*TC_m*TC_n*TC_b*SQRT(2*g_)*D74^1.5</f>
        <v>0</v>
      </c>
      <c r="G74" s="29" t="n">
        <f aca="false">MAX(A74-SC_Z,0)</f>
        <v>0.689999999999998</v>
      </c>
      <c r="H74" s="30" t="n">
        <f aca="false">1-0.2*(SC_xmb+(SC_n-1)*SC_xmt)*G74/(SC_n*SC_b)</f>
        <v>0.98068</v>
      </c>
      <c r="I74" s="31" t="n">
        <f aca="false">SC_s*H74*SC_m*SC_n*SC_b*SQRT(2*g_)*G74^1.5</f>
        <v>5.6018693291182</v>
      </c>
      <c r="J74" s="32" t="n">
        <f aca="false">F74+I74</f>
        <v>5.6018693291182</v>
      </c>
      <c r="K74" s="32" t="n">
        <f aca="false">F74</f>
        <v>0</v>
      </c>
      <c r="L74" s="32" t="n">
        <f aca="false">C74*1000000/dt_s+J74/2</f>
        <v>5678.72593466456</v>
      </c>
      <c r="M74" s="32" t="n">
        <f aca="false">C74*1000000/dt_s+K74/2</f>
        <v>5675.925</v>
      </c>
    </row>
    <row r="75" customFormat="false" ht="15" hidden="false" customHeight="false" outlineLevel="0" collapsed="false">
      <c r="A75" s="24" t="n">
        <f aca="false">ROUND(A74+0.01,2)</f>
        <v>71.7</v>
      </c>
      <c r="B75" s="25" t="n">
        <f aca="false">INDEX(Bang_F,MATCH(A75,Bang_Z,1))+(A75-INDEX(Bang_Z,MATCH(A75,Bang_Z,1)))*(INDEX(Bang_F,MATCH(A75,Bang_Z,1)+1)-INDEX(Bang_F,MATCH(A75,Bang_Z,1)))</f>
        <v>4.37</v>
      </c>
      <c r="C75" s="25" t="n">
        <f aca="false">INDEX(Bang_W,MATCH(A75,Bang_Z,1))+(A75-INDEX(Bang_Z,MATCH(A75,Bang_Z,1)))*(INDEX(Bang_F,MATCH(A75,Bang_Z,1))+B75)/2</f>
        <v>20.477</v>
      </c>
      <c r="D75" s="26" t="n">
        <f aca="false">MAX(A75-TC_Z,0)</f>
        <v>0</v>
      </c>
      <c r="E75" s="27" t="n">
        <f aca="false">1-0.2*(TC_xmb+(TC_n-1)*TC_xmt)*D75/(TC_n*TC_b)</f>
        <v>1</v>
      </c>
      <c r="F75" s="28" t="n">
        <f aca="false">TC_s*E75*TC_m*TC_n*TC_b*SQRT(2*g_)*D75^1.5</f>
        <v>0</v>
      </c>
      <c r="G75" s="29" t="n">
        <f aca="false">MAX(A75-SC_Z,0)</f>
        <v>0.700000000000003</v>
      </c>
      <c r="H75" s="30" t="n">
        <f aca="false">1-0.2*(SC_xmb+(SC_n-1)*SC_xmt)*G75/(SC_n*SC_b)</f>
        <v>0.9804</v>
      </c>
      <c r="I75" s="31" t="n">
        <f aca="false">SC_s*H75*SC_m*SC_n*SC_b*SQRT(2*g_)*G75^1.5</f>
        <v>5.72245494810269</v>
      </c>
      <c r="J75" s="32" t="n">
        <f aca="false">F75+I75</f>
        <v>5.72245494810269</v>
      </c>
      <c r="K75" s="32" t="n">
        <f aca="false">F75</f>
        <v>0</v>
      </c>
      <c r="L75" s="32" t="n">
        <f aca="false">C75*1000000/dt_s+J75/2</f>
        <v>5690.91678302961</v>
      </c>
      <c r="M75" s="32" t="n">
        <f aca="false">C75*1000000/dt_s+K75/2</f>
        <v>5688.05555555556</v>
      </c>
    </row>
    <row r="76" customFormat="false" ht="15" hidden="false" customHeight="false" outlineLevel="0" collapsed="false">
      <c r="A76" s="24" t="n">
        <f aca="false">ROUND(A75+0.01,2)</f>
        <v>71.71</v>
      </c>
      <c r="B76" s="25" t="n">
        <f aca="false">INDEX(Bang_F,MATCH(A76,Bang_Z,1))+(A76-INDEX(Bang_Z,MATCH(A76,Bang_Z,1)))*(INDEX(Bang_F,MATCH(A76,Bang_Z,1)+1)-INDEX(Bang_F,MATCH(A76,Bang_Z,1)))</f>
        <v>4.376</v>
      </c>
      <c r="C76" s="25" t="n">
        <f aca="false">INDEX(Bang_W,MATCH(A76,Bang_Z,1))+(A76-INDEX(Bang_Z,MATCH(A76,Bang_Z,1)))*(INDEX(Bang_F,MATCH(A76,Bang_Z,1))+B76)/2</f>
        <v>20.52073</v>
      </c>
      <c r="D76" s="26" t="n">
        <f aca="false">MAX(A76-TC_Z,0)</f>
        <v>0</v>
      </c>
      <c r="E76" s="27" t="n">
        <f aca="false">1-0.2*(TC_xmb+(TC_n-1)*TC_xmt)*D76/(TC_n*TC_b)</f>
        <v>1</v>
      </c>
      <c r="F76" s="28" t="n">
        <f aca="false">TC_s*E76*TC_m*TC_n*TC_b*SQRT(2*g_)*D76^1.5</f>
        <v>0</v>
      </c>
      <c r="G76" s="29" t="n">
        <f aca="false">MAX(A76-SC_Z,0)</f>
        <v>0.709999999999994</v>
      </c>
      <c r="H76" s="30" t="n">
        <f aca="false">1-0.2*(SC_xmb+(SC_n-1)*SC_xmt)*G76/(SC_n*SC_b)</f>
        <v>0.98012</v>
      </c>
      <c r="I76" s="31" t="n">
        <f aca="false">SC_s*H76*SC_m*SC_n*SC_b*SQRT(2*g_)*G76^1.5</f>
        <v>5.84384642252853</v>
      </c>
      <c r="J76" s="32" t="n">
        <f aca="false">F76+I76</f>
        <v>5.84384642252853</v>
      </c>
      <c r="K76" s="32" t="n">
        <f aca="false">F76</f>
        <v>0</v>
      </c>
      <c r="L76" s="32" t="n">
        <f aca="false">C76*1000000/dt_s+J76/2</f>
        <v>5703.12470098904</v>
      </c>
      <c r="M76" s="32" t="n">
        <f aca="false">C76*1000000/dt_s+K76/2</f>
        <v>5700.20277777777</v>
      </c>
    </row>
    <row r="77" customFormat="false" ht="15" hidden="false" customHeight="false" outlineLevel="0" collapsed="false">
      <c r="A77" s="24" t="n">
        <f aca="false">ROUND(A76+0.01,2)</f>
        <v>71.72</v>
      </c>
      <c r="B77" s="25" t="n">
        <f aca="false">INDEX(Bang_F,MATCH(A77,Bang_Z,1))+(A77-INDEX(Bang_Z,MATCH(A77,Bang_Z,1)))*(INDEX(Bang_F,MATCH(A77,Bang_Z,1)+1)-INDEX(Bang_F,MATCH(A77,Bang_Z,1)))</f>
        <v>4.382</v>
      </c>
      <c r="C77" s="25" t="n">
        <f aca="false">INDEX(Bang_W,MATCH(A77,Bang_Z,1))+(A77-INDEX(Bang_Z,MATCH(A77,Bang_Z,1)))*(INDEX(Bang_F,MATCH(A77,Bang_Z,1))+B77)/2</f>
        <v>20.56452</v>
      </c>
      <c r="D77" s="26" t="n">
        <f aca="false">MAX(A77-TC_Z,0)</f>
        <v>0</v>
      </c>
      <c r="E77" s="27" t="n">
        <f aca="false">1-0.2*(TC_xmb+(TC_n-1)*TC_xmt)*D77/(TC_n*TC_b)</f>
        <v>1</v>
      </c>
      <c r="F77" s="28" t="n">
        <f aca="false">TC_s*E77*TC_m*TC_n*TC_b*SQRT(2*g_)*D77^1.5</f>
        <v>0</v>
      </c>
      <c r="G77" s="29" t="n">
        <f aca="false">MAX(A77-SC_Z,0)</f>
        <v>0.719999999999999</v>
      </c>
      <c r="H77" s="30" t="n">
        <f aca="false">1-0.2*(SC_xmb+(SC_n-1)*SC_xmt)*G77/(SC_n*SC_b)</f>
        <v>0.97984</v>
      </c>
      <c r="I77" s="31" t="n">
        <f aca="false">SC_s*H77*SC_m*SC_n*SC_b*SQRT(2*g_)*G77^1.5</f>
        <v>5.96603681499573</v>
      </c>
      <c r="J77" s="32" t="n">
        <f aca="false">F77+I77</f>
        <v>5.96603681499573</v>
      </c>
      <c r="K77" s="32" t="n">
        <f aca="false">F77</f>
        <v>0</v>
      </c>
      <c r="L77" s="32" t="n">
        <f aca="false">C77*1000000/dt_s+J77/2</f>
        <v>5715.34968507416</v>
      </c>
      <c r="M77" s="32" t="n">
        <f aca="false">C77*1000000/dt_s+K77/2</f>
        <v>5712.36666666667</v>
      </c>
    </row>
    <row r="78" customFormat="false" ht="15" hidden="false" customHeight="false" outlineLevel="0" collapsed="false">
      <c r="A78" s="24" t="n">
        <f aca="false">ROUND(A77+0.01,2)</f>
        <v>71.73</v>
      </c>
      <c r="B78" s="25" t="n">
        <f aca="false">INDEX(Bang_F,MATCH(A78,Bang_Z,1))+(A78-INDEX(Bang_Z,MATCH(A78,Bang_Z,1)))*(INDEX(Bang_F,MATCH(A78,Bang_Z,1)+1)-INDEX(Bang_F,MATCH(A78,Bang_Z,1)))</f>
        <v>4.388</v>
      </c>
      <c r="C78" s="25" t="n">
        <f aca="false">INDEX(Bang_W,MATCH(A78,Bang_Z,1))+(A78-INDEX(Bang_Z,MATCH(A78,Bang_Z,1)))*(INDEX(Bang_F,MATCH(A78,Bang_Z,1))+B78)/2</f>
        <v>20.60837</v>
      </c>
      <c r="D78" s="26" t="n">
        <f aca="false">MAX(A78-TC_Z,0)</f>
        <v>0</v>
      </c>
      <c r="E78" s="27" t="n">
        <f aca="false">1-0.2*(TC_xmb+(TC_n-1)*TC_xmt)*D78/(TC_n*TC_b)</f>
        <v>1</v>
      </c>
      <c r="F78" s="28" t="n">
        <f aca="false">TC_s*E78*TC_m*TC_n*TC_b*SQRT(2*g_)*D78^1.5</f>
        <v>0</v>
      </c>
      <c r="G78" s="29" t="n">
        <f aca="false">MAX(A78-SC_Z,0)</f>
        <v>0.730000000000004</v>
      </c>
      <c r="H78" s="30" t="n">
        <f aca="false">1-0.2*(SC_xmb+(SC_n-1)*SC_xmt)*G78/(SC_n*SC_b)</f>
        <v>0.97956</v>
      </c>
      <c r="I78" s="31" t="n">
        <f aca="false">SC_s*H78*SC_m*SC_n*SC_b*SQRT(2*g_)*G78^1.5</f>
        <v>6.08901932449564</v>
      </c>
      <c r="J78" s="32" t="n">
        <f aca="false">F78+I78</f>
        <v>6.08901932449564</v>
      </c>
      <c r="K78" s="32" t="n">
        <f aca="false">F78</f>
        <v>0</v>
      </c>
      <c r="L78" s="32" t="n">
        <f aca="false">C78*1000000/dt_s+J78/2</f>
        <v>5727.59173188448</v>
      </c>
      <c r="M78" s="32" t="n">
        <f aca="false">C78*1000000/dt_s+K78/2</f>
        <v>5724.54722222223</v>
      </c>
    </row>
    <row r="79" customFormat="false" ht="15" hidden="false" customHeight="false" outlineLevel="0" collapsed="false">
      <c r="A79" s="24" t="n">
        <f aca="false">ROUND(A78+0.01,2)</f>
        <v>71.74</v>
      </c>
      <c r="B79" s="25" t="n">
        <f aca="false">INDEX(Bang_F,MATCH(A79,Bang_Z,1))+(A79-INDEX(Bang_Z,MATCH(A79,Bang_Z,1)))*(INDEX(Bang_F,MATCH(A79,Bang_Z,1)+1)-INDEX(Bang_F,MATCH(A79,Bang_Z,1)))</f>
        <v>4.394</v>
      </c>
      <c r="C79" s="25" t="n">
        <f aca="false">INDEX(Bang_W,MATCH(A79,Bang_Z,1))+(A79-INDEX(Bang_Z,MATCH(A79,Bang_Z,1)))*(INDEX(Bang_F,MATCH(A79,Bang_Z,1))+B79)/2</f>
        <v>20.65228</v>
      </c>
      <c r="D79" s="26" t="n">
        <f aca="false">MAX(A79-TC_Z,0)</f>
        <v>0</v>
      </c>
      <c r="E79" s="27" t="n">
        <f aca="false">1-0.2*(TC_xmb+(TC_n-1)*TC_xmt)*D79/(TC_n*TC_b)</f>
        <v>1</v>
      </c>
      <c r="F79" s="28" t="n">
        <f aca="false">TC_s*E79*TC_m*TC_n*TC_b*SQRT(2*g_)*D79^1.5</f>
        <v>0</v>
      </c>
      <c r="G79" s="29" t="n">
        <f aca="false">MAX(A79-SC_Z,0)</f>
        <v>0.739999999999995</v>
      </c>
      <c r="H79" s="30" t="n">
        <f aca="false">1-0.2*(SC_xmb+(SC_n-1)*SC_xmt)*G79/(SC_n*SC_b)</f>
        <v>0.97928</v>
      </c>
      <c r="I79" s="31" t="n">
        <f aca="false">SC_s*H79*SC_m*SC_n*SC_b*SQRT(2*g_)*G79^1.5</f>
        <v>6.2127872817833</v>
      </c>
      <c r="J79" s="32" t="n">
        <f aca="false">F79+I79</f>
        <v>6.2127872817833</v>
      </c>
      <c r="K79" s="32" t="n">
        <f aca="false">F79</f>
        <v>0</v>
      </c>
      <c r="L79" s="32" t="n">
        <f aca="false">C79*1000000/dt_s+J79/2</f>
        <v>5739.85083808533</v>
      </c>
      <c r="M79" s="32" t="n">
        <f aca="false">C79*1000000/dt_s+K79/2</f>
        <v>5736.74444444444</v>
      </c>
    </row>
    <row r="80" customFormat="false" ht="15" hidden="false" customHeight="false" outlineLevel="0" collapsed="false">
      <c r="A80" s="24" t="n">
        <f aca="false">ROUND(A79+0.01,2)</f>
        <v>71.75</v>
      </c>
      <c r="B80" s="25" t="n">
        <f aca="false">INDEX(Bang_F,MATCH(A80,Bang_Z,1))+(A80-INDEX(Bang_Z,MATCH(A80,Bang_Z,1)))*(INDEX(Bang_F,MATCH(A80,Bang_Z,1)+1)-INDEX(Bang_F,MATCH(A80,Bang_Z,1)))</f>
        <v>4.4</v>
      </c>
      <c r="C80" s="25" t="n">
        <f aca="false">INDEX(Bang_W,MATCH(A80,Bang_Z,1))+(A80-INDEX(Bang_Z,MATCH(A80,Bang_Z,1)))*(INDEX(Bang_F,MATCH(A80,Bang_Z,1))+B80)/2</f>
        <v>20.69625</v>
      </c>
      <c r="D80" s="26" t="n">
        <f aca="false">MAX(A80-TC_Z,0)</f>
        <v>0</v>
      </c>
      <c r="E80" s="27" t="n">
        <f aca="false">1-0.2*(TC_xmb+(TC_n-1)*TC_xmt)*D80/(TC_n*TC_b)</f>
        <v>1</v>
      </c>
      <c r="F80" s="28" t="n">
        <f aca="false">TC_s*E80*TC_m*TC_n*TC_b*SQRT(2*g_)*D80^1.5</f>
        <v>0</v>
      </c>
      <c r="G80" s="29" t="n">
        <f aca="false">MAX(A80-SC_Z,0)</f>
        <v>0.75</v>
      </c>
      <c r="H80" s="30" t="n">
        <f aca="false">1-0.2*(SC_xmb+(SC_n-1)*SC_xmt)*G80/(SC_n*SC_b)</f>
        <v>0.979</v>
      </c>
      <c r="I80" s="31" t="n">
        <f aca="false">SC_s*H80*SC_m*SC_n*SC_b*SQRT(2*g_)*G80^1.5</f>
        <v>6.33733414496825</v>
      </c>
      <c r="J80" s="32" t="n">
        <f aca="false">F80+I80</f>
        <v>6.33733414496825</v>
      </c>
      <c r="K80" s="32" t="n">
        <f aca="false">F80</f>
        <v>0</v>
      </c>
      <c r="L80" s="32" t="n">
        <f aca="false">C80*1000000/dt_s+J80/2</f>
        <v>5752.12700040582</v>
      </c>
      <c r="M80" s="32" t="n">
        <f aca="false">C80*1000000/dt_s+K80/2</f>
        <v>5748.95833333333</v>
      </c>
    </row>
    <row r="81" customFormat="false" ht="15" hidden="false" customHeight="false" outlineLevel="0" collapsed="false">
      <c r="A81" s="24" t="n">
        <f aca="false">ROUND(A80+0.01,2)</f>
        <v>71.76</v>
      </c>
      <c r="B81" s="25" t="n">
        <f aca="false">INDEX(Bang_F,MATCH(A81,Bang_Z,1))+(A81-INDEX(Bang_Z,MATCH(A81,Bang_Z,1)))*(INDEX(Bang_F,MATCH(A81,Bang_Z,1)+1)-INDEX(Bang_F,MATCH(A81,Bang_Z,1)))</f>
        <v>4.406</v>
      </c>
      <c r="C81" s="25" t="n">
        <f aca="false">INDEX(Bang_W,MATCH(A81,Bang_Z,1))+(A81-INDEX(Bang_Z,MATCH(A81,Bang_Z,1)))*(INDEX(Bang_F,MATCH(A81,Bang_Z,1))+B81)/2</f>
        <v>20.74028</v>
      </c>
      <c r="D81" s="26" t="n">
        <f aca="false">MAX(A81-TC_Z,0)</f>
        <v>0</v>
      </c>
      <c r="E81" s="27" t="n">
        <f aca="false">1-0.2*(TC_xmb+(TC_n-1)*TC_xmt)*D81/(TC_n*TC_b)</f>
        <v>1</v>
      </c>
      <c r="F81" s="28" t="n">
        <f aca="false">TC_s*E81*TC_m*TC_n*TC_b*SQRT(2*g_)*D81^1.5</f>
        <v>0</v>
      </c>
      <c r="G81" s="29" t="n">
        <f aca="false">MAX(A81-SC_Z,0)</f>
        <v>0.760000000000005</v>
      </c>
      <c r="H81" s="30" t="n">
        <f aca="false">1-0.2*(SC_xmb+(SC_n-1)*SC_xmt)*G81/(SC_n*SC_b)</f>
        <v>0.97872</v>
      </c>
      <c r="I81" s="31" t="n">
        <f aca="false">SC_s*H81*SC_m*SC_n*SC_b*SQRT(2*g_)*G81^1.5</f>
        <v>6.46265349530919</v>
      </c>
      <c r="J81" s="32" t="n">
        <f aca="false">F81+I81</f>
        <v>6.46265349530919</v>
      </c>
      <c r="K81" s="32" t="n">
        <f aca="false">F81</f>
        <v>0</v>
      </c>
      <c r="L81" s="32" t="n">
        <f aca="false">C81*1000000/dt_s+J81/2</f>
        <v>5764.42021563655</v>
      </c>
      <c r="M81" s="32" t="n">
        <f aca="false">C81*1000000/dt_s+K81/2</f>
        <v>5761.1888888889</v>
      </c>
    </row>
    <row r="82" customFormat="false" ht="15" hidden="false" customHeight="false" outlineLevel="0" collapsed="false">
      <c r="A82" s="24" t="n">
        <f aca="false">ROUND(A81+0.01,2)</f>
        <v>71.77</v>
      </c>
      <c r="B82" s="25" t="n">
        <f aca="false">INDEX(Bang_F,MATCH(A82,Bang_Z,1))+(A82-INDEX(Bang_Z,MATCH(A82,Bang_Z,1)))*(INDEX(Bang_F,MATCH(A82,Bang_Z,1)+1)-INDEX(Bang_F,MATCH(A82,Bang_Z,1)))</f>
        <v>4.412</v>
      </c>
      <c r="C82" s="25" t="n">
        <f aca="false">INDEX(Bang_W,MATCH(A82,Bang_Z,1))+(A82-INDEX(Bang_Z,MATCH(A82,Bang_Z,1)))*(INDEX(Bang_F,MATCH(A82,Bang_Z,1))+B82)/2</f>
        <v>20.78437</v>
      </c>
      <c r="D82" s="26" t="n">
        <f aca="false">MAX(A82-TC_Z,0)</f>
        <v>0</v>
      </c>
      <c r="E82" s="27" t="n">
        <f aca="false">1-0.2*(TC_xmb+(TC_n-1)*TC_xmt)*D82/(TC_n*TC_b)</f>
        <v>1</v>
      </c>
      <c r="F82" s="28" t="n">
        <f aca="false">TC_s*E82*TC_m*TC_n*TC_b*SQRT(2*g_)*D82^1.5</f>
        <v>0</v>
      </c>
      <c r="G82" s="29" t="n">
        <f aca="false">MAX(A82-SC_Z,0)</f>
        <v>0.769999999999996</v>
      </c>
      <c r="H82" s="30" t="n">
        <f aca="false">1-0.2*(SC_xmb+(SC_n-1)*SC_xmt)*G82/(SC_n*SC_b)</f>
        <v>0.97844</v>
      </c>
      <c r="I82" s="31" t="n">
        <f aca="false">SC_s*H82*SC_m*SC_n*SC_b*SQRT(2*g_)*G82^1.5</f>
        <v>6.5887390332033</v>
      </c>
      <c r="J82" s="32" t="n">
        <f aca="false">F82+I82</f>
        <v>6.5887390332033</v>
      </c>
      <c r="K82" s="32" t="n">
        <f aca="false">F82</f>
        <v>0</v>
      </c>
      <c r="L82" s="32" t="n">
        <f aca="false">C82*1000000/dt_s+J82/2</f>
        <v>5776.73048062771</v>
      </c>
      <c r="M82" s="32" t="n">
        <f aca="false">C82*1000000/dt_s+K82/2</f>
        <v>5773.43611111111</v>
      </c>
    </row>
    <row r="83" customFormat="false" ht="15" hidden="false" customHeight="false" outlineLevel="0" collapsed="false">
      <c r="A83" s="24" t="n">
        <f aca="false">ROUND(A82+0.01,2)</f>
        <v>71.78</v>
      </c>
      <c r="B83" s="25" t="n">
        <f aca="false">INDEX(Bang_F,MATCH(A83,Bang_Z,1))+(A83-INDEX(Bang_Z,MATCH(A83,Bang_Z,1)))*(INDEX(Bang_F,MATCH(A83,Bang_Z,1)+1)-INDEX(Bang_F,MATCH(A83,Bang_Z,1)))</f>
        <v>4.418</v>
      </c>
      <c r="C83" s="25" t="n">
        <f aca="false">INDEX(Bang_W,MATCH(A83,Bang_Z,1))+(A83-INDEX(Bang_Z,MATCH(A83,Bang_Z,1)))*(INDEX(Bang_F,MATCH(A83,Bang_Z,1))+B83)/2</f>
        <v>20.82852</v>
      </c>
      <c r="D83" s="26" t="n">
        <f aca="false">MAX(A83-TC_Z,0)</f>
        <v>0</v>
      </c>
      <c r="E83" s="27" t="n">
        <f aca="false">1-0.2*(TC_xmb+(TC_n-1)*TC_xmt)*D83/(TC_n*TC_b)</f>
        <v>1</v>
      </c>
      <c r="F83" s="28" t="n">
        <f aca="false">TC_s*E83*TC_m*TC_n*TC_b*SQRT(2*g_)*D83^1.5</f>
        <v>0</v>
      </c>
      <c r="G83" s="29" t="n">
        <f aca="false">MAX(A83-SC_Z,0)</f>
        <v>0.780000000000001</v>
      </c>
      <c r="H83" s="30" t="n">
        <f aca="false">1-0.2*(SC_xmb+(SC_n-1)*SC_xmt)*G83/(SC_n*SC_b)</f>
        <v>0.97816</v>
      </c>
      <c r="I83" s="31" t="n">
        <f aca="false">SC_s*H83*SC_m*SC_n*SC_b*SQRT(2*g_)*G83^1.5</f>
        <v>6.71558457435759</v>
      </c>
      <c r="J83" s="32" t="n">
        <f aca="false">F83+I83</f>
        <v>6.71558457435759</v>
      </c>
      <c r="K83" s="32" t="n">
        <f aca="false">F83</f>
        <v>0</v>
      </c>
      <c r="L83" s="32" t="n">
        <f aca="false">C83*1000000/dt_s+J83/2</f>
        <v>5789.05779228718</v>
      </c>
      <c r="M83" s="32" t="n">
        <f aca="false">C83*1000000/dt_s+K83/2</f>
        <v>5785.7</v>
      </c>
    </row>
    <row r="84" customFormat="false" ht="15" hidden="false" customHeight="false" outlineLevel="0" collapsed="false">
      <c r="A84" s="24" t="n">
        <f aca="false">ROUND(A83+0.01,2)</f>
        <v>71.79</v>
      </c>
      <c r="B84" s="25" t="n">
        <f aca="false">INDEX(Bang_F,MATCH(A84,Bang_Z,1))+(A84-INDEX(Bang_Z,MATCH(A84,Bang_Z,1)))*(INDEX(Bang_F,MATCH(A84,Bang_Z,1)+1)-INDEX(Bang_F,MATCH(A84,Bang_Z,1)))</f>
        <v>4.424</v>
      </c>
      <c r="C84" s="25" t="n">
        <f aca="false">INDEX(Bang_W,MATCH(A84,Bang_Z,1))+(A84-INDEX(Bang_Z,MATCH(A84,Bang_Z,1)))*(INDEX(Bang_F,MATCH(A84,Bang_Z,1))+B84)/2</f>
        <v>20.87273</v>
      </c>
      <c r="D84" s="26" t="n">
        <f aca="false">MAX(A84-TC_Z,0)</f>
        <v>0</v>
      </c>
      <c r="E84" s="27" t="n">
        <f aca="false">1-0.2*(TC_xmb+(TC_n-1)*TC_xmt)*D84/(TC_n*TC_b)</f>
        <v>1</v>
      </c>
      <c r="F84" s="28" t="n">
        <f aca="false">TC_s*E84*TC_m*TC_n*TC_b*SQRT(2*g_)*D84^1.5</f>
        <v>0</v>
      </c>
      <c r="G84" s="29" t="n">
        <f aca="false">MAX(A84-SC_Z,0)</f>
        <v>0.790000000000006</v>
      </c>
      <c r="H84" s="30" t="n">
        <f aca="false">1-0.2*(SC_xmb+(SC_n-1)*SC_xmt)*G84/(SC_n*SC_b)</f>
        <v>0.97788</v>
      </c>
      <c r="I84" s="31" t="n">
        <f aca="false">SC_s*H84*SC_m*SC_n*SC_b*SQRT(2*g_)*G84^1.5</f>
        <v>6.84318404612995</v>
      </c>
      <c r="J84" s="32" t="n">
        <f aca="false">F84+I84</f>
        <v>6.84318404612995</v>
      </c>
      <c r="K84" s="32" t="n">
        <f aca="false">F84</f>
        <v>0</v>
      </c>
      <c r="L84" s="32" t="n">
        <f aca="false">C84*1000000/dt_s+J84/2</f>
        <v>5801.40214757863</v>
      </c>
      <c r="M84" s="32" t="n">
        <f aca="false">C84*1000000/dt_s+K84/2</f>
        <v>5797.98055555556</v>
      </c>
    </row>
    <row r="85" customFormat="false" ht="15" hidden="false" customHeight="false" outlineLevel="0" collapsed="false">
      <c r="A85" s="24" t="n">
        <f aca="false">ROUND(A84+0.01,2)</f>
        <v>71.8</v>
      </c>
      <c r="B85" s="25" t="n">
        <f aca="false">INDEX(Bang_F,MATCH(A85,Bang_Z,1))+(A85-INDEX(Bang_Z,MATCH(A85,Bang_Z,1)))*(INDEX(Bang_F,MATCH(A85,Bang_Z,1)+1)-INDEX(Bang_F,MATCH(A85,Bang_Z,1)))</f>
        <v>4.43</v>
      </c>
      <c r="C85" s="25" t="n">
        <f aca="false">INDEX(Bang_W,MATCH(A85,Bang_Z,1))+(A85-INDEX(Bang_Z,MATCH(A85,Bang_Z,1)))*(INDEX(Bang_F,MATCH(A85,Bang_Z,1))+B85)/2</f>
        <v>20.917</v>
      </c>
      <c r="D85" s="26" t="n">
        <f aca="false">MAX(A85-TC_Z,0)</f>
        <v>0</v>
      </c>
      <c r="E85" s="27" t="n">
        <f aca="false">1-0.2*(TC_xmb+(TC_n-1)*TC_xmt)*D85/(TC_n*TC_b)</f>
        <v>1</v>
      </c>
      <c r="F85" s="28" t="n">
        <f aca="false">TC_s*E85*TC_m*TC_n*TC_b*SQRT(2*g_)*D85^1.5</f>
        <v>0</v>
      </c>
      <c r="G85" s="29" t="n">
        <f aca="false">MAX(A85-SC_Z,0)</f>
        <v>0.799999999999997</v>
      </c>
      <c r="H85" s="30" t="n">
        <f aca="false">1-0.2*(SC_xmb+(SC_n-1)*SC_xmt)*G85/(SC_n*SC_b)</f>
        <v>0.9776</v>
      </c>
      <c r="I85" s="31" t="n">
        <f aca="false">SC_s*H85*SC_m*SC_n*SC_b*SQRT(2*g_)*G85^1.5</f>
        <v>6.97153148403347</v>
      </c>
      <c r="J85" s="32" t="n">
        <f aca="false">F85+I85</f>
        <v>6.97153148403347</v>
      </c>
      <c r="K85" s="32" t="n">
        <f aca="false">F85</f>
        <v>0</v>
      </c>
      <c r="L85" s="32" t="n">
        <f aca="false">C85*1000000/dt_s+J85/2</f>
        <v>5813.76354351979</v>
      </c>
      <c r="M85" s="32" t="n">
        <f aca="false">C85*1000000/dt_s+K85/2</f>
        <v>5810.27777777778</v>
      </c>
    </row>
    <row r="86" customFormat="false" ht="15" hidden="false" customHeight="false" outlineLevel="0" collapsed="false">
      <c r="A86" s="24" t="n">
        <f aca="false">ROUND(A85+0.01,2)</f>
        <v>71.81</v>
      </c>
      <c r="B86" s="25" t="n">
        <f aca="false">INDEX(Bang_F,MATCH(A86,Bang_Z,1))+(A86-INDEX(Bang_Z,MATCH(A86,Bang_Z,1)))*(INDEX(Bang_F,MATCH(A86,Bang_Z,1)+1)-INDEX(Bang_F,MATCH(A86,Bang_Z,1)))</f>
        <v>4.436</v>
      </c>
      <c r="C86" s="25" t="n">
        <f aca="false">INDEX(Bang_W,MATCH(A86,Bang_Z,1))+(A86-INDEX(Bang_Z,MATCH(A86,Bang_Z,1)))*(INDEX(Bang_F,MATCH(A86,Bang_Z,1))+B86)/2</f>
        <v>20.96133</v>
      </c>
      <c r="D86" s="26" t="n">
        <f aca="false">MAX(A86-TC_Z,0)</f>
        <v>0</v>
      </c>
      <c r="E86" s="27" t="n">
        <f aca="false">1-0.2*(TC_xmb+(TC_n-1)*TC_xmt)*D86/(TC_n*TC_b)</f>
        <v>1</v>
      </c>
      <c r="F86" s="28" t="n">
        <f aca="false">TC_s*E86*TC_m*TC_n*TC_b*SQRT(2*g_)*D86^1.5</f>
        <v>0</v>
      </c>
      <c r="G86" s="29" t="n">
        <f aca="false">MAX(A86-SC_Z,0)</f>
        <v>0.810000000000002</v>
      </c>
      <c r="H86" s="30" t="n">
        <f aca="false">1-0.2*(SC_xmb+(SC_n-1)*SC_xmt)*G86/(SC_n*SC_b)</f>
        <v>0.97732</v>
      </c>
      <c r="I86" s="31" t="n">
        <f aca="false">SC_s*H86*SC_m*SC_n*SC_b*SQRT(2*g_)*G86^1.5</f>
        <v>7.10062102839336</v>
      </c>
      <c r="J86" s="32" t="n">
        <f aca="false">F86+I86</f>
        <v>7.10062102839336</v>
      </c>
      <c r="K86" s="32" t="n">
        <f aca="false">F86</f>
        <v>0</v>
      </c>
      <c r="L86" s="32" t="n">
        <f aca="false">C86*1000000/dt_s+J86/2</f>
        <v>5826.14197718087</v>
      </c>
      <c r="M86" s="32" t="n">
        <f aca="false">C86*1000000/dt_s+K86/2</f>
        <v>5822.59166666667</v>
      </c>
    </row>
    <row r="87" customFormat="false" ht="15" hidden="false" customHeight="false" outlineLevel="0" collapsed="false">
      <c r="A87" s="24" t="n">
        <f aca="false">ROUND(A86+0.01,2)</f>
        <v>71.82</v>
      </c>
      <c r="B87" s="25" t="n">
        <f aca="false">INDEX(Bang_F,MATCH(A87,Bang_Z,1))+(A87-INDEX(Bang_Z,MATCH(A87,Bang_Z,1)))*(INDEX(Bang_F,MATCH(A87,Bang_Z,1)+1)-INDEX(Bang_F,MATCH(A87,Bang_Z,1)))</f>
        <v>4.442</v>
      </c>
      <c r="C87" s="25" t="n">
        <f aca="false">INDEX(Bang_W,MATCH(A87,Bang_Z,1))+(A87-INDEX(Bang_Z,MATCH(A87,Bang_Z,1)))*(INDEX(Bang_F,MATCH(A87,Bang_Z,1))+B87)/2</f>
        <v>21.00572</v>
      </c>
      <c r="D87" s="26" t="n">
        <f aca="false">MAX(A87-TC_Z,0)</f>
        <v>0</v>
      </c>
      <c r="E87" s="27" t="n">
        <f aca="false">1-0.2*(TC_xmb+(TC_n-1)*TC_xmt)*D87/(TC_n*TC_b)</f>
        <v>1</v>
      </c>
      <c r="F87" s="28" t="n">
        <f aca="false">TC_s*E87*TC_m*TC_n*TC_b*SQRT(2*g_)*D87^1.5</f>
        <v>0</v>
      </c>
      <c r="G87" s="29" t="n">
        <f aca="false">MAX(A87-SC_Z,0)</f>
        <v>0.819999999999993</v>
      </c>
      <c r="H87" s="30" t="n">
        <f aca="false">1-0.2*(SC_xmb+(SC_n-1)*SC_xmt)*G87/(SC_n*SC_b)</f>
        <v>0.97704</v>
      </c>
      <c r="I87" s="31" t="n">
        <f aca="false">SC_s*H87*SC_m*SC_n*SC_b*SQRT(2*g_)*G87^1.5</f>
        <v>7.23044692114605</v>
      </c>
      <c r="J87" s="32" t="n">
        <f aca="false">F87+I87</f>
        <v>7.23044692114605</v>
      </c>
      <c r="K87" s="32" t="n">
        <f aca="false">F87</f>
        <v>0</v>
      </c>
      <c r="L87" s="32" t="n">
        <f aca="false">C87*1000000/dt_s+J87/2</f>
        <v>5838.53744568279</v>
      </c>
      <c r="M87" s="32" t="n">
        <f aca="false">C87*1000000/dt_s+K87/2</f>
        <v>5834.92222222221</v>
      </c>
    </row>
    <row r="88" customFormat="false" ht="15" hidden="false" customHeight="false" outlineLevel="0" collapsed="false">
      <c r="A88" s="24" t="n">
        <f aca="false">ROUND(A87+0.01,2)</f>
        <v>71.83</v>
      </c>
      <c r="B88" s="25" t="n">
        <f aca="false">INDEX(Bang_F,MATCH(A88,Bang_Z,1))+(A88-INDEX(Bang_Z,MATCH(A88,Bang_Z,1)))*(INDEX(Bang_F,MATCH(A88,Bang_Z,1)+1)-INDEX(Bang_F,MATCH(A88,Bang_Z,1)))</f>
        <v>4.448</v>
      </c>
      <c r="C88" s="25" t="n">
        <f aca="false">INDEX(Bang_W,MATCH(A88,Bang_Z,1))+(A88-INDEX(Bang_Z,MATCH(A88,Bang_Z,1)))*(INDEX(Bang_F,MATCH(A88,Bang_Z,1))+B88)/2</f>
        <v>21.05017</v>
      </c>
      <c r="D88" s="26" t="n">
        <f aca="false">MAX(A88-TC_Z,0)</f>
        <v>0</v>
      </c>
      <c r="E88" s="27" t="n">
        <f aca="false">1-0.2*(TC_xmb+(TC_n-1)*TC_xmt)*D88/(TC_n*TC_b)</f>
        <v>1</v>
      </c>
      <c r="F88" s="28" t="n">
        <f aca="false">TC_s*E88*TC_m*TC_n*TC_b*SQRT(2*g_)*D88^1.5</f>
        <v>0</v>
      </c>
      <c r="G88" s="29" t="n">
        <f aca="false">MAX(A88-SC_Z,0)</f>
        <v>0.829999999999998</v>
      </c>
      <c r="H88" s="30" t="n">
        <f aca="false">1-0.2*(SC_xmb+(SC_n-1)*SC_xmt)*G88/(SC_n*SC_b)</f>
        <v>0.97676</v>
      </c>
      <c r="I88" s="31" t="n">
        <f aca="false">SC_s*H88*SC_m*SC_n*SC_b*SQRT(2*g_)*G88^1.5</f>
        <v>7.36100350277727</v>
      </c>
      <c r="J88" s="32" t="n">
        <f aca="false">F88+I88</f>
        <v>7.36100350277727</v>
      </c>
      <c r="K88" s="32" t="n">
        <f aca="false">F88</f>
        <v>0</v>
      </c>
      <c r="L88" s="32" t="n">
        <f aca="false">C88*1000000/dt_s+J88/2</f>
        <v>5850.94994619583</v>
      </c>
      <c r="M88" s="32" t="n">
        <f aca="false">C88*1000000/dt_s+K88/2</f>
        <v>5847.26944444444</v>
      </c>
    </row>
    <row r="89" customFormat="false" ht="15" hidden="false" customHeight="false" outlineLevel="0" collapsed="false">
      <c r="A89" s="24" t="n">
        <f aca="false">ROUND(A88+0.01,2)</f>
        <v>71.84</v>
      </c>
      <c r="B89" s="25" t="n">
        <f aca="false">INDEX(Bang_F,MATCH(A89,Bang_Z,1))+(A89-INDEX(Bang_Z,MATCH(A89,Bang_Z,1)))*(INDEX(Bang_F,MATCH(A89,Bang_Z,1)+1)-INDEX(Bang_F,MATCH(A89,Bang_Z,1)))</f>
        <v>4.454</v>
      </c>
      <c r="C89" s="25" t="n">
        <f aca="false">INDEX(Bang_W,MATCH(A89,Bang_Z,1))+(A89-INDEX(Bang_Z,MATCH(A89,Bang_Z,1)))*(INDEX(Bang_F,MATCH(A89,Bang_Z,1))+B89)/2</f>
        <v>21.09468</v>
      </c>
      <c r="D89" s="26" t="n">
        <f aca="false">MAX(A89-TC_Z,0)</f>
        <v>0</v>
      </c>
      <c r="E89" s="27" t="n">
        <f aca="false">1-0.2*(TC_xmb+(TC_n-1)*TC_xmt)*D89/(TC_n*TC_b)</f>
        <v>1</v>
      </c>
      <c r="F89" s="28" t="n">
        <f aca="false">TC_s*E89*TC_m*TC_n*TC_b*SQRT(2*g_)*D89^1.5</f>
        <v>0</v>
      </c>
      <c r="G89" s="29" t="n">
        <f aca="false">MAX(A89-SC_Z,0)</f>
        <v>0.840000000000003</v>
      </c>
      <c r="H89" s="30" t="n">
        <f aca="false">1-0.2*(SC_xmb+(SC_n-1)*SC_xmt)*G89/(SC_n*SC_b)</f>
        <v>0.97648</v>
      </c>
      <c r="I89" s="31" t="n">
        <f aca="false">SC_s*H89*SC_m*SC_n*SC_b*SQRT(2*g_)*G89^1.5</f>
        <v>7.49228520938608</v>
      </c>
      <c r="J89" s="32" t="n">
        <f aca="false">F89+I89</f>
        <v>7.49228520938608</v>
      </c>
      <c r="K89" s="32" t="n">
        <f aca="false">F89</f>
        <v>0</v>
      </c>
      <c r="L89" s="32" t="n">
        <f aca="false">C89*1000000/dt_s+J89/2</f>
        <v>5863.37947593803</v>
      </c>
      <c r="M89" s="32" t="n">
        <f aca="false">C89*1000000/dt_s+K89/2</f>
        <v>5859.63333333334</v>
      </c>
    </row>
    <row r="90" customFormat="false" ht="15" hidden="false" customHeight="false" outlineLevel="0" collapsed="false">
      <c r="A90" s="24" t="n">
        <f aca="false">ROUND(A89+0.01,2)</f>
        <v>71.85</v>
      </c>
      <c r="B90" s="25" t="n">
        <f aca="false">INDEX(Bang_F,MATCH(A90,Bang_Z,1))+(A90-INDEX(Bang_Z,MATCH(A90,Bang_Z,1)))*(INDEX(Bang_F,MATCH(A90,Bang_Z,1)+1)-INDEX(Bang_F,MATCH(A90,Bang_Z,1)))</f>
        <v>4.46</v>
      </c>
      <c r="C90" s="25" t="n">
        <f aca="false">INDEX(Bang_W,MATCH(A90,Bang_Z,1))+(A90-INDEX(Bang_Z,MATCH(A90,Bang_Z,1)))*(INDEX(Bang_F,MATCH(A90,Bang_Z,1))+B90)/2</f>
        <v>21.13925</v>
      </c>
      <c r="D90" s="26" t="n">
        <f aca="false">MAX(A90-TC_Z,0)</f>
        <v>0</v>
      </c>
      <c r="E90" s="27" t="n">
        <f aca="false">1-0.2*(TC_xmb+(TC_n-1)*TC_xmt)*D90/(TC_n*TC_b)</f>
        <v>1</v>
      </c>
      <c r="F90" s="28" t="n">
        <f aca="false">TC_s*E90*TC_m*TC_n*TC_b*SQRT(2*g_)*D90^1.5</f>
        <v>0</v>
      </c>
      <c r="G90" s="29" t="n">
        <f aca="false">MAX(A90-SC_Z,0)</f>
        <v>0.849999999999994</v>
      </c>
      <c r="H90" s="30" t="n">
        <f aca="false">1-0.2*(SC_xmb+(SC_n-1)*SC_xmt)*G90/(SC_n*SC_b)</f>
        <v>0.9762</v>
      </c>
      <c r="I90" s="31" t="n">
        <f aca="false">SC_s*H90*SC_m*SC_n*SC_b*SQRT(2*g_)*G90^1.5</f>
        <v>7.6242865698727</v>
      </c>
      <c r="J90" s="32" t="n">
        <f aca="false">F90+I90</f>
        <v>7.6242865698727</v>
      </c>
      <c r="K90" s="32" t="n">
        <f aca="false">F90</f>
        <v>0</v>
      </c>
      <c r="L90" s="32" t="n">
        <f aca="false">C90*1000000/dt_s+J90/2</f>
        <v>5875.82603217382</v>
      </c>
      <c r="M90" s="32" t="n">
        <f aca="false">C90*1000000/dt_s+K90/2</f>
        <v>5872.01388888888</v>
      </c>
    </row>
    <row r="91" customFormat="false" ht="15" hidden="false" customHeight="false" outlineLevel="0" collapsed="false">
      <c r="A91" s="24" t="n">
        <f aca="false">ROUND(A90+0.01,2)</f>
        <v>71.86</v>
      </c>
      <c r="B91" s="25" t="n">
        <f aca="false">INDEX(Bang_F,MATCH(A91,Bang_Z,1))+(A91-INDEX(Bang_Z,MATCH(A91,Bang_Z,1)))*(INDEX(Bang_F,MATCH(A91,Bang_Z,1)+1)-INDEX(Bang_F,MATCH(A91,Bang_Z,1)))</f>
        <v>4.466</v>
      </c>
      <c r="C91" s="25" t="n">
        <f aca="false">INDEX(Bang_W,MATCH(A91,Bang_Z,1))+(A91-INDEX(Bang_Z,MATCH(A91,Bang_Z,1)))*(INDEX(Bang_F,MATCH(A91,Bang_Z,1))+B91)/2</f>
        <v>21.18388</v>
      </c>
      <c r="D91" s="26" t="n">
        <f aca="false">MAX(A91-TC_Z,0)</f>
        <v>0</v>
      </c>
      <c r="E91" s="27" t="n">
        <f aca="false">1-0.2*(TC_xmb+(TC_n-1)*TC_xmt)*D91/(TC_n*TC_b)</f>
        <v>1</v>
      </c>
      <c r="F91" s="28" t="n">
        <f aca="false">TC_s*E91*TC_m*TC_n*TC_b*SQRT(2*g_)*D91^1.5</f>
        <v>0</v>
      </c>
      <c r="G91" s="29" t="n">
        <f aca="false">MAX(A91-SC_Z,0)</f>
        <v>0.859999999999999</v>
      </c>
      <c r="H91" s="30" t="n">
        <f aca="false">1-0.2*(SC_xmb+(SC_n-1)*SC_xmt)*G91/(SC_n*SC_b)</f>
        <v>0.97592</v>
      </c>
      <c r="I91" s="31" t="n">
        <f aca="false">SC_s*H91*SC_m*SC_n*SC_b*SQRT(2*g_)*G91^1.5</f>
        <v>7.75700220324175</v>
      </c>
      <c r="J91" s="32" t="n">
        <f aca="false">F91+I91</f>
        <v>7.75700220324175</v>
      </c>
      <c r="K91" s="32" t="n">
        <f aca="false">F91</f>
        <v>0</v>
      </c>
      <c r="L91" s="32" t="n">
        <f aca="false">C91*1000000/dt_s+J91/2</f>
        <v>5888.28961221273</v>
      </c>
      <c r="M91" s="32" t="n">
        <f aca="false">C91*1000000/dt_s+K91/2</f>
        <v>5884.41111111111</v>
      </c>
    </row>
    <row r="92" customFormat="false" ht="15" hidden="false" customHeight="false" outlineLevel="0" collapsed="false">
      <c r="A92" s="24" t="n">
        <f aca="false">ROUND(A91+0.01,2)</f>
        <v>71.87</v>
      </c>
      <c r="B92" s="25" t="n">
        <f aca="false">INDEX(Bang_F,MATCH(A92,Bang_Z,1))+(A92-INDEX(Bang_Z,MATCH(A92,Bang_Z,1)))*(INDEX(Bang_F,MATCH(A92,Bang_Z,1)+1)-INDEX(Bang_F,MATCH(A92,Bang_Z,1)))</f>
        <v>4.472</v>
      </c>
      <c r="C92" s="25" t="n">
        <f aca="false">INDEX(Bang_W,MATCH(A92,Bang_Z,1))+(A92-INDEX(Bang_Z,MATCH(A92,Bang_Z,1)))*(INDEX(Bang_F,MATCH(A92,Bang_Z,1))+B92)/2</f>
        <v>21.22857</v>
      </c>
      <c r="D92" s="26" t="n">
        <f aca="false">MAX(A92-TC_Z,0)</f>
        <v>0</v>
      </c>
      <c r="E92" s="27" t="n">
        <f aca="false">1-0.2*(TC_xmb+(TC_n-1)*TC_xmt)*D92/(TC_n*TC_b)</f>
        <v>1</v>
      </c>
      <c r="F92" s="28" t="n">
        <f aca="false">TC_s*E92*TC_m*TC_n*TC_b*SQRT(2*g_)*D92^1.5</f>
        <v>0</v>
      </c>
      <c r="G92" s="29" t="n">
        <f aca="false">MAX(A92-SC_Z,0)</f>
        <v>0.870000000000005</v>
      </c>
      <c r="H92" s="30" t="n">
        <f aca="false">1-0.2*(SC_xmb+(SC_n-1)*SC_xmt)*G92/(SC_n*SC_b)</f>
        <v>0.97564</v>
      </c>
      <c r="I92" s="31" t="n">
        <f aca="false">SC_s*H92*SC_m*SC_n*SC_b*SQRT(2*g_)*G92^1.5</f>
        <v>7.89042681601321</v>
      </c>
      <c r="J92" s="32" t="n">
        <f aca="false">F92+I92</f>
        <v>7.89042681601321</v>
      </c>
      <c r="K92" s="32" t="n">
        <f aca="false">F92</f>
        <v>0</v>
      </c>
      <c r="L92" s="32" t="n">
        <f aca="false">C92*1000000/dt_s+J92/2</f>
        <v>5900.77021340801</v>
      </c>
      <c r="M92" s="32" t="n">
        <f aca="false">C92*1000000/dt_s+K92/2</f>
        <v>5896.82500000001</v>
      </c>
    </row>
    <row r="93" customFormat="false" ht="15" hidden="false" customHeight="false" outlineLevel="0" collapsed="false">
      <c r="A93" s="24" t="n">
        <f aca="false">ROUND(A92+0.01,2)</f>
        <v>71.88</v>
      </c>
      <c r="B93" s="25" t="n">
        <f aca="false">INDEX(Bang_F,MATCH(A93,Bang_Z,1))+(A93-INDEX(Bang_Z,MATCH(A93,Bang_Z,1)))*(INDEX(Bang_F,MATCH(A93,Bang_Z,1)+1)-INDEX(Bang_F,MATCH(A93,Bang_Z,1)))</f>
        <v>4.478</v>
      </c>
      <c r="C93" s="25" t="n">
        <f aca="false">INDEX(Bang_W,MATCH(A93,Bang_Z,1))+(A93-INDEX(Bang_Z,MATCH(A93,Bang_Z,1)))*(INDEX(Bang_F,MATCH(A93,Bang_Z,1))+B93)/2</f>
        <v>21.27332</v>
      </c>
      <c r="D93" s="26" t="n">
        <f aca="false">MAX(A93-TC_Z,0)</f>
        <v>0</v>
      </c>
      <c r="E93" s="27" t="n">
        <f aca="false">1-0.2*(TC_xmb+(TC_n-1)*TC_xmt)*D93/(TC_n*TC_b)</f>
        <v>1</v>
      </c>
      <c r="F93" s="28" t="n">
        <f aca="false">TC_s*E93*TC_m*TC_n*TC_b*SQRT(2*g_)*D93^1.5</f>
        <v>0</v>
      </c>
      <c r="G93" s="29" t="n">
        <f aca="false">MAX(A93-SC_Z,0)</f>
        <v>0.879999999999996</v>
      </c>
      <c r="H93" s="30" t="n">
        <f aca="false">1-0.2*(SC_xmb+(SC_n-1)*SC_xmt)*G93/(SC_n*SC_b)</f>
        <v>0.97536</v>
      </c>
      <c r="I93" s="31" t="n">
        <f aca="false">SC_s*H93*SC_m*SC_n*SC_b*SQRT(2*g_)*G93^1.5</f>
        <v>8.02455519973885</v>
      </c>
      <c r="J93" s="32" t="n">
        <f aca="false">F93+I93</f>
        <v>8.02455519973885</v>
      </c>
      <c r="K93" s="32" t="n">
        <f aca="false">F93</f>
        <v>0</v>
      </c>
      <c r="L93" s="32" t="n">
        <f aca="false">C93*1000000/dt_s+J93/2</f>
        <v>5913.26783315542</v>
      </c>
      <c r="M93" s="32" t="n">
        <f aca="false">C93*1000000/dt_s+K93/2</f>
        <v>5909.25555555555</v>
      </c>
    </row>
    <row r="94" customFormat="false" ht="15" hidden="false" customHeight="false" outlineLevel="0" collapsed="false">
      <c r="A94" s="24" t="n">
        <f aca="false">ROUND(A93+0.01,2)</f>
        <v>71.89</v>
      </c>
      <c r="B94" s="25" t="n">
        <f aca="false">INDEX(Bang_F,MATCH(A94,Bang_Z,1))+(A94-INDEX(Bang_Z,MATCH(A94,Bang_Z,1)))*(INDEX(Bang_F,MATCH(A94,Bang_Z,1)+1)-INDEX(Bang_F,MATCH(A94,Bang_Z,1)))</f>
        <v>4.484</v>
      </c>
      <c r="C94" s="25" t="n">
        <f aca="false">INDEX(Bang_W,MATCH(A94,Bang_Z,1))+(A94-INDEX(Bang_Z,MATCH(A94,Bang_Z,1)))*(INDEX(Bang_F,MATCH(A94,Bang_Z,1))+B94)/2</f>
        <v>21.31813</v>
      </c>
      <c r="D94" s="26" t="n">
        <f aca="false">MAX(A94-TC_Z,0)</f>
        <v>0</v>
      </c>
      <c r="E94" s="27" t="n">
        <f aca="false">1-0.2*(TC_xmb+(TC_n-1)*TC_xmt)*D94/(TC_n*TC_b)</f>
        <v>1</v>
      </c>
      <c r="F94" s="28" t="n">
        <f aca="false">TC_s*E94*TC_m*TC_n*TC_b*SQRT(2*g_)*D94^1.5</f>
        <v>0</v>
      </c>
      <c r="G94" s="29" t="n">
        <f aca="false">MAX(A94-SC_Z,0)</f>
        <v>0.890000000000001</v>
      </c>
      <c r="H94" s="30" t="n">
        <f aca="false">1-0.2*(SC_xmb+(SC_n-1)*SC_xmt)*G94/(SC_n*SC_b)</f>
        <v>0.97508</v>
      </c>
      <c r="I94" s="31" t="n">
        <f aca="false">SC_s*H94*SC_m*SC_n*SC_b*SQRT(2*g_)*G94^1.5</f>
        <v>8.15938222861703</v>
      </c>
      <c r="J94" s="32" t="n">
        <f aca="false">F94+I94</f>
        <v>8.15938222861703</v>
      </c>
      <c r="K94" s="32" t="n">
        <f aca="false">F94</f>
        <v>0</v>
      </c>
      <c r="L94" s="32" t="n">
        <f aca="false">C94*1000000/dt_s+J94/2</f>
        <v>5925.78246889209</v>
      </c>
      <c r="M94" s="32" t="n">
        <f aca="false">C94*1000000/dt_s+K94/2</f>
        <v>5921.70277777778</v>
      </c>
    </row>
    <row r="95" customFormat="false" ht="15" hidden="false" customHeight="false" outlineLevel="0" collapsed="false">
      <c r="A95" s="24" t="n">
        <f aca="false">ROUND(A94+0.01,2)</f>
        <v>71.9</v>
      </c>
      <c r="B95" s="25" t="n">
        <f aca="false">INDEX(Bang_F,MATCH(A95,Bang_Z,1))+(A95-INDEX(Bang_Z,MATCH(A95,Bang_Z,1)))*(INDEX(Bang_F,MATCH(A95,Bang_Z,1)+1)-INDEX(Bang_F,MATCH(A95,Bang_Z,1)))</f>
        <v>4.49</v>
      </c>
      <c r="C95" s="25" t="n">
        <f aca="false">INDEX(Bang_W,MATCH(A95,Bang_Z,1))+(A95-INDEX(Bang_Z,MATCH(A95,Bang_Z,1)))*(INDEX(Bang_F,MATCH(A95,Bang_Z,1))+B95)/2</f>
        <v>21.363</v>
      </c>
      <c r="D95" s="26" t="n">
        <f aca="false">MAX(A95-TC_Z,0)</f>
        <v>0</v>
      </c>
      <c r="E95" s="27" t="n">
        <f aca="false">1-0.2*(TC_xmb+(TC_n-1)*TC_xmt)*D95/(TC_n*TC_b)</f>
        <v>1</v>
      </c>
      <c r="F95" s="28" t="n">
        <f aca="false">TC_s*E95*TC_m*TC_n*TC_b*SQRT(2*g_)*D95^1.5</f>
        <v>0</v>
      </c>
      <c r="G95" s="29" t="n">
        <f aca="false">MAX(A95-SC_Z,0)</f>
        <v>0.900000000000006</v>
      </c>
      <c r="H95" s="30" t="n">
        <f aca="false">1-0.2*(SC_xmb+(SC_n-1)*SC_xmt)*G95/(SC_n*SC_b)</f>
        <v>0.9748</v>
      </c>
      <c r="I95" s="31" t="n">
        <f aca="false">SC_s*H95*SC_m*SC_n*SC_b*SQRT(2*g_)*G95^1.5</f>
        <v>8.29490285719932</v>
      </c>
      <c r="J95" s="32" t="n">
        <f aca="false">F95+I95</f>
        <v>8.29490285719932</v>
      </c>
      <c r="K95" s="32" t="n">
        <f aca="false">F95</f>
        <v>0</v>
      </c>
      <c r="L95" s="32" t="n">
        <f aca="false">C95*1000000/dt_s+J95/2</f>
        <v>5938.31411809528</v>
      </c>
      <c r="M95" s="32" t="n">
        <f aca="false">C95*1000000/dt_s+K95/2</f>
        <v>5934.16666666668</v>
      </c>
    </row>
    <row r="96" customFormat="false" ht="15" hidden="false" customHeight="false" outlineLevel="0" collapsed="false">
      <c r="A96" s="24" t="n">
        <f aca="false">ROUND(A95+0.01,2)</f>
        <v>71.91</v>
      </c>
      <c r="B96" s="25" t="n">
        <f aca="false">INDEX(Bang_F,MATCH(A96,Bang_Z,1))+(A96-INDEX(Bang_Z,MATCH(A96,Bang_Z,1)))*(INDEX(Bang_F,MATCH(A96,Bang_Z,1)+1)-INDEX(Bang_F,MATCH(A96,Bang_Z,1)))</f>
        <v>4.496</v>
      </c>
      <c r="C96" s="25" t="n">
        <f aca="false">INDEX(Bang_W,MATCH(A96,Bang_Z,1))+(A96-INDEX(Bang_Z,MATCH(A96,Bang_Z,1)))*(INDEX(Bang_F,MATCH(A96,Bang_Z,1))+B96)/2</f>
        <v>21.40793</v>
      </c>
      <c r="D96" s="26" t="n">
        <f aca="false">MAX(A96-TC_Z,0)</f>
        <v>0</v>
      </c>
      <c r="E96" s="27" t="n">
        <f aca="false">1-0.2*(TC_xmb+(TC_n-1)*TC_xmt)*D96/(TC_n*TC_b)</f>
        <v>1</v>
      </c>
      <c r="F96" s="28" t="n">
        <f aca="false">TC_s*E96*TC_m*TC_n*TC_b*SQRT(2*g_)*D96^1.5</f>
        <v>0</v>
      </c>
      <c r="G96" s="29" t="n">
        <f aca="false">MAX(A96-SC_Z,0)</f>
        <v>0.909999999999997</v>
      </c>
      <c r="H96" s="30" t="n">
        <f aca="false">1-0.2*(SC_xmb+(SC_n-1)*SC_xmt)*G96/(SC_n*SC_b)</f>
        <v>0.97452</v>
      </c>
      <c r="I96" s="31" t="n">
        <f aca="false">SC_s*H96*SC_m*SC_n*SC_b*SQRT(2*g_)*G96^1.5</f>
        <v>8.43111211818765</v>
      </c>
      <c r="J96" s="32" t="n">
        <f aca="false">F96+I96</f>
        <v>8.43111211818765</v>
      </c>
      <c r="K96" s="32" t="n">
        <f aca="false">F96</f>
        <v>0</v>
      </c>
      <c r="L96" s="32" t="n">
        <f aca="false">C96*1000000/dt_s+J96/2</f>
        <v>5950.86277828131</v>
      </c>
      <c r="M96" s="32" t="n">
        <f aca="false">C96*1000000/dt_s+K96/2</f>
        <v>5946.64722222222</v>
      </c>
    </row>
    <row r="97" customFormat="false" ht="15" hidden="false" customHeight="false" outlineLevel="0" collapsed="false">
      <c r="A97" s="24" t="n">
        <f aca="false">ROUND(A96+0.01,2)</f>
        <v>71.92</v>
      </c>
      <c r="B97" s="25" t="n">
        <f aca="false">INDEX(Bang_F,MATCH(A97,Bang_Z,1))+(A97-INDEX(Bang_Z,MATCH(A97,Bang_Z,1)))*(INDEX(Bang_F,MATCH(A97,Bang_Z,1)+1)-INDEX(Bang_F,MATCH(A97,Bang_Z,1)))</f>
        <v>4.502</v>
      </c>
      <c r="C97" s="25" t="n">
        <f aca="false">INDEX(Bang_W,MATCH(A97,Bang_Z,1))+(A97-INDEX(Bang_Z,MATCH(A97,Bang_Z,1)))*(INDEX(Bang_F,MATCH(A97,Bang_Z,1))+B97)/2</f>
        <v>21.45292</v>
      </c>
      <c r="D97" s="26" t="n">
        <f aca="false">MAX(A97-TC_Z,0)</f>
        <v>0</v>
      </c>
      <c r="E97" s="27" t="n">
        <f aca="false">1-0.2*(TC_xmb+(TC_n-1)*TC_xmt)*D97/(TC_n*TC_b)</f>
        <v>1</v>
      </c>
      <c r="F97" s="28" t="n">
        <f aca="false">TC_s*E97*TC_m*TC_n*TC_b*SQRT(2*g_)*D97^1.5</f>
        <v>0</v>
      </c>
      <c r="G97" s="29" t="n">
        <f aca="false">MAX(A97-SC_Z,0)</f>
        <v>0.920000000000002</v>
      </c>
      <c r="H97" s="30" t="n">
        <f aca="false">1-0.2*(SC_xmb+(SC_n-1)*SC_xmt)*G97/(SC_n*SC_b)</f>
        <v>0.97424</v>
      </c>
      <c r="I97" s="31" t="n">
        <f aca="false">SC_s*H97*SC_m*SC_n*SC_b*SQRT(2*g_)*G97^1.5</f>
        <v>8.56800512031581</v>
      </c>
      <c r="J97" s="32" t="n">
        <f aca="false">F97+I97</f>
        <v>8.56800512031581</v>
      </c>
      <c r="K97" s="32" t="n">
        <f aca="false">F97</f>
        <v>0</v>
      </c>
      <c r="L97" s="32" t="n">
        <f aca="false">C97*1000000/dt_s+J97/2</f>
        <v>5963.42844700461</v>
      </c>
      <c r="M97" s="32" t="n">
        <f aca="false">C97*1000000/dt_s+K97/2</f>
        <v>5959.14444444445</v>
      </c>
    </row>
    <row r="98" customFormat="false" ht="15" hidden="false" customHeight="false" outlineLevel="0" collapsed="false">
      <c r="A98" s="24" t="n">
        <f aca="false">ROUND(A97+0.01,2)</f>
        <v>71.93</v>
      </c>
      <c r="B98" s="25" t="n">
        <f aca="false">INDEX(Bang_F,MATCH(A98,Bang_Z,1))+(A98-INDEX(Bang_Z,MATCH(A98,Bang_Z,1)))*(INDEX(Bang_F,MATCH(A98,Bang_Z,1)+1)-INDEX(Bang_F,MATCH(A98,Bang_Z,1)))</f>
        <v>4.508</v>
      </c>
      <c r="C98" s="25" t="n">
        <f aca="false">INDEX(Bang_W,MATCH(A98,Bang_Z,1))+(A98-INDEX(Bang_Z,MATCH(A98,Bang_Z,1)))*(INDEX(Bang_F,MATCH(A98,Bang_Z,1))+B98)/2</f>
        <v>21.49797</v>
      </c>
      <c r="D98" s="26" t="n">
        <f aca="false">MAX(A98-TC_Z,0)</f>
        <v>0</v>
      </c>
      <c r="E98" s="27" t="n">
        <f aca="false">1-0.2*(TC_xmb+(TC_n-1)*TC_xmt)*D98/(TC_n*TC_b)</f>
        <v>1</v>
      </c>
      <c r="F98" s="28" t="n">
        <f aca="false">TC_s*E98*TC_m*TC_n*TC_b*SQRT(2*g_)*D98^1.5</f>
        <v>0</v>
      </c>
      <c r="G98" s="29" t="n">
        <f aca="false">MAX(A98-SC_Z,0)</f>
        <v>0.930000000000007</v>
      </c>
      <c r="H98" s="30" t="n">
        <f aca="false">1-0.2*(SC_xmb+(SC_n-1)*SC_xmt)*G98/(SC_n*SC_b)</f>
        <v>0.97396</v>
      </c>
      <c r="I98" s="31" t="n">
        <f aca="false">SC_s*H98*SC_m*SC_n*SC_b*SQRT(2*g_)*G98^1.5</f>
        <v>8.70557704630955</v>
      </c>
      <c r="J98" s="32" t="n">
        <f aca="false">F98+I98</f>
        <v>8.70557704630955</v>
      </c>
      <c r="K98" s="32" t="n">
        <f aca="false">F98</f>
        <v>0</v>
      </c>
      <c r="L98" s="32" t="n">
        <f aca="false">C98*1000000/dt_s+J98/2</f>
        <v>5976.0111218565</v>
      </c>
      <c r="M98" s="32" t="n">
        <f aca="false">C98*1000000/dt_s+K98/2</f>
        <v>5971.65833333334</v>
      </c>
    </row>
    <row r="99" customFormat="false" ht="15" hidden="false" customHeight="false" outlineLevel="0" collapsed="false">
      <c r="A99" s="24" t="n">
        <f aca="false">ROUND(A98+0.01,2)</f>
        <v>71.94</v>
      </c>
      <c r="B99" s="25" t="n">
        <f aca="false">INDEX(Bang_F,MATCH(A99,Bang_Z,1))+(A99-INDEX(Bang_Z,MATCH(A99,Bang_Z,1)))*(INDEX(Bang_F,MATCH(A99,Bang_Z,1)+1)-INDEX(Bang_F,MATCH(A99,Bang_Z,1)))</f>
        <v>4.514</v>
      </c>
      <c r="C99" s="25" t="n">
        <f aca="false">INDEX(Bang_W,MATCH(A99,Bang_Z,1))+(A99-INDEX(Bang_Z,MATCH(A99,Bang_Z,1)))*(INDEX(Bang_F,MATCH(A99,Bang_Z,1))+B99)/2</f>
        <v>21.54308</v>
      </c>
      <c r="D99" s="26" t="n">
        <f aca="false">MAX(A99-TC_Z,0)</f>
        <v>0</v>
      </c>
      <c r="E99" s="27" t="n">
        <f aca="false">1-0.2*(TC_xmb+(TC_n-1)*TC_xmt)*D99/(TC_n*TC_b)</f>
        <v>1</v>
      </c>
      <c r="F99" s="28" t="n">
        <f aca="false">TC_s*E99*TC_m*TC_n*TC_b*SQRT(2*g_)*D99^1.5</f>
        <v>0</v>
      </c>
      <c r="G99" s="29" t="n">
        <f aca="false">MAX(A99-SC_Z,0)</f>
        <v>0.939999999999998</v>
      </c>
      <c r="H99" s="30" t="n">
        <f aca="false">1-0.2*(SC_xmb+(SC_n-1)*SC_xmt)*G99/(SC_n*SC_b)</f>
        <v>0.97368</v>
      </c>
      <c r="I99" s="31" t="n">
        <f aca="false">SC_s*H99*SC_m*SC_n*SC_b*SQRT(2*g_)*G99^1.5</f>
        <v>8.84382315092481</v>
      </c>
      <c r="J99" s="32" t="n">
        <f aca="false">F99+I99</f>
        <v>8.84382315092481</v>
      </c>
      <c r="K99" s="32" t="n">
        <f aca="false">F99</f>
        <v>0</v>
      </c>
      <c r="L99" s="32" t="n">
        <f aca="false">C99*1000000/dt_s+J99/2</f>
        <v>5988.61080046435</v>
      </c>
      <c r="M99" s="32" t="n">
        <f aca="false">C99*1000000/dt_s+K99/2</f>
        <v>5984.18888888889</v>
      </c>
    </row>
    <row r="100" customFormat="false" ht="15" hidden="false" customHeight="false" outlineLevel="0" collapsed="false">
      <c r="A100" s="24" t="n">
        <f aca="false">ROUND(A99+0.01,2)</f>
        <v>71.95</v>
      </c>
      <c r="B100" s="25" t="n">
        <f aca="false">INDEX(Bang_F,MATCH(A100,Bang_Z,1))+(A100-INDEX(Bang_Z,MATCH(A100,Bang_Z,1)))*(INDEX(Bang_F,MATCH(A100,Bang_Z,1)+1)-INDEX(Bang_F,MATCH(A100,Bang_Z,1)))</f>
        <v>4.52</v>
      </c>
      <c r="C100" s="25" t="n">
        <f aca="false">INDEX(Bang_W,MATCH(A100,Bang_Z,1))+(A100-INDEX(Bang_Z,MATCH(A100,Bang_Z,1)))*(INDEX(Bang_F,MATCH(A100,Bang_Z,1))+B100)/2</f>
        <v>21.58825</v>
      </c>
      <c r="D100" s="26" t="n">
        <f aca="false">MAX(A100-TC_Z,0)</f>
        <v>0</v>
      </c>
      <c r="E100" s="27" t="n">
        <f aca="false">1-0.2*(TC_xmb+(TC_n-1)*TC_xmt)*D100/(TC_n*TC_b)</f>
        <v>1</v>
      </c>
      <c r="F100" s="28" t="n">
        <f aca="false">TC_s*E100*TC_m*TC_n*TC_b*SQRT(2*g_)*D100^1.5</f>
        <v>0</v>
      </c>
      <c r="G100" s="29" t="n">
        <f aca="false">MAX(A100-SC_Z,0)</f>
        <v>0.950000000000003</v>
      </c>
      <c r="H100" s="30" t="n">
        <f aca="false">1-0.2*(SC_xmb+(SC_n-1)*SC_xmt)*G100/(SC_n*SC_b)</f>
        <v>0.9734</v>
      </c>
      <c r="I100" s="31" t="n">
        <f aca="false">SC_s*H100*SC_m*SC_n*SC_b*SQRT(2*g_)*G100^1.5</f>
        <v>8.98273875905876</v>
      </c>
      <c r="J100" s="32" t="n">
        <f aca="false">F100+I100</f>
        <v>8.98273875905876</v>
      </c>
      <c r="K100" s="32" t="n">
        <f aca="false">F100</f>
        <v>0</v>
      </c>
      <c r="L100" s="32" t="n">
        <f aca="false">C100*1000000/dt_s+J100/2</f>
        <v>6001.22748049065</v>
      </c>
      <c r="M100" s="32" t="n">
        <f aca="false">C100*1000000/dt_s+K100/2</f>
        <v>5996.73611111112</v>
      </c>
    </row>
    <row r="101" customFormat="false" ht="15" hidden="false" customHeight="false" outlineLevel="0" collapsed="false">
      <c r="A101" s="24" t="n">
        <f aca="false">ROUND(A100+0.01,2)</f>
        <v>71.96</v>
      </c>
      <c r="B101" s="25" t="n">
        <f aca="false">INDEX(Bang_F,MATCH(A101,Bang_Z,1))+(A101-INDEX(Bang_Z,MATCH(A101,Bang_Z,1)))*(INDEX(Bang_F,MATCH(A101,Bang_Z,1)+1)-INDEX(Bang_F,MATCH(A101,Bang_Z,1)))</f>
        <v>4.526</v>
      </c>
      <c r="C101" s="25" t="n">
        <f aca="false">INDEX(Bang_W,MATCH(A101,Bang_Z,1))+(A101-INDEX(Bang_Z,MATCH(A101,Bang_Z,1)))*(INDEX(Bang_F,MATCH(A101,Bang_Z,1))+B101)/2</f>
        <v>21.63348</v>
      </c>
      <c r="D101" s="26" t="n">
        <f aca="false">MAX(A101-TC_Z,0)</f>
        <v>0</v>
      </c>
      <c r="E101" s="27" t="n">
        <f aca="false">1-0.2*(TC_xmb+(TC_n-1)*TC_xmt)*D101/(TC_n*TC_b)</f>
        <v>1</v>
      </c>
      <c r="F101" s="28" t="n">
        <f aca="false">TC_s*E101*TC_m*TC_n*TC_b*SQRT(2*g_)*D101^1.5</f>
        <v>0</v>
      </c>
      <c r="G101" s="29" t="n">
        <f aca="false">MAX(A101-SC_Z,0)</f>
        <v>0.959999999999994</v>
      </c>
      <c r="H101" s="30" t="n">
        <f aca="false">1-0.2*(SC_xmb+(SC_n-1)*SC_xmt)*G101/(SC_n*SC_b)</f>
        <v>0.97312</v>
      </c>
      <c r="I101" s="31" t="n">
        <f aca="false">SC_s*H101*SC_m*SC_n*SC_b*SQRT(2*g_)*G101^1.5</f>
        <v>9.12231926392805</v>
      </c>
      <c r="J101" s="32" t="n">
        <f aca="false">F101+I101</f>
        <v>9.12231926392805</v>
      </c>
      <c r="K101" s="32" t="n">
        <f aca="false">F101</f>
        <v>0</v>
      </c>
      <c r="L101" s="32" t="n">
        <f aca="false">C101*1000000/dt_s+J101/2</f>
        <v>6013.86115963196</v>
      </c>
      <c r="M101" s="32" t="n">
        <f aca="false">C101*1000000/dt_s+K101/2</f>
        <v>6009.29999999999</v>
      </c>
    </row>
    <row r="102" customFormat="false" ht="15" hidden="false" customHeight="false" outlineLevel="0" collapsed="false">
      <c r="A102" s="24" t="n">
        <f aca="false">ROUND(A101+0.01,2)</f>
        <v>71.97</v>
      </c>
      <c r="B102" s="25" t="n">
        <f aca="false">INDEX(Bang_F,MATCH(A102,Bang_Z,1))+(A102-INDEX(Bang_Z,MATCH(A102,Bang_Z,1)))*(INDEX(Bang_F,MATCH(A102,Bang_Z,1)+1)-INDEX(Bang_F,MATCH(A102,Bang_Z,1)))</f>
        <v>4.532</v>
      </c>
      <c r="C102" s="25" t="n">
        <f aca="false">INDEX(Bang_W,MATCH(A102,Bang_Z,1))+(A102-INDEX(Bang_Z,MATCH(A102,Bang_Z,1)))*(INDEX(Bang_F,MATCH(A102,Bang_Z,1))+B102)/2</f>
        <v>21.67877</v>
      </c>
      <c r="D102" s="26" t="n">
        <f aca="false">MAX(A102-TC_Z,0)</f>
        <v>0</v>
      </c>
      <c r="E102" s="27" t="n">
        <f aca="false">1-0.2*(TC_xmb+(TC_n-1)*TC_xmt)*D102/(TC_n*TC_b)</f>
        <v>1</v>
      </c>
      <c r="F102" s="28" t="n">
        <f aca="false">TC_s*E102*TC_m*TC_n*TC_b*SQRT(2*g_)*D102^1.5</f>
        <v>0</v>
      </c>
      <c r="G102" s="29" t="n">
        <f aca="false">MAX(A102-SC_Z,0)</f>
        <v>0.969999999999999</v>
      </c>
      <c r="H102" s="30" t="n">
        <f aca="false">1-0.2*(SC_xmb+(SC_n-1)*SC_xmt)*G102/(SC_n*SC_b)</f>
        <v>0.97284</v>
      </c>
      <c r="I102" s="31" t="n">
        <f aca="false">SC_s*H102*SC_m*SC_n*SC_b*SQRT(2*g_)*G102^1.5</f>
        <v>9.26256012531626</v>
      </c>
      <c r="J102" s="32" t="n">
        <f aca="false">F102+I102</f>
        <v>9.26256012531626</v>
      </c>
      <c r="K102" s="32" t="n">
        <f aca="false">F102</f>
        <v>0</v>
      </c>
      <c r="L102" s="32" t="n">
        <f aca="false">C102*1000000/dt_s+J102/2</f>
        <v>6026.51183561821</v>
      </c>
      <c r="M102" s="32" t="n">
        <f aca="false">C102*1000000/dt_s+K102/2</f>
        <v>6021.88055555556</v>
      </c>
    </row>
    <row r="103" customFormat="false" ht="15" hidden="false" customHeight="false" outlineLevel="0" collapsed="false">
      <c r="A103" s="24" t="n">
        <f aca="false">ROUND(A102+0.01,2)</f>
        <v>71.98</v>
      </c>
      <c r="B103" s="25" t="n">
        <f aca="false">INDEX(Bang_F,MATCH(A103,Bang_Z,1))+(A103-INDEX(Bang_Z,MATCH(A103,Bang_Z,1)))*(INDEX(Bang_F,MATCH(A103,Bang_Z,1)+1)-INDEX(Bang_F,MATCH(A103,Bang_Z,1)))</f>
        <v>4.538</v>
      </c>
      <c r="C103" s="25" t="n">
        <f aca="false">INDEX(Bang_W,MATCH(A103,Bang_Z,1))+(A103-INDEX(Bang_Z,MATCH(A103,Bang_Z,1)))*(INDEX(Bang_F,MATCH(A103,Bang_Z,1))+B103)/2</f>
        <v>21.72412</v>
      </c>
      <c r="D103" s="26" t="n">
        <f aca="false">MAX(A103-TC_Z,0)</f>
        <v>0</v>
      </c>
      <c r="E103" s="27" t="n">
        <f aca="false">1-0.2*(TC_xmb+(TC_n-1)*TC_xmt)*D103/(TC_n*TC_b)</f>
        <v>1</v>
      </c>
      <c r="F103" s="28" t="n">
        <f aca="false">TC_s*E103*TC_m*TC_n*TC_b*SQRT(2*g_)*D103^1.5</f>
        <v>0</v>
      </c>
      <c r="G103" s="29" t="n">
        <f aca="false">MAX(A103-SC_Z,0)</f>
        <v>0.980000000000004</v>
      </c>
      <c r="H103" s="30" t="n">
        <f aca="false">1-0.2*(SC_xmb+(SC_n-1)*SC_xmt)*G103/(SC_n*SC_b)</f>
        <v>0.97256</v>
      </c>
      <c r="I103" s="31" t="n">
        <f aca="false">SC_s*H103*SC_m*SC_n*SC_b*SQRT(2*g_)*G103^1.5</f>
        <v>9.40345686788129</v>
      </c>
      <c r="J103" s="32" t="n">
        <f aca="false">F103+I103</f>
        <v>9.40345686788129</v>
      </c>
      <c r="K103" s="32" t="n">
        <f aca="false">F103</f>
        <v>0</v>
      </c>
      <c r="L103" s="32" t="n">
        <f aca="false">C103*1000000/dt_s+J103/2</f>
        <v>6039.17950621172</v>
      </c>
      <c r="M103" s="32" t="n">
        <f aca="false">C103*1000000/dt_s+K103/2</f>
        <v>6034.47777777778</v>
      </c>
    </row>
    <row r="104" customFormat="false" ht="15" hidden="false" customHeight="false" outlineLevel="0" collapsed="false">
      <c r="A104" s="24" t="n">
        <f aca="false">ROUND(A103+0.01,2)</f>
        <v>71.99</v>
      </c>
      <c r="B104" s="25" t="n">
        <f aca="false">INDEX(Bang_F,MATCH(A104,Bang_Z,1))+(A104-INDEX(Bang_Z,MATCH(A104,Bang_Z,1)))*(INDEX(Bang_F,MATCH(A104,Bang_Z,1)+1)-INDEX(Bang_F,MATCH(A104,Bang_Z,1)))</f>
        <v>4.544</v>
      </c>
      <c r="C104" s="25" t="n">
        <f aca="false">INDEX(Bang_W,MATCH(A104,Bang_Z,1))+(A104-INDEX(Bang_Z,MATCH(A104,Bang_Z,1)))*(INDEX(Bang_F,MATCH(A104,Bang_Z,1))+B104)/2</f>
        <v>21.76953</v>
      </c>
      <c r="D104" s="26" t="n">
        <f aca="false">MAX(A104-TC_Z,0)</f>
        <v>0</v>
      </c>
      <c r="E104" s="27" t="n">
        <f aca="false">1-0.2*(TC_xmb+(TC_n-1)*TC_xmt)*D104/(TC_n*TC_b)</f>
        <v>1</v>
      </c>
      <c r="F104" s="28" t="n">
        <f aca="false">TC_s*E104*TC_m*TC_n*TC_b*SQRT(2*g_)*D104^1.5</f>
        <v>0</v>
      </c>
      <c r="G104" s="29" t="n">
        <f aca="false">MAX(A104-SC_Z,0)</f>
        <v>0.989999999999995</v>
      </c>
      <c r="H104" s="30" t="n">
        <f aca="false">1-0.2*(SC_xmb+(SC_n-1)*SC_xmt)*G104/(SC_n*SC_b)</f>
        <v>0.97228</v>
      </c>
      <c r="I104" s="31" t="n">
        <f aca="false">SC_s*H104*SC_m*SC_n*SC_b*SQRT(2*g_)*G104^1.5</f>
        <v>9.54500507952479</v>
      </c>
      <c r="J104" s="32" t="n">
        <f aca="false">F104+I104</f>
        <v>9.54500507952479</v>
      </c>
      <c r="K104" s="32" t="n">
        <f aca="false">F104</f>
        <v>0</v>
      </c>
      <c r="L104" s="32" t="n">
        <f aca="false">C104*1000000/dt_s+J104/2</f>
        <v>6051.86416920642</v>
      </c>
      <c r="M104" s="32" t="n">
        <f aca="false">C104*1000000/dt_s+K104/2</f>
        <v>6047.09166666666</v>
      </c>
    </row>
    <row r="105" customFormat="false" ht="15" hidden="false" customHeight="false" outlineLevel="0" collapsed="false">
      <c r="A105" s="24" t="n">
        <f aca="false">ROUND(A104+0.01,2)</f>
        <v>72</v>
      </c>
      <c r="B105" s="25" t="n">
        <f aca="false">INDEX(Bang_F,MATCH(A105,Bang_Z,1))+(A105-INDEX(Bang_Z,MATCH(A105,Bang_Z,1)))*(INDEX(Bang_F,MATCH(A105,Bang_Z,1)+1)-INDEX(Bang_F,MATCH(A105,Bang_Z,1)))</f>
        <v>4.55</v>
      </c>
      <c r="C105" s="25" t="n">
        <f aca="false">INDEX(Bang_W,MATCH(A105,Bang_Z,1))+(A105-INDEX(Bang_Z,MATCH(A105,Bang_Z,1)))*(INDEX(Bang_F,MATCH(A105,Bang_Z,1))+B105)/2</f>
        <v>21.815</v>
      </c>
      <c r="D105" s="26" t="n">
        <f aca="false">MAX(A105-TC_Z,0)</f>
        <v>0</v>
      </c>
      <c r="E105" s="27" t="n">
        <f aca="false">1-0.2*(TC_xmb+(TC_n-1)*TC_xmt)*D105/(TC_n*TC_b)</f>
        <v>1</v>
      </c>
      <c r="F105" s="28" t="n">
        <f aca="false">TC_s*E105*TC_m*TC_n*TC_b*SQRT(2*g_)*D105^1.5</f>
        <v>0</v>
      </c>
      <c r="G105" s="29" t="n">
        <f aca="false">MAX(A105-SC_Z,0)</f>
        <v>1</v>
      </c>
      <c r="H105" s="30" t="n">
        <f aca="false">1-0.2*(SC_xmb+(SC_n-1)*SC_xmt)*G105/(SC_n*SC_b)</f>
        <v>0.972</v>
      </c>
      <c r="I105" s="31" t="n">
        <f aca="false">SC_s*H105*SC_m*SC_n*SC_b*SQRT(2*g_)*G105^1.5</f>
        <v>9.68720040981914</v>
      </c>
      <c r="J105" s="32" t="n">
        <f aca="false">F105+I105</f>
        <v>9.68720040981914</v>
      </c>
      <c r="K105" s="32" t="n">
        <f aca="false">F105</f>
        <v>0</v>
      </c>
      <c r="L105" s="32" t="n">
        <f aca="false">C105*1000000/dt_s+J105/2</f>
        <v>6064.56582242713</v>
      </c>
      <c r="M105" s="32" t="n">
        <f aca="false">C105*1000000/dt_s+K105/2</f>
        <v>6059.72222222222</v>
      </c>
    </row>
    <row r="106" customFormat="false" ht="15" hidden="false" customHeight="false" outlineLevel="0" collapsed="false">
      <c r="A106" s="24" t="n">
        <f aca="false">ROUND(A105+0.01,2)</f>
        <v>72.01</v>
      </c>
      <c r="B106" s="25" t="n">
        <f aca="false">INDEX(Bang_F,MATCH(A106,Bang_Z,1))+(A106-INDEX(Bang_Z,MATCH(A106,Bang_Z,1)))*(INDEX(Bang_F,MATCH(A106,Bang_Z,1)+1)-INDEX(Bang_F,MATCH(A106,Bang_Z,1)))</f>
        <v>4.5565</v>
      </c>
      <c r="C106" s="25" t="n">
        <f aca="false">INDEX(Bang_W,MATCH(A106,Bang_Z,1))+(A106-INDEX(Bang_Z,MATCH(A106,Bang_Z,1)))*(INDEX(Bang_F,MATCH(A106,Bang_Z,1))+B106)/2</f>
        <v>21.8605325</v>
      </c>
      <c r="D106" s="26" t="n">
        <f aca="false">MAX(A106-TC_Z,0)</f>
        <v>0</v>
      </c>
      <c r="E106" s="27" t="n">
        <f aca="false">1-0.2*(TC_xmb+(TC_n-1)*TC_xmt)*D106/(TC_n*TC_b)</f>
        <v>1</v>
      </c>
      <c r="F106" s="28" t="n">
        <f aca="false">TC_s*E106*TC_m*TC_n*TC_b*SQRT(2*g_)*D106^1.5</f>
        <v>0</v>
      </c>
      <c r="G106" s="29" t="n">
        <f aca="false">MAX(A106-SC_Z,0)</f>
        <v>1.01000000000001</v>
      </c>
      <c r="H106" s="30" t="n">
        <f aca="false">1-0.2*(SC_xmb+(SC_n-1)*SC_xmt)*G106/(SC_n*SC_b)</f>
        <v>0.97172</v>
      </c>
      <c r="I106" s="31" t="n">
        <f aca="false">SC_s*H106*SC_m*SC_n*SC_b*SQRT(2*g_)*G106^1.5</f>
        <v>9.83003856848731</v>
      </c>
      <c r="J106" s="32" t="n">
        <f aca="false">F106+I106</f>
        <v>9.83003856848731</v>
      </c>
      <c r="K106" s="32" t="n">
        <f aca="false">F106</f>
        <v>0</v>
      </c>
      <c r="L106" s="32" t="n">
        <f aca="false">C106*1000000/dt_s+J106/2</f>
        <v>6077.28515817314</v>
      </c>
      <c r="M106" s="32" t="n">
        <f aca="false">C106*1000000/dt_s+K106/2</f>
        <v>6072.3701388889</v>
      </c>
    </row>
    <row r="107" customFormat="false" ht="15" hidden="false" customHeight="false" outlineLevel="0" collapsed="false">
      <c r="A107" s="24" t="n">
        <f aca="false">ROUND(A106+0.01,2)</f>
        <v>72.02</v>
      </c>
      <c r="B107" s="25" t="n">
        <f aca="false">INDEX(Bang_F,MATCH(A107,Bang_Z,1))+(A107-INDEX(Bang_Z,MATCH(A107,Bang_Z,1)))*(INDEX(Bang_F,MATCH(A107,Bang_Z,1)+1)-INDEX(Bang_F,MATCH(A107,Bang_Z,1)))</f>
        <v>4.563</v>
      </c>
      <c r="C107" s="25" t="n">
        <f aca="false">INDEX(Bang_W,MATCH(A107,Bang_Z,1))+(A107-INDEX(Bang_Z,MATCH(A107,Bang_Z,1)))*(INDEX(Bang_F,MATCH(A107,Bang_Z,1))+B107)/2</f>
        <v>21.90613</v>
      </c>
      <c r="D107" s="26" t="n">
        <f aca="false">MAX(A107-TC_Z,0)</f>
        <v>0</v>
      </c>
      <c r="E107" s="27" t="n">
        <f aca="false">1-0.2*(TC_xmb+(TC_n-1)*TC_xmt)*D107/(TC_n*TC_b)</f>
        <v>1</v>
      </c>
      <c r="F107" s="28" t="n">
        <f aca="false">TC_s*E107*TC_m*TC_n*TC_b*SQRT(2*g_)*D107^1.5</f>
        <v>0</v>
      </c>
      <c r="G107" s="29" t="n">
        <f aca="false">MAX(A107-SC_Z,0)</f>
        <v>1.02</v>
      </c>
      <c r="H107" s="30" t="n">
        <f aca="false">1-0.2*(SC_xmb+(SC_n-1)*SC_xmt)*G107/(SC_n*SC_b)</f>
        <v>0.97144</v>
      </c>
      <c r="I107" s="31" t="n">
        <f aca="false">SC_s*H107*SC_m*SC_n*SC_b*SQRT(2*g_)*G107^1.5</f>
        <v>9.97351532393693</v>
      </c>
      <c r="J107" s="32" t="n">
        <f aca="false">F107+I107</f>
        <v>9.97351532393693</v>
      </c>
      <c r="K107" s="32" t="n">
        <f aca="false">F107</f>
        <v>0</v>
      </c>
      <c r="L107" s="32" t="n">
        <f aca="false">C107*1000000/dt_s+J107/2</f>
        <v>6090.02286877307</v>
      </c>
      <c r="M107" s="32" t="n">
        <f aca="false">C107*1000000/dt_s+K107/2</f>
        <v>6085.03611111111</v>
      </c>
    </row>
    <row r="108" customFormat="false" ht="15" hidden="false" customHeight="false" outlineLevel="0" collapsed="false">
      <c r="A108" s="24" t="n">
        <f aca="false">ROUND(A107+0.01,2)</f>
        <v>72.03</v>
      </c>
      <c r="B108" s="25" t="n">
        <f aca="false">INDEX(Bang_F,MATCH(A108,Bang_Z,1))+(A108-INDEX(Bang_Z,MATCH(A108,Bang_Z,1)))*(INDEX(Bang_F,MATCH(A108,Bang_Z,1)+1)-INDEX(Bang_F,MATCH(A108,Bang_Z,1)))</f>
        <v>4.5695</v>
      </c>
      <c r="C108" s="25" t="n">
        <f aca="false">INDEX(Bang_W,MATCH(A108,Bang_Z,1))+(A108-INDEX(Bang_Z,MATCH(A108,Bang_Z,1)))*(INDEX(Bang_F,MATCH(A108,Bang_Z,1))+B108)/2</f>
        <v>21.9517925</v>
      </c>
      <c r="D108" s="26" t="n">
        <f aca="false">MAX(A108-TC_Z,0)</f>
        <v>0</v>
      </c>
      <c r="E108" s="27" t="n">
        <f aca="false">1-0.2*(TC_xmb+(TC_n-1)*TC_xmt)*D108/(TC_n*TC_b)</f>
        <v>1</v>
      </c>
      <c r="F108" s="28" t="n">
        <f aca="false">TC_s*E108*TC_m*TC_n*TC_b*SQRT(2*g_)*D108^1.5</f>
        <v>0</v>
      </c>
      <c r="G108" s="29" t="n">
        <f aca="false">MAX(A108-SC_Z,0)</f>
        <v>1.03</v>
      </c>
      <c r="H108" s="30" t="n">
        <f aca="false">1-0.2*(SC_xmb+(SC_n-1)*SC_xmt)*G108/(SC_n*SC_b)</f>
        <v>0.97116</v>
      </c>
      <c r="I108" s="31" t="n">
        <f aca="false">SC_s*H108*SC_m*SC_n*SC_b*SQRT(2*g_)*G108^1.5</f>
        <v>10.1176265018445</v>
      </c>
      <c r="J108" s="32" t="n">
        <f aca="false">F108+I108</f>
        <v>10.1176265018445</v>
      </c>
      <c r="K108" s="32" t="n">
        <f aca="false">F108</f>
        <v>0</v>
      </c>
      <c r="L108" s="32" t="n">
        <f aca="false">C108*1000000/dt_s+J108/2</f>
        <v>6102.77895213981</v>
      </c>
      <c r="M108" s="32" t="n">
        <f aca="false">C108*1000000/dt_s+K108/2</f>
        <v>6097.72013888889</v>
      </c>
    </row>
    <row r="109" customFormat="false" ht="15" hidden="false" customHeight="false" outlineLevel="0" collapsed="false">
      <c r="A109" s="24" t="n">
        <f aca="false">ROUND(A108+0.01,2)</f>
        <v>72.04</v>
      </c>
      <c r="B109" s="25" t="n">
        <f aca="false">INDEX(Bang_F,MATCH(A109,Bang_Z,1))+(A109-INDEX(Bang_Z,MATCH(A109,Bang_Z,1)))*(INDEX(Bang_F,MATCH(A109,Bang_Z,1)+1)-INDEX(Bang_F,MATCH(A109,Bang_Z,1)))</f>
        <v>4.576</v>
      </c>
      <c r="C109" s="25" t="n">
        <f aca="false">INDEX(Bang_W,MATCH(A109,Bang_Z,1))+(A109-INDEX(Bang_Z,MATCH(A109,Bang_Z,1)))*(INDEX(Bang_F,MATCH(A109,Bang_Z,1))+B109)/2</f>
        <v>21.99752</v>
      </c>
      <c r="D109" s="26" t="n">
        <f aca="false">MAX(A109-TC_Z,0)</f>
        <v>0</v>
      </c>
      <c r="E109" s="27" t="n">
        <f aca="false">1-0.2*(TC_xmb+(TC_n-1)*TC_xmt)*D109/(TC_n*TC_b)</f>
        <v>1</v>
      </c>
      <c r="F109" s="28" t="n">
        <f aca="false">TC_s*E109*TC_m*TC_n*TC_b*SQRT(2*g_)*D109^1.5</f>
        <v>0</v>
      </c>
      <c r="G109" s="29" t="n">
        <f aca="false">MAX(A109-SC_Z,0)</f>
        <v>1.04000000000001</v>
      </c>
      <c r="H109" s="30" t="n">
        <f aca="false">1-0.2*(SC_xmb+(SC_n-1)*SC_xmt)*G109/(SC_n*SC_b)</f>
        <v>0.97088</v>
      </c>
      <c r="I109" s="31" t="n">
        <f aca="false">SC_s*H109*SC_m*SC_n*SC_b*SQRT(2*g_)*G109^1.5</f>
        <v>10.2623679837854</v>
      </c>
      <c r="J109" s="32" t="n">
        <f aca="false">F109+I109</f>
        <v>10.2623679837854</v>
      </c>
      <c r="K109" s="32" t="n">
        <f aca="false">F109</f>
        <v>0</v>
      </c>
      <c r="L109" s="32" t="n">
        <f aca="false">C109*1000000/dt_s+J109/2</f>
        <v>6115.55340621412</v>
      </c>
      <c r="M109" s="32" t="n">
        <f aca="false">C109*1000000/dt_s+K109/2</f>
        <v>6110.42222222223</v>
      </c>
    </row>
    <row r="110" customFormat="false" ht="15" hidden="false" customHeight="false" outlineLevel="0" collapsed="false">
      <c r="A110" s="24" t="n">
        <f aca="false">ROUND(A109+0.01,2)</f>
        <v>72.05</v>
      </c>
      <c r="B110" s="25" t="n">
        <f aca="false">INDEX(Bang_F,MATCH(A110,Bang_Z,1))+(A110-INDEX(Bang_Z,MATCH(A110,Bang_Z,1)))*(INDEX(Bang_F,MATCH(A110,Bang_Z,1)+1)-INDEX(Bang_F,MATCH(A110,Bang_Z,1)))</f>
        <v>4.5825</v>
      </c>
      <c r="C110" s="25" t="n">
        <f aca="false">INDEX(Bang_W,MATCH(A110,Bang_Z,1))+(A110-INDEX(Bang_Z,MATCH(A110,Bang_Z,1)))*(INDEX(Bang_F,MATCH(A110,Bang_Z,1))+B110)/2</f>
        <v>22.0433125</v>
      </c>
      <c r="D110" s="26" t="n">
        <f aca="false">MAX(A110-TC_Z,0)</f>
        <v>0</v>
      </c>
      <c r="E110" s="27" t="n">
        <f aca="false">1-0.2*(TC_xmb+(TC_n-1)*TC_xmt)*D110/(TC_n*TC_b)</f>
        <v>1</v>
      </c>
      <c r="F110" s="28" t="n">
        <f aca="false">TC_s*E110*TC_m*TC_n*TC_b*SQRT(2*g_)*D110^1.5</f>
        <v>0</v>
      </c>
      <c r="G110" s="29" t="n">
        <f aca="false">MAX(A110-SC_Z,0)</f>
        <v>1.05</v>
      </c>
      <c r="H110" s="30" t="n">
        <f aca="false">1-0.2*(SC_xmb+(SC_n-1)*SC_xmt)*G110/(SC_n*SC_b)</f>
        <v>0.9706</v>
      </c>
      <c r="I110" s="31" t="n">
        <f aca="false">SC_s*H110*SC_m*SC_n*SC_b*SQRT(2*g_)*G110^1.5</f>
        <v>10.407735705912</v>
      </c>
      <c r="J110" s="32" t="n">
        <f aca="false">F110+I110</f>
        <v>10.407735705912</v>
      </c>
      <c r="K110" s="32" t="n">
        <f aca="false">F110</f>
        <v>0</v>
      </c>
      <c r="L110" s="32" t="n">
        <f aca="false">C110*1000000/dt_s+J110/2</f>
        <v>6128.34622896406</v>
      </c>
      <c r="M110" s="32" t="n">
        <f aca="false">C110*1000000/dt_s+K110/2</f>
        <v>6123.14236111111</v>
      </c>
    </row>
    <row r="111" customFormat="false" ht="15" hidden="false" customHeight="false" outlineLevel="0" collapsed="false">
      <c r="A111" s="24" t="n">
        <f aca="false">ROUND(A110+0.01,2)</f>
        <v>72.06</v>
      </c>
      <c r="B111" s="25" t="n">
        <f aca="false">INDEX(Bang_F,MATCH(A111,Bang_Z,1))+(A111-INDEX(Bang_Z,MATCH(A111,Bang_Z,1)))*(INDEX(Bang_F,MATCH(A111,Bang_Z,1)+1)-INDEX(Bang_F,MATCH(A111,Bang_Z,1)))</f>
        <v>4.589</v>
      </c>
      <c r="C111" s="25" t="n">
        <f aca="false">INDEX(Bang_W,MATCH(A111,Bang_Z,1))+(A111-INDEX(Bang_Z,MATCH(A111,Bang_Z,1)))*(INDEX(Bang_F,MATCH(A111,Bang_Z,1))+B111)/2</f>
        <v>22.08917</v>
      </c>
      <c r="D111" s="26" t="n">
        <f aca="false">MAX(A111-TC_Z,0)</f>
        <v>0</v>
      </c>
      <c r="E111" s="27" t="n">
        <f aca="false">1-0.2*(TC_xmb+(TC_n-1)*TC_xmt)*D111/(TC_n*TC_b)</f>
        <v>1</v>
      </c>
      <c r="F111" s="28" t="n">
        <f aca="false">TC_s*E111*TC_m*TC_n*TC_b*SQRT(2*g_)*D111^1.5</f>
        <v>0</v>
      </c>
      <c r="G111" s="29" t="n">
        <f aca="false">MAX(A111-SC_Z,0)</f>
        <v>1.06</v>
      </c>
      <c r="H111" s="30" t="n">
        <f aca="false">1-0.2*(SC_xmb+(SC_n-1)*SC_xmt)*G111/(SC_n*SC_b)</f>
        <v>0.97032</v>
      </c>
      <c r="I111" s="31" t="n">
        <f aca="false">SC_s*H111*SC_m*SC_n*SC_b*SQRT(2*g_)*G111^1.5</f>
        <v>10.5537256576752</v>
      </c>
      <c r="J111" s="32" t="n">
        <f aca="false">F111+I111</f>
        <v>10.5537256576752</v>
      </c>
      <c r="K111" s="32" t="n">
        <f aca="false">F111</f>
        <v>0</v>
      </c>
      <c r="L111" s="32" t="n">
        <f aca="false">C111*1000000/dt_s+J111/2</f>
        <v>6141.1574183844</v>
      </c>
      <c r="M111" s="32" t="n">
        <f aca="false">C111*1000000/dt_s+K111/2</f>
        <v>6135.88055555556</v>
      </c>
    </row>
    <row r="112" customFormat="false" ht="15" hidden="false" customHeight="false" outlineLevel="0" collapsed="false">
      <c r="A112" s="24" t="n">
        <f aca="false">ROUND(A111+0.01,2)</f>
        <v>72.07</v>
      </c>
      <c r="B112" s="25" t="n">
        <f aca="false">INDEX(Bang_F,MATCH(A112,Bang_Z,1))+(A112-INDEX(Bang_Z,MATCH(A112,Bang_Z,1)))*(INDEX(Bang_F,MATCH(A112,Bang_Z,1)+1)-INDEX(Bang_F,MATCH(A112,Bang_Z,1)))</f>
        <v>4.5955</v>
      </c>
      <c r="C112" s="25" t="n">
        <f aca="false">INDEX(Bang_W,MATCH(A112,Bang_Z,1))+(A112-INDEX(Bang_Z,MATCH(A112,Bang_Z,1)))*(INDEX(Bang_F,MATCH(A112,Bang_Z,1))+B112)/2</f>
        <v>22.1350925</v>
      </c>
      <c r="D112" s="26" t="n">
        <f aca="false">MAX(A112-TC_Z,0)</f>
        <v>0</v>
      </c>
      <c r="E112" s="27" t="n">
        <f aca="false">1-0.2*(TC_xmb+(TC_n-1)*TC_xmt)*D112/(TC_n*TC_b)</f>
        <v>1</v>
      </c>
      <c r="F112" s="28" t="n">
        <f aca="false">TC_s*E112*TC_m*TC_n*TC_b*SQRT(2*g_)*D112^1.5</f>
        <v>0</v>
      </c>
      <c r="G112" s="29" t="n">
        <f aca="false">MAX(A112-SC_Z,0)</f>
        <v>1.06999999999999</v>
      </c>
      <c r="H112" s="30" t="n">
        <f aca="false">1-0.2*(SC_xmb+(SC_n-1)*SC_xmt)*G112/(SC_n*SC_b)</f>
        <v>0.97004</v>
      </c>
      <c r="I112" s="31" t="n">
        <f aca="false">SC_s*H112*SC_m*SC_n*SC_b*SQRT(2*g_)*G112^1.5</f>
        <v>10.700333880586</v>
      </c>
      <c r="J112" s="32" t="n">
        <f aca="false">F112+I112</f>
        <v>10.700333880586</v>
      </c>
      <c r="K112" s="32" t="n">
        <f aca="false">F112</f>
        <v>0</v>
      </c>
      <c r="L112" s="32" t="n">
        <f aca="false">C112*1000000/dt_s+J112/2</f>
        <v>6153.98697249584</v>
      </c>
      <c r="M112" s="32" t="n">
        <f aca="false">C112*1000000/dt_s+K112/2</f>
        <v>6148.63680555555</v>
      </c>
    </row>
    <row r="113" customFormat="false" ht="15" hidden="false" customHeight="false" outlineLevel="0" collapsed="false">
      <c r="A113" s="24" t="n">
        <f aca="false">ROUND(A112+0.01,2)</f>
        <v>72.08</v>
      </c>
      <c r="B113" s="25" t="n">
        <f aca="false">INDEX(Bang_F,MATCH(A113,Bang_Z,1))+(A113-INDEX(Bang_Z,MATCH(A113,Bang_Z,1)))*(INDEX(Bang_F,MATCH(A113,Bang_Z,1)+1)-INDEX(Bang_F,MATCH(A113,Bang_Z,1)))</f>
        <v>4.602</v>
      </c>
      <c r="C113" s="25" t="n">
        <f aca="false">INDEX(Bang_W,MATCH(A113,Bang_Z,1))+(A113-INDEX(Bang_Z,MATCH(A113,Bang_Z,1)))*(INDEX(Bang_F,MATCH(A113,Bang_Z,1))+B113)/2</f>
        <v>22.18108</v>
      </c>
      <c r="D113" s="26" t="n">
        <f aca="false">MAX(A113-TC_Z,0)</f>
        <v>0</v>
      </c>
      <c r="E113" s="27" t="n">
        <f aca="false">1-0.2*(TC_xmb+(TC_n-1)*TC_xmt)*D113/(TC_n*TC_b)</f>
        <v>1</v>
      </c>
      <c r="F113" s="28" t="n">
        <f aca="false">TC_s*E113*TC_m*TC_n*TC_b*SQRT(2*g_)*D113^1.5</f>
        <v>0</v>
      </c>
      <c r="G113" s="29" t="n">
        <f aca="false">MAX(A113-SC_Z,0)</f>
        <v>1.08</v>
      </c>
      <c r="H113" s="30" t="n">
        <f aca="false">1-0.2*(SC_xmb+(SC_n-1)*SC_xmt)*G113/(SC_n*SC_b)</f>
        <v>0.96976</v>
      </c>
      <c r="I113" s="31" t="n">
        <f aca="false">SC_s*H113*SC_m*SC_n*SC_b*SQRT(2*g_)*G113^1.5</f>
        <v>10.8475564670208</v>
      </c>
      <c r="J113" s="32" t="n">
        <f aca="false">F113+I113</f>
        <v>10.8475564670208</v>
      </c>
      <c r="K113" s="32" t="n">
        <f aca="false">F113</f>
        <v>0</v>
      </c>
      <c r="L113" s="32" t="n">
        <f aca="false">C113*1000000/dt_s+J113/2</f>
        <v>6166.83488934462</v>
      </c>
      <c r="M113" s="32" t="n">
        <f aca="false">C113*1000000/dt_s+K113/2</f>
        <v>6161.41111111111</v>
      </c>
    </row>
    <row r="114" customFormat="false" ht="15" hidden="false" customHeight="false" outlineLevel="0" collapsed="false">
      <c r="A114" s="24" t="n">
        <f aca="false">ROUND(A113+0.01,2)</f>
        <v>72.09</v>
      </c>
      <c r="B114" s="25" t="n">
        <f aca="false">INDEX(Bang_F,MATCH(A114,Bang_Z,1))+(A114-INDEX(Bang_Z,MATCH(A114,Bang_Z,1)))*(INDEX(Bang_F,MATCH(A114,Bang_Z,1)+1)-INDEX(Bang_F,MATCH(A114,Bang_Z,1)))</f>
        <v>4.6085</v>
      </c>
      <c r="C114" s="25" t="n">
        <f aca="false">INDEX(Bang_W,MATCH(A114,Bang_Z,1))+(A114-INDEX(Bang_Z,MATCH(A114,Bang_Z,1)))*(INDEX(Bang_F,MATCH(A114,Bang_Z,1))+B114)/2</f>
        <v>22.2271325</v>
      </c>
      <c r="D114" s="26" t="n">
        <f aca="false">MAX(A114-TC_Z,0)</f>
        <v>0</v>
      </c>
      <c r="E114" s="27" t="n">
        <f aca="false">1-0.2*(TC_xmb+(TC_n-1)*TC_xmt)*D114/(TC_n*TC_b)</f>
        <v>1</v>
      </c>
      <c r="F114" s="28" t="n">
        <f aca="false">TC_s*E114*TC_m*TC_n*TC_b*SQRT(2*g_)*D114^1.5</f>
        <v>0</v>
      </c>
      <c r="G114" s="29" t="n">
        <f aca="false">MAX(A114-SC_Z,0)</f>
        <v>1.09</v>
      </c>
      <c r="H114" s="30" t="n">
        <f aca="false">1-0.2*(SC_xmb+(SC_n-1)*SC_xmt)*G114/(SC_n*SC_b)</f>
        <v>0.96948</v>
      </c>
      <c r="I114" s="31" t="n">
        <f aca="false">SC_s*H114*SC_m*SC_n*SC_b*SQRT(2*g_)*G114^1.5</f>
        <v>10.9953895590613</v>
      </c>
      <c r="J114" s="32" t="n">
        <f aca="false">F114+I114</f>
        <v>10.9953895590613</v>
      </c>
      <c r="K114" s="32" t="n">
        <f aca="false">F114</f>
        <v>0</v>
      </c>
      <c r="L114" s="32" t="n">
        <f aca="false">C114*1000000/dt_s+J114/2</f>
        <v>6179.70116700176</v>
      </c>
      <c r="M114" s="32" t="n">
        <f aca="false">C114*1000000/dt_s+K114/2</f>
        <v>6174.20347222223</v>
      </c>
    </row>
    <row r="115" customFormat="false" ht="15" hidden="false" customHeight="false" outlineLevel="0" collapsed="false">
      <c r="A115" s="24" t="n">
        <f aca="false">ROUND(A114+0.01,2)</f>
        <v>72.1</v>
      </c>
      <c r="B115" s="25" t="n">
        <f aca="false">INDEX(Bang_F,MATCH(A115,Bang_Z,1))+(A115-INDEX(Bang_Z,MATCH(A115,Bang_Z,1)))*(INDEX(Bang_F,MATCH(A115,Bang_Z,1)+1)-INDEX(Bang_F,MATCH(A115,Bang_Z,1)))</f>
        <v>4.615</v>
      </c>
      <c r="C115" s="25" t="n">
        <f aca="false">INDEX(Bang_W,MATCH(A115,Bang_Z,1))+(A115-INDEX(Bang_Z,MATCH(A115,Bang_Z,1)))*(INDEX(Bang_F,MATCH(A115,Bang_Z,1))+B115)/2</f>
        <v>22.27325</v>
      </c>
      <c r="D115" s="26" t="n">
        <f aca="false">MAX(A115-TC_Z,0)</f>
        <v>0</v>
      </c>
      <c r="E115" s="27" t="n">
        <f aca="false">1-0.2*(TC_xmb+(TC_n-1)*TC_xmt)*D115/(TC_n*TC_b)</f>
        <v>1</v>
      </c>
      <c r="F115" s="28" t="n">
        <f aca="false">TC_s*E115*TC_m*TC_n*TC_b*SQRT(2*g_)*D115^1.5</f>
        <v>0</v>
      </c>
      <c r="G115" s="29" t="n">
        <f aca="false">MAX(A115-SC_Z,0)</f>
        <v>1.09999999999999</v>
      </c>
      <c r="H115" s="30" t="n">
        <f aca="false">1-0.2*(SC_xmb+(SC_n-1)*SC_xmt)*G115/(SC_n*SC_b)</f>
        <v>0.9692</v>
      </c>
      <c r="I115" s="31" t="n">
        <f aca="false">SC_s*H115*SC_m*SC_n*SC_b*SQRT(2*g_)*G115^1.5</f>
        <v>11.1438293473745</v>
      </c>
      <c r="J115" s="32" t="n">
        <f aca="false">F115+I115</f>
        <v>11.1438293473745</v>
      </c>
      <c r="K115" s="32" t="n">
        <f aca="false">F115</f>
        <v>0</v>
      </c>
      <c r="L115" s="32" t="n">
        <f aca="false">C115*1000000/dt_s+J115/2</f>
        <v>6192.58580356257</v>
      </c>
      <c r="M115" s="32" t="n">
        <f aca="false">C115*1000000/dt_s+K115/2</f>
        <v>6187.01388888888</v>
      </c>
    </row>
    <row r="116" customFormat="false" ht="15" hidden="false" customHeight="false" outlineLevel="0" collapsed="false">
      <c r="A116" s="24" t="n">
        <f aca="false">ROUND(A115+0.01,2)</f>
        <v>72.11</v>
      </c>
      <c r="B116" s="25" t="n">
        <f aca="false">INDEX(Bang_F,MATCH(A116,Bang_Z,1))+(A116-INDEX(Bang_Z,MATCH(A116,Bang_Z,1)))*(INDEX(Bang_F,MATCH(A116,Bang_Z,1)+1)-INDEX(Bang_F,MATCH(A116,Bang_Z,1)))</f>
        <v>4.6215</v>
      </c>
      <c r="C116" s="25" t="n">
        <f aca="false">INDEX(Bang_W,MATCH(A116,Bang_Z,1))+(A116-INDEX(Bang_Z,MATCH(A116,Bang_Z,1)))*(INDEX(Bang_F,MATCH(A116,Bang_Z,1))+B116)/2</f>
        <v>22.3194325</v>
      </c>
      <c r="D116" s="26" t="n">
        <f aca="false">MAX(A116-TC_Z,0)</f>
        <v>0</v>
      </c>
      <c r="E116" s="27" t="n">
        <f aca="false">1-0.2*(TC_xmb+(TC_n-1)*TC_xmt)*D116/(TC_n*TC_b)</f>
        <v>1</v>
      </c>
      <c r="F116" s="28" t="n">
        <f aca="false">TC_s*E116*TC_m*TC_n*TC_b*SQRT(2*g_)*D116^1.5</f>
        <v>0</v>
      </c>
      <c r="G116" s="29" t="n">
        <f aca="false">MAX(A116-SC_Z,0)</f>
        <v>1.11</v>
      </c>
      <c r="H116" s="30" t="n">
        <f aca="false">1-0.2*(SC_xmb+(SC_n-1)*SC_xmt)*G116/(SC_n*SC_b)</f>
        <v>0.96892</v>
      </c>
      <c r="I116" s="31" t="n">
        <f aca="false">SC_s*H116*SC_m*SC_n*SC_b*SQRT(2*g_)*G116^1.5</f>
        <v>11.2928720701273</v>
      </c>
      <c r="J116" s="32" t="n">
        <f aca="false">F116+I116</f>
        <v>11.2928720701273</v>
      </c>
      <c r="K116" s="32" t="n">
        <f aca="false">F116</f>
        <v>0</v>
      </c>
      <c r="L116" s="32" t="n">
        <f aca="false">C116*1000000/dt_s+J116/2</f>
        <v>6205.48879714617</v>
      </c>
      <c r="M116" s="32" t="n">
        <f aca="false">C116*1000000/dt_s+K116/2</f>
        <v>6199.84236111111</v>
      </c>
    </row>
    <row r="117" customFormat="false" ht="15" hidden="false" customHeight="false" outlineLevel="0" collapsed="false">
      <c r="A117" s="24" t="n">
        <f aca="false">ROUND(A116+0.01,2)</f>
        <v>72.12</v>
      </c>
      <c r="B117" s="25" t="n">
        <f aca="false">INDEX(Bang_F,MATCH(A117,Bang_Z,1))+(A117-INDEX(Bang_Z,MATCH(A117,Bang_Z,1)))*(INDEX(Bang_F,MATCH(A117,Bang_Z,1)+1)-INDEX(Bang_F,MATCH(A117,Bang_Z,1)))</f>
        <v>4.628</v>
      </c>
      <c r="C117" s="25" t="n">
        <f aca="false">INDEX(Bang_W,MATCH(A117,Bang_Z,1))+(A117-INDEX(Bang_Z,MATCH(A117,Bang_Z,1)))*(INDEX(Bang_F,MATCH(A117,Bang_Z,1))+B117)/2</f>
        <v>22.36568</v>
      </c>
      <c r="D117" s="26" t="n">
        <f aca="false">MAX(A117-TC_Z,0)</f>
        <v>0</v>
      </c>
      <c r="E117" s="27" t="n">
        <f aca="false">1-0.2*(TC_xmb+(TC_n-1)*TC_xmt)*D117/(TC_n*TC_b)</f>
        <v>1</v>
      </c>
      <c r="F117" s="28" t="n">
        <f aca="false">TC_s*E117*TC_m*TC_n*TC_b*SQRT(2*g_)*D117^1.5</f>
        <v>0</v>
      </c>
      <c r="G117" s="29" t="n">
        <f aca="false">MAX(A117-SC_Z,0)</f>
        <v>1.12</v>
      </c>
      <c r="H117" s="30" t="n">
        <f aca="false">1-0.2*(SC_xmb+(SC_n-1)*SC_xmt)*G117/(SC_n*SC_b)</f>
        <v>0.96864</v>
      </c>
      <c r="I117" s="31" t="n">
        <f aca="false">SC_s*H117*SC_m*SC_n*SC_b*SQRT(2*g_)*G117^1.5</f>
        <v>11.4425140119335</v>
      </c>
      <c r="J117" s="32" t="n">
        <f aca="false">F117+I117</f>
        <v>11.4425140119335</v>
      </c>
      <c r="K117" s="32" t="n">
        <f aca="false">F117</f>
        <v>0</v>
      </c>
      <c r="L117" s="32" t="n">
        <f aca="false">C117*1000000/dt_s+J117/2</f>
        <v>6218.41014589486</v>
      </c>
      <c r="M117" s="32" t="n">
        <f aca="false">C117*1000000/dt_s+K117/2</f>
        <v>6212.6888888889</v>
      </c>
    </row>
    <row r="118" customFormat="false" ht="15" hidden="false" customHeight="false" outlineLevel="0" collapsed="false">
      <c r="A118" s="24" t="n">
        <f aca="false">ROUND(A117+0.01,2)</f>
        <v>72.13</v>
      </c>
      <c r="B118" s="25" t="n">
        <f aca="false">INDEX(Bang_F,MATCH(A118,Bang_Z,1))+(A118-INDEX(Bang_Z,MATCH(A118,Bang_Z,1)))*(INDEX(Bang_F,MATCH(A118,Bang_Z,1)+1)-INDEX(Bang_F,MATCH(A118,Bang_Z,1)))</f>
        <v>4.6345</v>
      </c>
      <c r="C118" s="25" t="n">
        <f aca="false">INDEX(Bang_W,MATCH(A118,Bang_Z,1))+(A118-INDEX(Bang_Z,MATCH(A118,Bang_Z,1)))*(INDEX(Bang_F,MATCH(A118,Bang_Z,1))+B118)/2</f>
        <v>22.4119925</v>
      </c>
      <c r="D118" s="26" t="n">
        <f aca="false">MAX(A118-TC_Z,0)</f>
        <v>0</v>
      </c>
      <c r="E118" s="27" t="n">
        <f aca="false">1-0.2*(TC_xmb+(TC_n-1)*TC_xmt)*D118/(TC_n*TC_b)</f>
        <v>1</v>
      </c>
      <c r="F118" s="28" t="n">
        <f aca="false">TC_s*E118*TC_m*TC_n*TC_b*SQRT(2*g_)*D118^1.5</f>
        <v>0</v>
      </c>
      <c r="G118" s="29" t="n">
        <f aca="false">MAX(A118-SC_Z,0)</f>
        <v>1.13</v>
      </c>
      <c r="H118" s="30" t="n">
        <f aca="false">1-0.2*(SC_xmb+(SC_n-1)*SC_xmt)*G118/(SC_n*SC_b)</f>
        <v>0.96836</v>
      </c>
      <c r="I118" s="31" t="n">
        <f aca="false">SC_s*H118*SC_m*SC_n*SC_b*SQRT(2*g_)*G118^1.5</f>
        <v>11.5927515028357</v>
      </c>
      <c r="J118" s="32" t="n">
        <f aca="false">F118+I118</f>
        <v>11.5927515028357</v>
      </c>
      <c r="K118" s="32" t="n">
        <f aca="false">F118</f>
        <v>0</v>
      </c>
      <c r="L118" s="32" t="n">
        <f aca="false">C118*1000000/dt_s+J118/2</f>
        <v>6231.34984797363</v>
      </c>
      <c r="M118" s="32" t="n">
        <f aca="false">C118*1000000/dt_s+K118/2</f>
        <v>6225.55347222222</v>
      </c>
    </row>
    <row r="119" customFormat="false" ht="15" hidden="false" customHeight="false" outlineLevel="0" collapsed="false">
      <c r="A119" s="24" t="n">
        <f aca="false">ROUND(A118+0.01,2)</f>
        <v>72.14</v>
      </c>
      <c r="B119" s="25" t="n">
        <f aca="false">INDEX(Bang_F,MATCH(A119,Bang_Z,1))+(A119-INDEX(Bang_Z,MATCH(A119,Bang_Z,1)))*(INDEX(Bang_F,MATCH(A119,Bang_Z,1)+1)-INDEX(Bang_F,MATCH(A119,Bang_Z,1)))</f>
        <v>4.641</v>
      </c>
      <c r="C119" s="25" t="n">
        <f aca="false">INDEX(Bang_W,MATCH(A119,Bang_Z,1))+(A119-INDEX(Bang_Z,MATCH(A119,Bang_Z,1)))*(INDEX(Bang_F,MATCH(A119,Bang_Z,1))+B119)/2</f>
        <v>22.45837</v>
      </c>
      <c r="D119" s="26" t="n">
        <f aca="false">MAX(A119-TC_Z,0)</f>
        <v>0</v>
      </c>
      <c r="E119" s="27" t="n">
        <f aca="false">1-0.2*(TC_xmb+(TC_n-1)*TC_xmt)*D119/(TC_n*TC_b)</f>
        <v>1</v>
      </c>
      <c r="F119" s="28" t="n">
        <f aca="false">TC_s*E119*TC_m*TC_n*TC_b*SQRT(2*g_)*D119^1.5</f>
        <v>0</v>
      </c>
      <c r="G119" s="29" t="n">
        <f aca="false">MAX(A119-SC_Z,0)</f>
        <v>1.14</v>
      </c>
      <c r="H119" s="30" t="n">
        <f aca="false">1-0.2*(SC_xmb+(SC_n-1)*SC_xmt)*G119/(SC_n*SC_b)</f>
        <v>0.96808</v>
      </c>
      <c r="I119" s="31" t="n">
        <f aca="false">SC_s*H119*SC_m*SC_n*SC_b*SQRT(2*g_)*G119^1.5</f>
        <v>11.7435809173185</v>
      </c>
      <c r="J119" s="32" t="n">
        <f aca="false">F119+I119</f>
        <v>11.7435809173185</v>
      </c>
      <c r="K119" s="32" t="n">
        <f aca="false">F119</f>
        <v>0</v>
      </c>
      <c r="L119" s="32" t="n">
        <f aca="false">C119*1000000/dt_s+J119/2</f>
        <v>6244.30790156977</v>
      </c>
      <c r="M119" s="32" t="n">
        <f aca="false">C119*1000000/dt_s+K119/2</f>
        <v>6238.43611111111</v>
      </c>
    </row>
    <row r="120" customFormat="false" ht="15" hidden="false" customHeight="false" outlineLevel="0" collapsed="false">
      <c r="A120" s="24" t="n">
        <f aca="false">ROUND(A119+0.01,2)</f>
        <v>72.15</v>
      </c>
      <c r="B120" s="25" t="n">
        <f aca="false">INDEX(Bang_F,MATCH(A120,Bang_Z,1))+(A120-INDEX(Bang_Z,MATCH(A120,Bang_Z,1)))*(INDEX(Bang_F,MATCH(A120,Bang_Z,1)+1)-INDEX(Bang_F,MATCH(A120,Bang_Z,1)))</f>
        <v>4.6475</v>
      </c>
      <c r="C120" s="25" t="n">
        <f aca="false">INDEX(Bang_W,MATCH(A120,Bang_Z,1))+(A120-INDEX(Bang_Z,MATCH(A120,Bang_Z,1)))*(INDEX(Bang_F,MATCH(A120,Bang_Z,1))+B120)/2</f>
        <v>22.5048125</v>
      </c>
      <c r="D120" s="26" t="n">
        <f aca="false">MAX(A120-TC_Z,0)</f>
        <v>0</v>
      </c>
      <c r="E120" s="27" t="n">
        <f aca="false">1-0.2*(TC_xmb+(TC_n-1)*TC_xmt)*D120/(TC_n*TC_b)</f>
        <v>1</v>
      </c>
      <c r="F120" s="28" t="n">
        <f aca="false">TC_s*E120*TC_m*TC_n*TC_b*SQRT(2*g_)*D120^1.5</f>
        <v>0</v>
      </c>
      <c r="G120" s="29" t="n">
        <f aca="false">MAX(A120-SC_Z,0)</f>
        <v>1.15000000000001</v>
      </c>
      <c r="H120" s="30" t="n">
        <f aca="false">1-0.2*(SC_xmb+(SC_n-1)*SC_xmt)*G120/(SC_n*SC_b)</f>
        <v>0.9678</v>
      </c>
      <c r="I120" s="31" t="n">
        <f aca="false">SC_s*H120*SC_m*SC_n*SC_b*SQRT(2*g_)*G120^1.5</f>
        <v>11.8949986733489</v>
      </c>
      <c r="J120" s="32" t="n">
        <f aca="false">F120+I120</f>
        <v>11.8949986733489</v>
      </c>
      <c r="K120" s="32" t="n">
        <f aca="false">F120</f>
        <v>0</v>
      </c>
      <c r="L120" s="32" t="n">
        <f aca="false">C120*1000000/dt_s+J120/2</f>
        <v>6257.28430489224</v>
      </c>
      <c r="M120" s="32" t="n">
        <f aca="false">C120*1000000/dt_s+K120/2</f>
        <v>6251.33680555556</v>
      </c>
    </row>
    <row r="121" customFormat="false" ht="15" hidden="false" customHeight="false" outlineLevel="0" collapsed="false">
      <c r="A121" s="24" t="n">
        <f aca="false">ROUND(A120+0.01,2)</f>
        <v>72.16</v>
      </c>
      <c r="B121" s="25" t="n">
        <f aca="false">INDEX(Bang_F,MATCH(A121,Bang_Z,1))+(A121-INDEX(Bang_Z,MATCH(A121,Bang_Z,1)))*(INDEX(Bang_F,MATCH(A121,Bang_Z,1)+1)-INDEX(Bang_F,MATCH(A121,Bang_Z,1)))</f>
        <v>4.654</v>
      </c>
      <c r="C121" s="25" t="n">
        <f aca="false">INDEX(Bang_W,MATCH(A121,Bang_Z,1))+(A121-INDEX(Bang_Z,MATCH(A121,Bang_Z,1)))*(INDEX(Bang_F,MATCH(A121,Bang_Z,1))+B121)/2</f>
        <v>22.55132</v>
      </c>
      <c r="D121" s="26" t="n">
        <f aca="false">MAX(A121-TC_Z,0)</f>
        <v>0</v>
      </c>
      <c r="E121" s="27" t="n">
        <f aca="false">1-0.2*(TC_xmb+(TC_n-1)*TC_xmt)*D121/(TC_n*TC_b)</f>
        <v>1</v>
      </c>
      <c r="F121" s="28" t="n">
        <f aca="false">TC_s*E121*TC_m*TC_n*TC_b*SQRT(2*g_)*D121^1.5</f>
        <v>0</v>
      </c>
      <c r="G121" s="29" t="n">
        <f aca="false">MAX(A121-SC_Z,0)</f>
        <v>1.16</v>
      </c>
      <c r="H121" s="30" t="n">
        <f aca="false">1-0.2*(SC_xmb+(SC_n-1)*SC_xmt)*G121/(SC_n*SC_b)</f>
        <v>0.96752</v>
      </c>
      <c r="I121" s="31" t="n">
        <f aca="false">SC_s*H121*SC_m*SC_n*SC_b*SQRT(2*g_)*G121^1.5</f>
        <v>12.0470012314491</v>
      </c>
      <c r="J121" s="32" t="n">
        <f aca="false">F121+I121</f>
        <v>12.0470012314491</v>
      </c>
      <c r="K121" s="32" t="n">
        <f aca="false">F121</f>
        <v>0</v>
      </c>
      <c r="L121" s="32" t="n">
        <f aca="false">C121*1000000/dt_s+J121/2</f>
        <v>6270.27905617128</v>
      </c>
      <c r="M121" s="32" t="n">
        <f aca="false">C121*1000000/dt_s+K121/2</f>
        <v>6264.25555555555</v>
      </c>
    </row>
    <row r="122" customFormat="false" ht="15" hidden="false" customHeight="false" outlineLevel="0" collapsed="false">
      <c r="A122" s="24" t="n">
        <f aca="false">ROUND(A121+0.01,2)</f>
        <v>72.17</v>
      </c>
      <c r="B122" s="25" t="n">
        <f aca="false">INDEX(Bang_F,MATCH(A122,Bang_Z,1))+(A122-INDEX(Bang_Z,MATCH(A122,Bang_Z,1)))*(INDEX(Bang_F,MATCH(A122,Bang_Z,1)+1)-INDEX(Bang_F,MATCH(A122,Bang_Z,1)))</f>
        <v>4.6605</v>
      </c>
      <c r="C122" s="25" t="n">
        <f aca="false">INDEX(Bang_W,MATCH(A122,Bang_Z,1))+(A122-INDEX(Bang_Z,MATCH(A122,Bang_Z,1)))*(INDEX(Bang_F,MATCH(A122,Bang_Z,1))+B122)/2</f>
        <v>22.5978925</v>
      </c>
      <c r="D122" s="26" t="n">
        <f aca="false">MAX(A122-TC_Z,0)</f>
        <v>0</v>
      </c>
      <c r="E122" s="27" t="n">
        <f aca="false">1-0.2*(TC_xmb+(TC_n-1)*TC_xmt)*D122/(TC_n*TC_b)</f>
        <v>1</v>
      </c>
      <c r="F122" s="28" t="n">
        <f aca="false">TC_s*E122*TC_m*TC_n*TC_b*SQRT(2*g_)*D122^1.5</f>
        <v>0</v>
      </c>
      <c r="G122" s="29" t="n">
        <f aca="false">MAX(A122-SC_Z,0)</f>
        <v>1.17</v>
      </c>
      <c r="H122" s="30" t="n">
        <f aca="false">1-0.2*(SC_xmb+(SC_n-1)*SC_xmt)*G122/(SC_n*SC_b)</f>
        <v>0.96724</v>
      </c>
      <c r="I122" s="31" t="n">
        <f aca="false">SC_s*H122*SC_m*SC_n*SC_b*SQRT(2*g_)*G122^1.5</f>
        <v>12.1995850937965</v>
      </c>
      <c r="J122" s="32" t="n">
        <f aca="false">F122+I122</f>
        <v>12.1995850937965</v>
      </c>
      <c r="K122" s="32" t="n">
        <f aca="false">F122</f>
        <v>0</v>
      </c>
      <c r="L122" s="32" t="n">
        <f aca="false">C122*1000000/dt_s+J122/2</f>
        <v>6283.29215365801</v>
      </c>
      <c r="M122" s="32" t="n">
        <f aca="false">C122*1000000/dt_s+K122/2</f>
        <v>6277.19236111111</v>
      </c>
    </row>
    <row r="123" customFormat="false" ht="15" hidden="false" customHeight="false" outlineLevel="0" collapsed="false">
      <c r="A123" s="24" t="n">
        <f aca="false">ROUND(A122+0.01,2)</f>
        <v>72.18</v>
      </c>
      <c r="B123" s="25" t="n">
        <f aca="false">INDEX(Bang_F,MATCH(A123,Bang_Z,1))+(A123-INDEX(Bang_Z,MATCH(A123,Bang_Z,1)))*(INDEX(Bang_F,MATCH(A123,Bang_Z,1)+1)-INDEX(Bang_F,MATCH(A123,Bang_Z,1)))</f>
        <v>4.667</v>
      </c>
      <c r="C123" s="25" t="n">
        <f aca="false">INDEX(Bang_W,MATCH(A123,Bang_Z,1))+(A123-INDEX(Bang_Z,MATCH(A123,Bang_Z,1)))*(INDEX(Bang_F,MATCH(A123,Bang_Z,1))+B123)/2</f>
        <v>22.64453</v>
      </c>
      <c r="D123" s="26" t="n">
        <f aca="false">MAX(A123-TC_Z,0)</f>
        <v>0</v>
      </c>
      <c r="E123" s="27" t="n">
        <f aca="false">1-0.2*(TC_xmb+(TC_n-1)*TC_xmt)*D123/(TC_n*TC_b)</f>
        <v>1</v>
      </c>
      <c r="F123" s="28" t="n">
        <f aca="false">TC_s*E123*TC_m*TC_n*TC_b*SQRT(2*g_)*D123^1.5</f>
        <v>0</v>
      </c>
      <c r="G123" s="29" t="n">
        <f aca="false">MAX(A123-SC_Z,0)</f>
        <v>1.18000000000001</v>
      </c>
      <c r="H123" s="30" t="n">
        <f aca="false">1-0.2*(SC_xmb+(SC_n-1)*SC_xmt)*G123/(SC_n*SC_b)</f>
        <v>0.96696</v>
      </c>
      <c r="I123" s="31" t="n">
        <f aca="false">SC_s*H123*SC_m*SC_n*SC_b*SQRT(2*g_)*G123^1.5</f>
        <v>12.3527468033478</v>
      </c>
      <c r="J123" s="32" t="n">
        <f aca="false">F123+I123</f>
        <v>12.3527468033478</v>
      </c>
      <c r="K123" s="32" t="n">
        <f aca="false">F123</f>
        <v>0</v>
      </c>
      <c r="L123" s="32" t="n">
        <f aca="false">C123*1000000/dt_s+J123/2</f>
        <v>6296.3235956239</v>
      </c>
      <c r="M123" s="32" t="n">
        <f aca="false">C123*1000000/dt_s+K123/2</f>
        <v>6290.14722222223</v>
      </c>
    </row>
    <row r="124" customFormat="false" ht="15" hidden="false" customHeight="false" outlineLevel="0" collapsed="false">
      <c r="A124" s="24" t="n">
        <f aca="false">ROUND(A123+0.01,2)</f>
        <v>72.19</v>
      </c>
      <c r="B124" s="25" t="n">
        <f aca="false">INDEX(Bang_F,MATCH(A124,Bang_Z,1))+(A124-INDEX(Bang_Z,MATCH(A124,Bang_Z,1)))*(INDEX(Bang_F,MATCH(A124,Bang_Z,1)+1)-INDEX(Bang_F,MATCH(A124,Bang_Z,1)))</f>
        <v>4.6735</v>
      </c>
      <c r="C124" s="25" t="n">
        <f aca="false">INDEX(Bang_W,MATCH(A124,Bang_Z,1))+(A124-INDEX(Bang_Z,MATCH(A124,Bang_Z,1)))*(INDEX(Bang_F,MATCH(A124,Bang_Z,1))+B124)/2</f>
        <v>22.6912325</v>
      </c>
      <c r="D124" s="26" t="n">
        <f aca="false">MAX(A124-TC_Z,0)</f>
        <v>0</v>
      </c>
      <c r="E124" s="27" t="n">
        <f aca="false">1-0.2*(TC_xmb+(TC_n-1)*TC_xmt)*D124/(TC_n*TC_b)</f>
        <v>1</v>
      </c>
      <c r="F124" s="28" t="n">
        <f aca="false">TC_s*E124*TC_m*TC_n*TC_b*SQRT(2*g_)*D124^1.5</f>
        <v>0</v>
      </c>
      <c r="G124" s="29" t="n">
        <f aca="false">MAX(A124-SC_Z,0)</f>
        <v>1.19</v>
      </c>
      <c r="H124" s="30" t="n">
        <f aca="false">1-0.2*(SC_xmb+(SC_n-1)*SC_xmt)*G124/(SC_n*SC_b)</f>
        <v>0.96668</v>
      </c>
      <c r="I124" s="31" t="n">
        <f aca="false">SC_s*H124*SC_m*SC_n*SC_b*SQRT(2*g_)*G124^1.5</f>
        <v>12.5064829429919</v>
      </c>
      <c r="J124" s="32" t="n">
        <f aca="false">F124+I124</f>
        <v>12.5064829429919</v>
      </c>
      <c r="K124" s="32" t="n">
        <f aca="false">F124</f>
        <v>0</v>
      </c>
      <c r="L124" s="32" t="n">
        <f aca="false">C124*1000000/dt_s+J124/2</f>
        <v>6309.37338036038</v>
      </c>
      <c r="M124" s="32" t="n">
        <f aca="false">C124*1000000/dt_s+K124/2</f>
        <v>6303.12013888889</v>
      </c>
    </row>
    <row r="125" customFormat="false" ht="15" hidden="false" customHeight="false" outlineLevel="0" collapsed="false">
      <c r="A125" s="24" t="n">
        <f aca="false">ROUND(A124+0.01,2)</f>
        <v>72.2</v>
      </c>
      <c r="B125" s="25" t="n">
        <f aca="false">INDEX(Bang_F,MATCH(A125,Bang_Z,1))+(A125-INDEX(Bang_Z,MATCH(A125,Bang_Z,1)))*(INDEX(Bang_F,MATCH(A125,Bang_Z,1)+1)-INDEX(Bang_F,MATCH(A125,Bang_Z,1)))</f>
        <v>4.68</v>
      </c>
      <c r="C125" s="25" t="n">
        <f aca="false">INDEX(Bang_W,MATCH(A125,Bang_Z,1))+(A125-INDEX(Bang_Z,MATCH(A125,Bang_Z,1)))*(INDEX(Bang_F,MATCH(A125,Bang_Z,1))+B125)/2</f>
        <v>22.738</v>
      </c>
      <c r="D125" s="26" t="n">
        <f aca="false">MAX(A125-TC_Z,0)</f>
        <v>0</v>
      </c>
      <c r="E125" s="27" t="n">
        <f aca="false">1-0.2*(TC_xmb+(TC_n-1)*TC_xmt)*D125/(TC_n*TC_b)</f>
        <v>1</v>
      </c>
      <c r="F125" s="28" t="n">
        <f aca="false">TC_s*E125*TC_m*TC_n*TC_b*SQRT(2*g_)*D125^1.5</f>
        <v>0</v>
      </c>
      <c r="G125" s="29" t="n">
        <f aca="false">MAX(A125-SC_Z,0)</f>
        <v>1.2</v>
      </c>
      <c r="H125" s="30" t="n">
        <f aca="false">1-0.2*(SC_xmb+(SC_n-1)*SC_xmt)*G125/(SC_n*SC_b)</f>
        <v>0.9664</v>
      </c>
      <c r="I125" s="31" t="n">
        <f aca="false">SC_s*H125*SC_m*SC_n*SC_b*SQRT(2*g_)*G125^1.5</f>
        <v>12.6607901347274</v>
      </c>
      <c r="J125" s="32" t="n">
        <f aca="false">F125+I125</f>
        <v>12.6607901347274</v>
      </c>
      <c r="K125" s="32" t="n">
        <f aca="false">F125</f>
        <v>0</v>
      </c>
      <c r="L125" s="32" t="n">
        <f aca="false">C125*1000000/dt_s+J125/2</f>
        <v>6322.44150617848</v>
      </c>
      <c r="M125" s="32" t="n">
        <f aca="false">C125*1000000/dt_s+K125/2</f>
        <v>6316.11111111112</v>
      </c>
    </row>
    <row r="126" customFormat="false" ht="15" hidden="false" customHeight="false" outlineLevel="0" collapsed="false">
      <c r="A126" s="24" t="n">
        <f aca="false">ROUND(A125+0.01,2)</f>
        <v>72.21</v>
      </c>
      <c r="B126" s="25" t="n">
        <f aca="false">INDEX(Bang_F,MATCH(A126,Bang_Z,1))+(A126-INDEX(Bang_Z,MATCH(A126,Bang_Z,1)))*(INDEX(Bang_F,MATCH(A126,Bang_Z,1)+1)-INDEX(Bang_F,MATCH(A126,Bang_Z,1)))</f>
        <v>4.6865</v>
      </c>
      <c r="C126" s="25" t="n">
        <f aca="false">INDEX(Bang_W,MATCH(A126,Bang_Z,1))+(A126-INDEX(Bang_Z,MATCH(A126,Bang_Z,1)))*(INDEX(Bang_F,MATCH(A126,Bang_Z,1))+B126)/2</f>
        <v>22.7848325</v>
      </c>
      <c r="D126" s="26" t="n">
        <f aca="false">MAX(A126-TC_Z,0)</f>
        <v>0</v>
      </c>
      <c r="E126" s="27" t="n">
        <f aca="false">1-0.2*(TC_xmb+(TC_n-1)*TC_xmt)*D126/(TC_n*TC_b)</f>
        <v>1</v>
      </c>
      <c r="F126" s="28" t="n">
        <f aca="false">TC_s*E126*TC_m*TC_n*TC_b*SQRT(2*g_)*D126^1.5</f>
        <v>0</v>
      </c>
      <c r="G126" s="29" t="n">
        <f aca="false">MAX(A126-SC_Z,0)</f>
        <v>1.20999999999999</v>
      </c>
      <c r="H126" s="30" t="n">
        <f aca="false">1-0.2*(SC_xmb+(SC_n-1)*SC_xmt)*G126/(SC_n*SC_b)</f>
        <v>0.96612</v>
      </c>
      <c r="I126" s="31" t="n">
        <f aca="false">SC_s*H126*SC_m*SC_n*SC_b*SQRT(2*g_)*G126^1.5</f>
        <v>12.8156650388608</v>
      </c>
      <c r="J126" s="32" t="n">
        <f aca="false">F126+I126</f>
        <v>12.8156650388608</v>
      </c>
      <c r="K126" s="32" t="n">
        <f aca="false">F126</f>
        <v>0</v>
      </c>
      <c r="L126" s="32" t="n">
        <f aca="false">C126*1000000/dt_s+J126/2</f>
        <v>6335.52797140831</v>
      </c>
      <c r="M126" s="32" t="n">
        <f aca="false">C126*1000000/dt_s+K126/2</f>
        <v>6329.12013888888</v>
      </c>
    </row>
    <row r="127" customFormat="false" ht="15" hidden="false" customHeight="false" outlineLevel="0" collapsed="false">
      <c r="A127" s="24" t="n">
        <f aca="false">ROUND(A126+0.01,2)</f>
        <v>72.22</v>
      </c>
      <c r="B127" s="25" t="n">
        <f aca="false">INDEX(Bang_F,MATCH(A127,Bang_Z,1))+(A127-INDEX(Bang_Z,MATCH(A127,Bang_Z,1)))*(INDEX(Bang_F,MATCH(A127,Bang_Z,1)+1)-INDEX(Bang_F,MATCH(A127,Bang_Z,1)))</f>
        <v>4.693</v>
      </c>
      <c r="C127" s="25" t="n">
        <f aca="false">INDEX(Bang_W,MATCH(A127,Bang_Z,1))+(A127-INDEX(Bang_Z,MATCH(A127,Bang_Z,1)))*(INDEX(Bang_F,MATCH(A127,Bang_Z,1))+B127)/2</f>
        <v>22.83173</v>
      </c>
      <c r="D127" s="26" t="n">
        <f aca="false">MAX(A127-TC_Z,0)</f>
        <v>0</v>
      </c>
      <c r="E127" s="27" t="n">
        <f aca="false">1-0.2*(TC_xmb+(TC_n-1)*TC_xmt)*D127/(TC_n*TC_b)</f>
        <v>1</v>
      </c>
      <c r="F127" s="28" t="n">
        <f aca="false">TC_s*E127*TC_m*TC_n*TC_b*SQRT(2*g_)*D127^1.5</f>
        <v>0</v>
      </c>
      <c r="G127" s="29" t="n">
        <f aca="false">MAX(A127-SC_Z,0)</f>
        <v>1.22</v>
      </c>
      <c r="H127" s="30" t="n">
        <f aca="false">1-0.2*(SC_xmb+(SC_n-1)*SC_xmt)*G127/(SC_n*SC_b)</f>
        <v>0.96584</v>
      </c>
      <c r="I127" s="31" t="n">
        <f aca="false">SC_s*H127*SC_m*SC_n*SC_b*SQRT(2*g_)*G127^1.5</f>
        <v>12.9711043532321</v>
      </c>
      <c r="J127" s="32" t="n">
        <f aca="false">F127+I127</f>
        <v>12.9711043532321</v>
      </c>
      <c r="K127" s="32" t="n">
        <f aca="false">F127</f>
        <v>0</v>
      </c>
      <c r="L127" s="32" t="n">
        <f aca="false">C127*1000000/dt_s+J127/2</f>
        <v>6348.63277439884</v>
      </c>
      <c r="M127" s="32" t="n">
        <f aca="false">C127*1000000/dt_s+K127/2</f>
        <v>6342.14722222222</v>
      </c>
    </row>
    <row r="128" customFormat="false" ht="15" hidden="false" customHeight="false" outlineLevel="0" collapsed="false">
      <c r="A128" s="24" t="n">
        <f aca="false">ROUND(A127+0.01,2)</f>
        <v>72.23</v>
      </c>
      <c r="B128" s="25" t="n">
        <f aca="false">INDEX(Bang_F,MATCH(A128,Bang_Z,1))+(A128-INDEX(Bang_Z,MATCH(A128,Bang_Z,1)))*(INDEX(Bang_F,MATCH(A128,Bang_Z,1)+1)-INDEX(Bang_F,MATCH(A128,Bang_Z,1)))</f>
        <v>4.6995</v>
      </c>
      <c r="C128" s="25" t="n">
        <f aca="false">INDEX(Bang_W,MATCH(A128,Bang_Z,1))+(A128-INDEX(Bang_Z,MATCH(A128,Bang_Z,1)))*(INDEX(Bang_F,MATCH(A128,Bang_Z,1))+B128)/2</f>
        <v>22.8786925</v>
      </c>
      <c r="D128" s="26" t="n">
        <f aca="false">MAX(A128-TC_Z,0)</f>
        <v>0</v>
      </c>
      <c r="E128" s="27" t="n">
        <f aca="false">1-0.2*(TC_xmb+(TC_n-1)*TC_xmt)*D128/(TC_n*TC_b)</f>
        <v>1</v>
      </c>
      <c r="F128" s="28" t="n">
        <f aca="false">TC_s*E128*TC_m*TC_n*TC_b*SQRT(2*g_)*D128^1.5</f>
        <v>0</v>
      </c>
      <c r="G128" s="29" t="n">
        <f aca="false">MAX(A128-SC_Z,0)</f>
        <v>1.23</v>
      </c>
      <c r="H128" s="30" t="n">
        <f aca="false">1-0.2*(SC_xmb+(SC_n-1)*SC_xmt)*G128/(SC_n*SC_b)</f>
        <v>0.96556</v>
      </c>
      <c r="I128" s="31" t="n">
        <f aca="false">SC_s*H128*SC_m*SC_n*SC_b*SQRT(2*g_)*G128^1.5</f>
        <v>13.1271048124589</v>
      </c>
      <c r="J128" s="32" t="n">
        <f aca="false">F128+I128</f>
        <v>13.1271048124589</v>
      </c>
      <c r="K128" s="32" t="n">
        <f aca="false">F128</f>
        <v>0</v>
      </c>
      <c r="L128" s="32" t="n">
        <f aca="false">C128*1000000/dt_s+J128/2</f>
        <v>6361.75591351735</v>
      </c>
      <c r="M128" s="32" t="n">
        <f aca="false">C128*1000000/dt_s+K128/2</f>
        <v>6355.19236111112</v>
      </c>
    </row>
    <row r="129" customFormat="false" ht="15" hidden="false" customHeight="false" outlineLevel="0" collapsed="false">
      <c r="A129" s="24" t="n">
        <f aca="false">ROUND(A128+0.01,2)</f>
        <v>72.24</v>
      </c>
      <c r="B129" s="25" t="n">
        <f aca="false">INDEX(Bang_F,MATCH(A129,Bang_Z,1))+(A129-INDEX(Bang_Z,MATCH(A129,Bang_Z,1)))*(INDEX(Bang_F,MATCH(A129,Bang_Z,1)+1)-INDEX(Bang_F,MATCH(A129,Bang_Z,1)))</f>
        <v>4.706</v>
      </c>
      <c r="C129" s="25" t="n">
        <f aca="false">INDEX(Bang_W,MATCH(A129,Bang_Z,1))+(A129-INDEX(Bang_Z,MATCH(A129,Bang_Z,1)))*(INDEX(Bang_F,MATCH(A129,Bang_Z,1))+B129)/2</f>
        <v>22.92572</v>
      </c>
      <c r="D129" s="26" t="n">
        <f aca="false">MAX(A129-TC_Z,0)</f>
        <v>0</v>
      </c>
      <c r="E129" s="27" t="n">
        <f aca="false">1-0.2*(TC_xmb+(TC_n-1)*TC_xmt)*D129/(TC_n*TC_b)</f>
        <v>1</v>
      </c>
      <c r="F129" s="28" t="n">
        <f aca="false">TC_s*E129*TC_m*TC_n*TC_b*SQRT(2*g_)*D129^1.5</f>
        <v>0</v>
      </c>
      <c r="G129" s="29" t="n">
        <f aca="false">MAX(A129-SC_Z,0)</f>
        <v>1.23999999999999</v>
      </c>
      <c r="H129" s="30" t="n">
        <f aca="false">1-0.2*(SC_xmb+(SC_n-1)*SC_xmt)*G129/(SC_n*SC_b)</f>
        <v>0.96528</v>
      </c>
      <c r="I129" s="31" t="n">
        <f aca="false">SC_s*H129*SC_m*SC_n*SC_b*SQRT(2*g_)*G129^1.5</f>
        <v>13.2836631872035</v>
      </c>
      <c r="J129" s="32" t="n">
        <f aca="false">F129+I129</f>
        <v>13.2836631872035</v>
      </c>
      <c r="K129" s="32" t="n">
        <f aca="false">F129</f>
        <v>0</v>
      </c>
      <c r="L129" s="32" t="n">
        <f aca="false">C129*1000000/dt_s+J129/2</f>
        <v>6374.89738714915</v>
      </c>
      <c r="M129" s="32" t="n">
        <f aca="false">C129*1000000/dt_s+K129/2</f>
        <v>6368.25555555555</v>
      </c>
    </row>
    <row r="130" customFormat="false" ht="15" hidden="false" customHeight="false" outlineLevel="0" collapsed="false">
      <c r="A130" s="24" t="n">
        <f aca="false">ROUND(A129+0.01,2)</f>
        <v>72.25</v>
      </c>
      <c r="B130" s="25" t="n">
        <f aca="false">INDEX(Bang_F,MATCH(A130,Bang_Z,1))+(A130-INDEX(Bang_Z,MATCH(A130,Bang_Z,1)))*(INDEX(Bang_F,MATCH(A130,Bang_Z,1)+1)-INDEX(Bang_F,MATCH(A130,Bang_Z,1)))</f>
        <v>4.7125</v>
      </c>
      <c r="C130" s="25" t="n">
        <f aca="false">INDEX(Bang_W,MATCH(A130,Bang_Z,1))+(A130-INDEX(Bang_Z,MATCH(A130,Bang_Z,1)))*(INDEX(Bang_F,MATCH(A130,Bang_Z,1))+B130)/2</f>
        <v>22.9728125</v>
      </c>
      <c r="D130" s="26" t="n">
        <f aca="false">MAX(A130-TC_Z,0)</f>
        <v>0</v>
      </c>
      <c r="E130" s="27" t="n">
        <f aca="false">1-0.2*(TC_xmb+(TC_n-1)*TC_xmt)*D130/(TC_n*TC_b)</f>
        <v>1</v>
      </c>
      <c r="F130" s="28" t="n">
        <f aca="false">TC_s*E130*TC_m*TC_n*TC_b*SQRT(2*g_)*D130^1.5</f>
        <v>0</v>
      </c>
      <c r="G130" s="29" t="n">
        <f aca="false">MAX(A130-SC_Z,0)</f>
        <v>1.25</v>
      </c>
      <c r="H130" s="30" t="n">
        <f aca="false">1-0.2*(SC_xmb+(SC_n-1)*SC_xmt)*G130/(SC_n*SC_b)</f>
        <v>0.965</v>
      </c>
      <c r="I130" s="31" t="n">
        <f aca="false">SC_s*H130*SC_m*SC_n*SC_b*SQRT(2*g_)*G130^1.5</f>
        <v>13.4407762834611</v>
      </c>
      <c r="J130" s="32" t="n">
        <f aca="false">F130+I130</f>
        <v>13.4407762834611</v>
      </c>
      <c r="K130" s="32" t="n">
        <f aca="false">F130</f>
        <v>0</v>
      </c>
      <c r="L130" s="32" t="n">
        <f aca="false">C130*1000000/dt_s+J130/2</f>
        <v>6388.05719369729</v>
      </c>
      <c r="M130" s="32" t="n">
        <f aca="false">C130*1000000/dt_s+K130/2</f>
        <v>6381.33680555556</v>
      </c>
    </row>
    <row r="131" customFormat="false" ht="15" hidden="false" customHeight="false" outlineLevel="0" collapsed="false">
      <c r="A131" s="24" t="n">
        <f aca="false">ROUND(A130+0.01,2)</f>
        <v>72.26</v>
      </c>
      <c r="B131" s="25" t="n">
        <f aca="false">INDEX(Bang_F,MATCH(A131,Bang_Z,1))+(A131-INDEX(Bang_Z,MATCH(A131,Bang_Z,1)))*(INDEX(Bang_F,MATCH(A131,Bang_Z,1)+1)-INDEX(Bang_F,MATCH(A131,Bang_Z,1)))</f>
        <v>4.719</v>
      </c>
      <c r="C131" s="25" t="n">
        <f aca="false">INDEX(Bang_W,MATCH(A131,Bang_Z,1))+(A131-INDEX(Bang_Z,MATCH(A131,Bang_Z,1)))*(INDEX(Bang_F,MATCH(A131,Bang_Z,1))+B131)/2</f>
        <v>23.01997</v>
      </c>
      <c r="D131" s="26" t="n">
        <f aca="false">MAX(A131-TC_Z,0)</f>
        <v>0</v>
      </c>
      <c r="E131" s="27" t="n">
        <f aca="false">1-0.2*(TC_xmb+(TC_n-1)*TC_xmt)*D131/(TC_n*TC_b)</f>
        <v>1</v>
      </c>
      <c r="F131" s="28" t="n">
        <f aca="false">TC_s*E131*TC_m*TC_n*TC_b*SQRT(2*g_)*D131^1.5</f>
        <v>0</v>
      </c>
      <c r="G131" s="29" t="n">
        <f aca="false">MAX(A131-SC_Z,0)</f>
        <v>1.26000000000001</v>
      </c>
      <c r="H131" s="30" t="n">
        <f aca="false">1-0.2*(SC_xmb+(SC_n-1)*SC_xmt)*G131/(SC_n*SC_b)</f>
        <v>0.96472</v>
      </c>
      <c r="I131" s="31" t="n">
        <f aca="false">SC_s*H131*SC_m*SC_n*SC_b*SQRT(2*g_)*G131^1.5</f>
        <v>13.598440941866</v>
      </c>
      <c r="J131" s="32" t="n">
        <f aca="false">F131+I131</f>
        <v>13.598440941866</v>
      </c>
      <c r="K131" s="32" t="n">
        <f aca="false">F131</f>
        <v>0</v>
      </c>
      <c r="L131" s="32" t="n">
        <f aca="false">C131*1000000/dt_s+J131/2</f>
        <v>6401.23533158205</v>
      </c>
      <c r="M131" s="32" t="n">
        <f aca="false">C131*1000000/dt_s+K131/2</f>
        <v>6394.43611111112</v>
      </c>
    </row>
    <row r="132" customFormat="false" ht="15" hidden="false" customHeight="false" outlineLevel="0" collapsed="false">
      <c r="A132" s="24" t="n">
        <f aca="false">ROUND(A131+0.01,2)</f>
        <v>72.27</v>
      </c>
      <c r="B132" s="25" t="n">
        <f aca="false">INDEX(Bang_F,MATCH(A132,Bang_Z,1))+(A132-INDEX(Bang_Z,MATCH(A132,Bang_Z,1)))*(INDEX(Bang_F,MATCH(A132,Bang_Z,1)+1)-INDEX(Bang_F,MATCH(A132,Bang_Z,1)))</f>
        <v>4.7255</v>
      </c>
      <c r="C132" s="25" t="n">
        <f aca="false">INDEX(Bang_W,MATCH(A132,Bang_Z,1))+(A132-INDEX(Bang_Z,MATCH(A132,Bang_Z,1)))*(INDEX(Bang_F,MATCH(A132,Bang_Z,1))+B132)/2</f>
        <v>23.0671925</v>
      </c>
      <c r="D132" s="26" t="n">
        <f aca="false">MAX(A132-TC_Z,0)</f>
        <v>0</v>
      </c>
      <c r="E132" s="27" t="n">
        <f aca="false">1-0.2*(TC_xmb+(TC_n-1)*TC_xmt)*D132/(TC_n*TC_b)</f>
        <v>1</v>
      </c>
      <c r="F132" s="28" t="n">
        <f aca="false">TC_s*E132*TC_m*TC_n*TC_b*SQRT(2*g_)*D132^1.5</f>
        <v>0</v>
      </c>
      <c r="G132" s="29" t="n">
        <f aca="false">MAX(A132-SC_Z,0)</f>
        <v>1.27</v>
      </c>
      <c r="H132" s="30" t="n">
        <f aca="false">1-0.2*(SC_xmb+(SC_n-1)*SC_xmt)*G132/(SC_n*SC_b)</f>
        <v>0.96444</v>
      </c>
      <c r="I132" s="31" t="n">
        <f aca="false">SC_s*H132*SC_m*SC_n*SC_b*SQRT(2*g_)*G132^1.5</f>
        <v>13.7566540370179</v>
      </c>
      <c r="J132" s="32" t="n">
        <f aca="false">F132+I132</f>
        <v>13.7566540370179</v>
      </c>
      <c r="K132" s="32" t="n">
        <f aca="false">F132</f>
        <v>0</v>
      </c>
      <c r="L132" s="32" t="n">
        <f aca="false">C132*1000000/dt_s+J132/2</f>
        <v>6414.43179924073</v>
      </c>
      <c r="M132" s="32" t="n">
        <f aca="false">C132*1000000/dt_s+K132/2</f>
        <v>6407.55347222222</v>
      </c>
    </row>
    <row r="133" customFormat="false" ht="15" hidden="false" customHeight="false" outlineLevel="0" collapsed="false">
      <c r="A133" s="24" t="n">
        <f aca="false">ROUND(A132+0.01,2)</f>
        <v>72.28</v>
      </c>
      <c r="B133" s="25" t="n">
        <f aca="false">INDEX(Bang_F,MATCH(A133,Bang_Z,1))+(A133-INDEX(Bang_Z,MATCH(A133,Bang_Z,1)))*(INDEX(Bang_F,MATCH(A133,Bang_Z,1)+1)-INDEX(Bang_F,MATCH(A133,Bang_Z,1)))</f>
        <v>4.732</v>
      </c>
      <c r="C133" s="25" t="n">
        <f aca="false">INDEX(Bang_W,MATCH(A133,Bang_Z,1))+(A133-INDEX(Bang_Z,MATCH(A133,Bang_Z,1)))*(INDEX(Bang_F,MATCH(A133,Bang_Z,1))+B133)/2</f>
        <v>23.11448</v>
      </c>
      <c r="D133" s="26" t="n">
        <f aca="false">MAX(A133-TC_Z,0)</f>
        <v>0</v>
      </c>
      <c r="E133" s="27" t="n">
        <f aca="false">1-0.2*(TC_xmb+(TC_n-1)*TC_xmt)*D133/(TC_n*TC_b)</f>
        <v>1</v>
      </c>
      <c r="F133" s="28" t="n">
        <f aca="false">TC_s*E133*TC_m*TC_n*TC_b*SQRT(2*g_)*D133^1.5</f>
        <v>0</v>
      </c>
      <c r="G133" s="29" t="n">
        <f aca="false">MAX(A133-SC_Z,0)</f>
        <v>1.28</v>
      </c>
      <c r="H133" s="30" t="n">
        <f aca="false">1-0.2*(SC_xmb+(SC_n-1)*SC_xmt)*G133/(SC_n*SC_b)</f>
        <v>0.96416</v>
      </c>
      <c r="I133" s="31" t="n">
        <f aca="false">SC_s*H133*SC_m*SC_n*SC_b*SQRT(2*g_)*G133^1.5</f>
        <v>13.9154124768278</v>
      </c>
      <c r="J133" s="32" t="n">
        <f aca="false">F133+I133</f>
        <v>13.9154124768278</v>
      </c>
      <c r="K133" s="32" t="n">
        <f aca="false">F133</f>
        <v>0</v>
      </c>
      <c r="L133" s="32" t="n">
        <f aca="false">C133*1000000/dt_s+J133/2</f>
        <v>6427.64659512731</v>
      </c>
      <c r="M133" s="32" t="n">
        <f aca="false">C133*1000000/dt_s+K133/2</f>
        <v>6420.68888888889</v>
      </c>
    </row>
    <row r="134" customFormat="false" ht="15" hidden="false" customHeight="false" outlineLevel="0" collapsed="false">
      <c r="A134" s="24" t="n">
        <f aca="false">ROUND(A133+0.01,2)</f>
        <v>72.29</v>
      </c>
      <c r="B134" s="25" t="n">
        <f aca="false">INDEX(Bang_F,MATCH(A134,Bang_Z,1))+(A134-INDEX(Bang_Z,MATCH(A134,Bang_Z,1)))*(INDEX(Bang_F,MATCH(A134,Bang_Z,1)+1)-INDEX(Bang_F,MATCH(A134,Bang_Z,1)))</f>
        <v>4.7385</v>
      </c>
      <c r="C134" s="25" t="n">
        <f aca="false">INDEX(Bang_W,MATCH(A134,Bang_Z,1))+(A134-INDEX(Bang_Z,MATCH(A134,Bang_Z,1)))*(INDEX(Bang_F,MATCH(A134,Bang_Z,1))+B134)/2</f>
        <v>23.1618325</v>
      </c>
      <c r="D134" s="26" t="n">
        <f aca="false">MAX(A134-TC_Z,0)</f>
        <v>0</v>
      </c>
      <c r="E134" s="27" t="n">
        <f aca="false">1-0.2*(TC_xmb+(TC_n-1)*TC_xmt)*D134/(TC_n*TC_b)</f>
        <v>1</v>
      </c>
      <c r="F134" s="28" t="n">
        <f aca="false">TC_s*E134*TC_m*TC_n*TC_b*SQRT(2*g_)*D134^1.5</f>
        <v>0</v>
      </c>
      <c r="G134" s="29" t="n">
        <f aca="false">MAX(A134-SC_Z,0)</f>
        <v>1.29000000000001</v>
      </c>
      <c r="H134" s="30" t="n">
        <f aca="false">1-0.2*(SC_xmb+(SC_n-1)*SC_xmt)*G134/(SC_n*SC_b)</f>
        <v>0.96388</v>
      </c>
      <c r="I134" s="31" t="n">
        <f aca="false">SC_s*H134*SC_m*SC_n*SC_b*SQRT(2*g_)*G134^1.5</f>
        <v>14.074713201879</v>
      </c>
      <c r="J134" s="32" t="n">
        <f aca="false">F134+I134</f>
        <v>14.074713201879</v>
      </c>
      <c r="K134" s="32" t="n">
        <f aca="false">F134</f>
        <v>0</v>
      </c>
      <c r="L134" s="32" t="n">
        <f aca="false">C134*1000000/dt_s+J134/2</f>
        <v>6440.87971771206</v>
      </c>
      <c r="M134" s="32" t="n">
        <f aca="false">C134*1000000/dt_s+K134/2</f>
        <v>6433.84236111112</v>
      </c>
    </row>
    <row r="135" customFormat="false" ht="15" hidden="false" customHeight="false" outlineLevel="0" collapsed="false">
      <c r="A135" s="24" t="n">
        <f aca="false">ROUND(A134+0.01,2)</f>
        <v>72.3</v>
      </c>
      <c r="B135" s="25" t="n">
        <f aca="false">INDEX(Bang_F,MATCH(A135,Bang_Z,1))+(A135-INDEX(Bang_Z,MATCH(A135,Bang_Z,1)))*(INDEX(Bang_F,MATCH(A135,Bang_Z,1)+1)-INDEX(Bang_F,MATCH(A135,Bang_Z,1)))</f>
        <v>4.745</v>
      </c>
      <c r="C135" s="25" t="n">
        <f aca="false">INDEX(Bang_W,MATCH(A135,Bang_Z,1))+(A135-INDEX(Bang_Z,MATCH(A135,Bang_Z,1)))*(INDEX(Bang_F,MATCH(A135,Bang_Z,1))+B135)/2</f>
        <v>23.20925</v>
      </c>
      <c r="D135" s="26" t="n">
        <f aca="false">MAX(A135-TC_Z,0)</f>
        <v>0</v>
      </c>
      <c r="E135" s="27" t="n">
        <f aca="false">1-0.2*(TC_xmb+(TC_n-1)*TC_xmt)*D135/(TC_n*TC_b)</f>
        <v>1</v>
      </c>
      <c r="F135" s="28" t="n">
        <f aca="false">TC_s*E135*TC_m*TC_n*TC_b*SQRT(2*g_)*D135^1.5</f>
        <v>0</v>
      </c>
      <c r="G135" s="29" t="n">
        <f aca="false">MAX(A135-SC_Z,0)</f>
        <v>1.3</v>
      </c>
      <c r="H135" s="30" t="n">
        <f aca="false">1-0.2*(SC_xmb+(SC_n-1)*SC_xmt)*G135/(SC_n*SC_b)</f>
        <v>0.9636</v>
      </c>
      <c r="I135" s="31" t="n">
        <f aca="false">SC_s*H135*SC_m*SC_n*SC_b*SQRT(2*g_)*G135^1.5</f>
        <v>14.2345531848075</v>
      </c>
      <c r="J135" s="32" t="n">
        <f aca="false">F135+I135</f>
        <v>14.2345531848075</v>
      </c>
      <c r="K135" s="32" t="n">
        <f aca="false">F135</f>
        <v>0</v>
      </c>
      <c r="L135" s="32" t="n">
        <f aca="false">C135*1000000/dt_s+J135/2</f>
        <v>6454.13116548129</v>
      </c>
      <c r="M135" s="32" t="n">
        <f aca="false">C135*1000000/dt_s+K135/2</f>
        <v>6447.01388888889</v>
      </c>
    </row>
    <row r="136" customFormat="false" ht="15" hidden="false" customHeight="false" outlineLevel="0" collapsed="false">
      <c r="A136" s="24" t="n">
        <f aca="false">ROUND(A135+0.01,2)</f>
        <v>72.31</v>
      </c>
      <c r="B136" s="25" t="n">
        <f aca="false">INDEX(Bang_F,MATCH(A136,Bang_Z,1))+(A136-INDEX(Bang_Z,MATCH(A136,Bang_Z,1)))*(INDEX(Bang_F,MATCH(A136,Bang_Z,1)+1)-INDEX(Bang_F,MATCH(A136,Bang_Z,1)))</f>
        <v>4.7515</v>
      </c>
      <c r="C136" s="25" t="n">
        <f aca="false">INDEX(Bang_W,MATCH(A136,Bang_Z,1))+(A136-INDEX(Bang_Z,MATCH(A136,Bang_Z,1)))*(INDEX(Bang_F,MATCH(A136,Bang_Z,1))+B136)/2</f>
        <v>23.2567325</v>
      </c>
      <c r="D136" s="26" t="n">
        <f aca="false">MAX(A136-TC_Z,0)</f>
        <v>0</v>
      </c>
      <c r="E136" s="27" t="n">
        <f aca="false">1-0.2*(TC_xmb+(TC_n-1)*TC_xmt)*D136/(TC_n*TC_b)</f>
        <v>1</v>
      </c>
      <c r="F136" s="28" t="n">
        <f aca="false">TC_s*E136*TC_m*TC_n*TC_b*SQRT(2*g_)*D136^1.5</f>
        <v>0</v>
      </c>
      <c r="G136" s="29" t="n">
        <f aca="false">MAX(A136-SC_Z,0)</f>
        <v>1.31</v>
      </c>
      <c r="H136" s="30" t="n">
        <f aca="false">1-0.2*(SC_xmb+(SC_n-1)*SC_xmt)*G136/(SC_n*SC_b)</f>
        <v>0.96332</v>
      </c>
      <c r="I136" s="31" t="n">
        <f aca="false">SC_s*H136*SC_m*SC_n*SC_b*SQRT(2*g_)*G136^1.5</f>
        <v>14.3949294296987</v>
      </c>
      <c r="J136" s="32" t="n">
        <f aca="false">F136+I136</f>
        <v>14.3949294296987</v>
      </c>
      <c r="K136" s="32" t="n">
        <f aca="false">F136</f>
        <v>0</v>
      </c>
      <c r="L136" s="32" t="n">
        <f aca="false">C136*1000000/dt_s+J136/2</f>
        <v>6467.40093693707</v>
      </c>
      <c r="M136" s="32" t="n">
        <f aca="false">C136*1000000/dt_s+K136/2</f>
        <v>6460.20347222223</v>
      </c>
    </row>
    <row r="137" customFormat="false" ht="15" hidden="false" customHeight="false" outlineLevel="0" collapsed="false">
      <c r="A137" s="24" t="n">
        <f aca="false">ROUND(A136+0.01,2)</f>
        <v>72.32</v>
      </c>
      <c r="B137" s="25" t="n">
        <f aca="false">INDEX(Bang_F,MATCH(A137,Bang_Z,1))+(A137-INDEX(Bang_Z,MATCH(A137,Bang_Z,1)))*(INDEX(Bang_F,MATCH(A137,Bang_Z,1)+1)-INDEX(Bang_F,MATCH(A137,Bang_Z,1)))</f>
        <v>4.758</v>
      </c>
      <c r="C137" s="25" t="n">
        <f aca="false">INDEX(Bang_W,MATCH(A137,Bang_Z,1))+(A137-INDEX(Bang_Z,MATCH(A137,Bang_Z,1)))*(INDEX(Bang_F,MATCH(A137,Bang_Z,1))+B137)/2</f>
        <v>23.30428</v>
      </c>
      <c r="D137" s="26" t="n">
        <f aca="false">MAX(A137-TC_Z,0)</f>
        <v>0</v>
      </c>
      <c r="E137" s="27" t="n">
        <f aca="false">1-0.2*(TC_xmb+(TC_n-1)*TC_xmt)*D137/(TC_n*TC_b)</f>
        <v>1</v>
      </c>
      <c r="F137" s="28" t="n">
        <f aca="false">TC_s*E137*TC_m*TC_n*TC_b*SQRT(2*g_)*D137^1.5</f>
        <v>0</v>
      </c>
      <c r="G137" s="29" t="n">
        <f aca="false">MAX(A137-SC_Z,0)</f>
        <v>1.31999999999999</v>
      </c>
      <c r="H137" s="30" t="n">
        <f aca="false">1-0.2*(SC_xmb+(SC_n-1)*SC_xmt)*G137/(SC_n*SC_b)</f>
        <v>0.96304</v>
      </c>
      <c r="I137" s="31" t="n">
        <f aca="false">SC_s*H137*SC_m*SC_n*SC_b*SQRT(2*g_)*G137^1.5</f>
        <v>14.5558389714982</v>
      </c>
      <c r="J137" s="32" t="n">
        <f aca="false">F137+I137</f>
        <v>14.5558389714982</v>
      </c>
      <c r="K137" s="32" t="n">
        <f aca="false">F137</f>
        <v>0</v>
      </c>
      <c r="L137" s="32" t="n">
        <f aca="false">C137*1000000/dt_s+J137/2</f>
        <v>6480.68903059685</v>
      </c>
      <c r="M137" s="32" t="n">
        <f aca="false">C137*1000000/dt_s+K137/2</f>
        <v>6473.4111111111</v>
      </c>
    </row>
    <row r="138" customFormat="false" ht="15" hidden="false" customHeight="false" outlineLevel="0" collapsed="false">
      <c r="A138" s="24" t="n">
        <f aca="false">ROUND(A137+0.01,2)</f>
        <v>72.33</v>
      </c>
      <c r="B138" s="25" t="n">
        <f aca="false">INDEX(Bang_F,MATCH(A138,Bang_Z,1))+(A138-INDEX(Bang_Z,MATCH(A138,Bang_Z,1)))*(INDEX(Bang_F,MATCH(A138,Bang_Z,1)+1)-INDEX(Bang_F,MATCH(A138,Bang_Z,1)))</f>
        <v>4.7645</v>
      </c>
      <c r="C138" s="25" t="n">
        <f aca="false">INDEX(Bang_W,MATCH(A138,Bang_Z,1))+(A138-INDEX(Bang_Z,MATCH(A138,Bang_Z,1)))*(INDEX(Bang_F,MATCH(A138,Bang_Z,1))+B138)/2</f>
        <v>23.3518925</v>
      </c>
      <c r="D138" s="26" t="n">
        <f aca="false">MAX(A138-TC_Z,0)</f>
        <v>0</v>
      </c>
      <c r="E138" s="27" t="n">
        <f aca="false">1-0.2*(TC_xmb+(TC_n-1)*TC_xmt)*D138/(TC_n*TC_b)</f>
        <v>1</v>
      </c>
      <c r="F138" s="28" t="n">
        <f aca="false">TC_s*E138*TC_m*TC_n*TC_b*SQRT(2*g_)*D138^1.5</f>
        <v>0</v>
      </c>
      <c r="G138" s="29" t="n">
        <f aca="false">MAX(A138-SC_Z,0)</f>
        <v>1.33</v>
      </c>
      <c r="H138" s="30" t="n">
        <f aca="false">1-0.2*(SC_xmb+(SC_n-1)*SC_xmt)*G138/(SC_n*SC_b)</f>
        <v>0.96276</v>
      </c>
      <c r="I138" s="31" t="n">
        <f aca="false">SC_s*H138*SC_m*SC_n*SC_b*SQRT(2*g_)*G138^1.5</f>
        <v>14.7172788754414</v>
      </c>
      <c r="J138" s="32" t="n">
        <f aca="false">F138+I138</f>
        <v>14.7172788754414</v>
      </c>
      <c r="K138" s="32" t="n">
        <f aca="false">F138</f>
        <v>0</v>
      </c>
      <c r="L138" s="32" t="n">
        <f aca="false">C138*1000000/dt_s+J138/2</f>
        <v>6493.99544499328</v>
      </c>
      <c r="M138" s="32" t="n">
        <f aca="false">C138*1000000/dt_s+K138/2</f>
        <v>6486.63680555556</v>
      </c>
    </row>
    <row r="139" customFormat="false" ht="15" hidden="false" customHeight="false" outlineLevel="0" collapsed="false">
      <c r="A139" s="24" t="n">
        <f aca="false">ROUND(A138+0.01,2)</f>
        <v>72.34</v>
      </c>
      <c r="B139" s="25" t="n">
        <f aca="false">INDEX(Bang_F,MATCH(A139,Bang_Z,1))+(A139-INDEX(Bang_Z,MATCH(A139,Bang_Z,1)))*(INDEX(Bang_F,MATCH(A139,Bang_Z,1)+1)-INDEX(Bang_F,MATCH(A139,Bang_Z,1)))</f>
        <v>4.771</v>
      </c>
      <c r="C139" s="25" t="n">
        <f aca="false">INDEX(Bang_W,MATCH(A139,Bang_Z,1))+(A139-INDEX(Bang_Z,MATCH(A139,Bang_Z,1)))*(INDEX(Bang_F,MATCH(A139,Bang_Z,1))+B139)/2</f>
        <v>23.39957</v>
      </c>
      <c r="D139" s="26" t="n">
        <f aca="false">MAX(A139-TC_Z,0)</f>
        <v>0</v>
      </c>
      <c r="E139" s="27" t="n">
        <f aca="false">1-0.2*(TC_xmb+(TC_n-1)*TC_xmt)*D139/(TC_n*TC_b)</f>
        <v>1</v>
      </c>
      <c r="F139" s="28" t="n">
        <f aca="false">TC_s*E139*TC_m*TC_n*TC_b*SQRT(2*g_)*D139^1.5</f>
        <v>0</v>
      </c>
      <c r="G139" s="29" t="n">
        <f aca="false">MAX(A139-SC_Z,0)</f>
        <v>1.34</v>
      </c>
      <c r="H139" s="30" t="n">
        <f aca="false">1-0.2*(SC_xmb+(SC_n-1)*SC_xmt)*G139/(SC_n*SC_b)</f>
        <v>0.96248</v>
      </c>
      <c r="I139" s="31" t="n">
        <f aca="false">SC_s*H139*SC_m*SC_n*SC_b*SQRT(2*g_)*G139^1.5</f>
        <v>14.8792462364943</v>
      </c>
      <c r="J139" s="32" t="n">
        <f aca="false">F139+I139</f>
        <v>14.8792462364943</v>
      </c>
      <c r="K139" s="32" t="n">
        <f aca="false">F139</f>
        <v>0</v>
      </c>
      <c r="L139" s="32" t="n">
        <f aca="false">C139*1000000/dt_s+J139/2</f>
        <v>6507.32017867381</v>
      </c>
      <c r="M139" s="32" t="n">
        <f aca="false">C139*1000000/dt_s+K139/2</f>
        <v>6499.88055555556</v>
      </c>
    </row>
    <row r="140" customFormat="false" ht="15" hidden="false" customHeight="false" outlineLevel="0" collapsed="false">
      <c r="A140" s="24" t="n">
        <f aca="false">ROUND(A139+0.01,2)</f>
        <v>72.35</v>
      </c>
      <c r="B140" s="25" t="n">
        <f aca="false">INDEX(Bang_F,MATCH(A140,Bang_Z,1))+(A140-INDEX(Bang_Z,MATCH(A140,Bang_Z,1)))*(INDEX(Bang_F,MATCH(A140,Bang_Z,1)+1)-INDEX(Bang_F,MATCH(A140,Bang_Z,1)))</f>
        <v>4.7775</v>
      </c>
      <c r="C140" s="25" t="n">
        <f aca="false">INDEX(Bang_W,MATCH(A140,Bang_Z,1))+(A140-INDEX(Bang_Z,MATCH(A140,Bang_Z,1)))*(INDEX(Bang_F,MATCH(A140,Bang_Z,1))+B140)/2</f>
        <v>23.4473125</v>
      </c>
      <c r="D140" s="26" t="n">
        <f aca="false">MAX(A140-TC_Z,0)</f>
        <v>0</v>
      </c>
      <c r="E140" s="27" t="n">
        <f aca="false">1-0.2*(TC_xmb+(TC_n-1)*TC_xmt)*D140/(TC_n*TC_b)</f>
        <v>1</v>
      </c>
      <c r="F140" s="28" t="n">
        <f aca="false">TC_s*E140*TC_m*TC_n*TC_b*SQRT(2*g_)*D140^1.5</f>
        <v>0</v>
      </c>
      <c r="G140" s="29" t="n">
        <f aca="false">MAX(A140-SC_Z,0)</f>
        <v>1.34999999999999</v>
      </c>
      <c r="H140" s="30" t="n">
        <f aca="false">1-0.2*(SC_xmb+(SC_n-1)*SC_xmt)*G140/(SC_n*SC_b)</f>
        <v>0.9622</v>
      </c>
      <c r="I140" s="31" t="n">
        <f aca="false">SC_s*H140*SC_m*SC_n*SC_b*SQRT(2*g_)*G140^1.5</f>
        <v>15.0417381788116</v>
      </c>
      <c r="J140" s="32" t="n">
        <f aca="false">F140+I140</f>
        <v>15.0417381788116</v>
      </c>
      <c r="K140" s="32" t="n">
        <f aca="false">F140</f>
        <v>0</v>
      </c>
      <c r="L140" s="32" t="n">
        <f aca="false">C140*1000000/dt_s+J140/2</f>
        <v>6520.66323020051</v>
      </c>
      <c r="M140" s="32" t="n">
        <f aca="false">C140*1000000/dt_s+K140/2</f>
        <v>6513.1423611111</v>
      </c>
    </row>
    <row r="141" customFormat="false" ht="15" hidden="false" customHeight="false" outlineLevel="0" collapsed="false">
      <c r="A141" s="24" t="n">
        <f aca="false">ROUND(A140+0.01,2)</f>
        <v>72.36</v>
      </c>
      <c r="B141" s="25" t="n">
        <f aca="false">INDEX(Bang_F,MATCH(A141,Bang_Z,1))+(A141-INDEX(Bang_Z,MATCH(A141,Bang_Z,1)))*(INDEX(Bang_F,MATCH(A141,Bang_Z,1)+1)-INDEX(Bang_F,MATCH(A141,Bang_Z,1)))</f>
        <v>4.784</v>
      </c>
      <c r="C141" s="25" t="n">
        <f aca="false">INDEX(Bang_W,MATCH(A141,Bang_Z,1))+(A141-INDEX(Bang_Z,MATCH(A141,Bang_Z,1)))*(INDEX(Bang_F,MATCH(A141,Bang_Z,1))+B141)/2</f>
        <v>23.49512</v>
      </c>
      <c r="D141" s="26" t="n">
        <f aca="false">MAX(A141-TC_Z,0)</f>
        <v>0</v>
      </c>
      <c r="E141" s="27" t="n">
        <f aca="false">1-0.2*(TC_xmb+(TC_n-1)*TC_xmt)*D141/(TC_n*TC_b)</f>
        <v>1</v>
      </c>
      <c r="F141" s="28" t="n">
        <f aca="false">TC_s*E141*TC_m*TC_n*TC_b*SQRT(2*g_)*D141^1.5</f>
        <v>0</v>
      </c>
      <c r="G141" s="29" t="n">
        <f aca="false">MAX(A141-SC_Z,0)</f>
        <v>1.36</v>
      </c>
      <c r="H141" s="30" t="n">
        <f aca="false">1-0.2*(SC_xmb+(SC_n-1)*SC_xmt)*G141/(SC_n*SC_b)</f>
        <v>0.96192</v>
      </c>
      <c r="I141" s="31" t="n">
        <f aca="false">SC_s*H141*SC_m*SC_n*SC_b*SQRT(2*g_)*G141^1.5</f>
        <v>15.204751855208</v>
      </c>
      <c r="J141" s="32" t="n">
        <f aca="false">F141+I141</f>
        <v>15.204751855208</v>
      </c>
      <c r="K141" s="32" t="n">
        <f aca="false">F141</f>
        <v>0</v>
      </c>
      <c r="L141" s="32" t="n">
        <f aca="false">C141*1000000/dt_s+J141/2</f>
        <v>6534.02459814983</v>
      </c>
      <c r="M141" s="32" t="n">
        <f aca="false">C141*1000000/dt_s+K141/2</f>
        <v>6526.42222222222</v>
      </c>
    </row>
    <row r="142" customFormat="false" ht="15" hidden="false" customHeight="false" outlineLevel="0" collapsed="false">
      <c r="A142" s="24" t="n">
        <f aca="false">ROUND(A141+0.01,2)</f>
        <v>72.37</v>
      </c>
      <c r="B142" s="25" t="n">
        <f aca="false">INDEX(Bang_F,MATCH(A142,Bang_Z,1))+(A142-INDEX(Bang_Z,MATCH(A142,Bang_Z,1)))*(INDEX(Bang_F,MATCH(A142,Bang_Z,1)+1)-INDEX(Bang_F,MATCH(A142,Bang_Z,1)))</f>
        <v>4.7905</v>
      </c>
      <c r="C142" s="25" t="n">
        <f aca="false">INDEX(Bang_W,MATCH(A142,Bang_Z,1))+(A142-INDEX(Bang_Z,MATCH(A142,Bang_Z,1)))*(INDEX(Bang_F,MATCH(A142,Bang_Z,1))+B142)/2</f>
        <v>23.5429925</v>
      </c>
      <c r="D142" s="26" t="n">
        <f aca="false">MAX(A142-TC_Z,0)</f>
        <v>0</v>
      </c>
      <c r="E142" s="27" t="n">
        <f aca="false">1-0.2*(TC_xmb+(TC_n-1)*TC_xmt)*D142/(TC_n*TC_b)</f>
        <v>1</v>
      </c>
      <c r="F142" s="28" t="n">
        <f aca="false">TC_s*E142*TC_m*TC_n*TC_b*SQRT(2*g_)*D142^1.5</f>
        <v>0</v>
      </c>
      <c r="G142" s="29" t="n">
        <f aca="false">MAX(A142-SC_Z,0)</f>
        <v>1.37</v>
      </c>
      <c r="H142" s="30" t="n">
        <f aca="false">1-0.2*(SC_xmb+(SC_n-1)*SC_xmt)*G142/(SC_n*SC_b)</f>
        <v>0.96164</v>
      </c>
      <c r="I142" s="31" t="n">
        <f aca="false">SC_s*H142*SC_m*SC_n*SC_b*SQRT(2*g_)*G142^1.5</f>
        <v>15.3682844466418</v>
      </c>
      <c r="J142" s="32" t="n">
        <f aca="false">F142+I142</f>
        <v>15.3682844466418</v>
      </c>
      <c r="K142" s="32" t="n">
        <f aca="false">F142</f>
        <v>0</v>
      </c>
      <c r="L142" s="32" t="n">
        <f aca="false">C142*1000000/dt_s+J142/2</f>
        <v>6547.40428111222</v>
      </c>
      <c r="M142" s="32" t="n">
        <f aca="false">C142*1000000/dt_s+K142/2</f>
        <v>6539.7201388889</v>
      </c>
    </row>
    <row r="143" customFormat="false" ht="15" hidden="false" customHeight="false" outlineLevel="0" collapsed="false">
      <c r="A143" s="24" t="n">
        <f aca="false">ROUND(A142+0.01,2)</f>
        <v>72.38</v>
      </c>
      <c r="B143" s="25" t="n">
        <f aca="false">INDEX(Bang_F,MATCH(A143,Bang_Z,1))+(A143-INDEX(Bang_Z,MATCH(A143,Bang_Z,1)))*(INDEX(Bang_F,MATCH(A143,Bang_Z,1)+1)-INDEX(Bang_F,MATCH(A143,Bang_Z,1)))</f>
        <v>4.797</v>
      </c>
      <c r="C143" s="25" t="n">
        <f aca="false">INDEX(Bang_W,MATCH(A143,Bang_Z,1))+(A143-INDEX(Bang_Z,MATCH(A143,Bang_Z,1)))*(INDEX(Bang_F,MATCH(A143,Bang_Z,1))+B143)/2</f>
        <v>23.59093</v>
      </c>
      <c r="D143" s="26" t="n">
        <f aca="false">MAX(A143-TC_Z,0)</f>
        <v>0</v>
      </c>
      <c r="E143" s="27" t="n">
        <f aca="false">1-0.2*(TC_xmb+(TC_n-1)*TC_xmt)*D143/(TC_n*TC_b)</f>
        <v>1</v>
      </c>
      <c r="F143" s="28" t="n">
        <f aca="false">TC_s*E143*TC_m*TC_n*TC_b*SQRT(2*g_)*D143^1.5</f>
        <v>0</v>
      </c>
      <c r="G143" s="29" t="n">
        <f aca="false">MAX(A143-SC_Z,0)</f>
        <v>1.38</v>
      </c>
      <c r="H143" s="30" t="n">
        <f aca="false">1-0.2*(SC_xmb+(SC_n-1)*SC_xmt)*G143/(SC_n*SC_b)</f>
        <v>0.96136</v>
      </c>
      <c r="I143" s="31" t="n">
        <f aca="false">SC_s*H143*SC_m*SC_n*SC_b*SQRT(2*g_)*G143^1.5</f>
        <v>15.5323331617128</v>
      </c>
      <c r="J143" s="32" t="n">
        <f aca="false">F143+I143</f>
        <v>15.5323331617128</v>
      </c>
      <c r="K143" s="32" t="n">
        <f aca="false">F143</f>
        <v>0</v>
      </c>
      <c r="L143" s="32" t="n">
        <f aca="false">C143*1000000/dt_s+J143/2</f>
        <v>6560.80227769196</v>
      </c>
      <c r="M143" s="32" t="n">
        <f aca="false">C143*1000000/dt_s+K143/2</f>
        <v>6553.03611111111</v>
      </c>
    </row>
    <row r="144" customFormat="false" ht="15" hidden="false" customHeight="false" outlineLevel="0" collapsed="false">
      <c r="A144" s="24" t="n">
        <f aca="false">ROUND(A143+0.01,2)</f>
        <v>72.39</v>
      </c>
      <c r="B144" s="25" t="n">
        <f aca="false">INDEX(Bang_F,MATCH(A144,Bang_Z,1))+(A144-INDEX(Bang_Z,MATCH(A144,Bang_Z,1)))*(INDEX(Bang_F,MATCH(A144,Bang_Z,1)+1)-INDEX(Bang_F,MATCH(A144,Bang_Z,1)))</f>
        <v>4.8035</v>
      </c>
      <c r="C144" s="25" t="n">
        <f aca="false">INDEX(Bang_W,MATCH(A144,Bang_Z,1))+(A144-INDEX(Bang_Z,MATCH(A144,Bang_Z,1)))*(INDEX(Bang_F,MATCH(A144,Bang_Z,1))+B144)/2</f>
        <v>23.6389325</v>
      </c>
      <c r="D144" s="26" t="n">
        <f aca="false">MAX(A144-TC_Z,0)</f>
        <v>0</v>
      </c>
      <c r="E144" s="27" t="n">
        <f aca="false">1-0.2*(TC_xmb+(TC_n-1)*TC_xmt)*D144/(TC_n*TC_b)</f>
        <v>1</v>
      </c>
      <c r="F144" s="28" t="n">
        <f aca="false">TC_s*E144*TC_m*TC_n*TC_b*SQRT(2*g_)*D144^1.5</f>
        <v>0</v>
      </c>
      <c r="G144" s="29" t="n">
        <f aca="false">MAX(A144-SC_Z,0)</f>
        <v>1.39</v>
      </c>
      <c r="H144" s="30" t="n">
        <f aca="false">1-0.2*(SC_xmb+(SC_n-1)*SC_xmt)*G144/(SC_n*SC_b)</f>
        <v>0.96108</v>
      </c>
      <c r="I144" s="31" t="n">
        <f aca="false">SC_s*H144*SC_m*SC_n*SC_b*SQRT(2*g_)*G144^1.5</f>
        <v>15.6968952361735</v>
      </c>
      <c r="J144" s="32" t="n">
        <f aca="false">F144+I144</f>
        <v>15.6968952361735</v>
      </c>
      <c r="K144" s="32" t="n">
        <f aca="false">F144</f>
        <v>0</v>
      </c>
      <c r="L144" s="32" t="n">
        <f aca="false">C144*1000000/dt_s+J144/2</f>
        <v>6574.21858650698</v>
      </c>
      <c r="M144" s="32" t="n">
        <f aca="false">C144*1000000/dt_s+K144/2</f>
        <v>6566.37013888889</v>
      </c>
    </row>
    <row r="145" customFormat="false" ht="15" hidden="false" customHeight="false" outlineLevel="0" collapsed="false">
      <c r="A145" s="24" t="n">
        <f aca="false">ROUND(A144+0.01,2)</f>
        <v>72.4</v>
      </c>
      <c r="B145" s="25" t="n">
        <f aca="false">INDEX(Bang_F,MATCH(A145,Bang_Z,1))+(A145-INDEX(Bang_Z,MATCH(A145,Bang_Z,1)))*(INDEX(Bang_F,MATCH(A145,Bang_Z,1)+1)-INDEX(Bang_F,MATCH(A145,Bang_Z,1)))</f>
        <v>4.81</v>
      </c>
      <c r="C145" s="25" t="n">
        <f aca="false">INDEX(Bang_W,MATCH(A145,Bang_Z,1))+(A145-INDEX(Bang_Z,MATCH(A145,Bang_Z,1)))*(INDEX(Bang_F,MATCH(A145,Bang_Z,1))+B145)/2</f>
        <v>23.687</v>
      </c>
      <c r="D145" s="26" t="n">
        <f aca="false">MAX(A145-TC_Z,0)</f>
        <v>0</v>
      </c>
      <c r="E145" s="27" t="n">
        <f aca="false">1-0.2*(TC_xmb+(TC_n-1)*TC_xmt)*D145/(TC_n*TC_b)</f>
        <v>1</v>
      </c>
      <c r="F145" s="28" t="n">
        <f aca="false">TC_s*E145*TC_m*TC_n*TC_b*SQRT(2*g_)*D145^1.5</f>
        <v>0</v>
      </c>
      <c r="G145" s="29" t="n">
        <f aca="false">MAX(A145-SC_Z,0)</f>
        <v>1.40000000000001</v>
      </c>
      <c r="H145" s="30" t="n">
        <f aca="false">1-0.2*(SC_xmb+(SC_n-1)*SC_xmt)*G145/(SC_n*SC_b)</f>
        <v>0.9608</v>
      </c>
      <c r="I145" s="31" t="n">
        <f aca="false">SC_s*H145*SC_m*SC_n*SC_b*SQRT(2*g_)*G145^1.5</f>
        <v>15.8619679324499</v>
      </c>
      <c r="J145" s="32" t="n">
        <f aca="false">F145+I145</f>
        <v>15.8619679324499</v>
      </c>
      <c r="K145" s="32" t="n">
        <f aca="false">F145</f>
        <v>0</v>
      </c>
      <c r="L145" s="32" t="n">
        <f aca="false">C145*1000000/dt_s+J145/2</f>
        <v>6587.65320618846</v>
      </c>
      <c r="M145" s="32" t="n">
        <f aca="false">C145*1000000/dt_s+K145/2</f>
        <v>6579.72222222223</v>
      </c>
    </row>
    <row r="146" customFormat="false" ht="15" hidden="false" customHeight="false" outlineLevel="0" collapsed="false">
      <c r="A146" s="24" t="n">
        <f aca="false">ROUND(A145+0.01,2)</f>
        <v>72.41</v>
      </c>
      <c r="B146" s="25" t="n">
        <f aca="false">INDEX(Bang_F,MATCH(A146,Bang_Z,1))+(A146-INDEX(Bang_Z,MATCH(A146,Bang_Z,1)))*(INDEX(Bang_F,MATCH(A146,Bang_Z,1)+1)-INDEX(Bang_F,MATCH(A146,Bang_Z,1)))</f>
        <v>4.8165</v>
      </c>
      <c r="C146" s="25" t="n">
        <f aca="false">INDEX(Bang_W,MATCH(A146,Bang_Z,1))+(A146-INDEX(Bang_Z,MATCH(A146,Bang_Z,1)))*(INDEX(Bang_F,MATCH(A146,Bang_Z,1))+B146)/2</f>
        <v>23.7351325</v>
      </c>
      <c r="D146" s="26" t="n">
        <f aca="false">MAX(A146-TC_Z,0)</f>
        <v>0</v>
      </c>
      <c r="E146" s="27" t="n">
        <f aca="false">1-0.2*(TC_xmb+(TC_n-1)*TC_xmt)*D146/(TC_n*TC_b)</f>
        <v>1</v>
      </c>
      <c r="F146" s="28" t="n">
        <f aca="false">TC_s*E146*TC_m*TC_n*TC_b*SQRT(2*g_)*D146^1.5</f>
        <v>0</v>
      </c>
      <c r="G146" s="29" t="n">
        <f aca="false">MAX(A146-SC_Z,0)</f>
        <v>1.41</v>
      </c>
      <c r="H146" s="30" t="n">
        <f aca="false">1-0.2*(SC_xmb+(SC_n-1)*SC_xmt)*G146/(SC_n*SC_b)</f>
        <v>0.96052</v>
      </c>
      <c r="I146" s="31" t="n">
        <f aca="false">SC_s*H146*SC_m*SC_n*SC_b*SQRT(2*g_)*G146^1.5</f>
        <v>16.0275485391769</v>
      </c>
      <c r="J146" s="32" t="n">
        <f aca="false">F146+I146</f>
        <v>16.0275485391769</v>
      </c>
      <c r="K146" s="32" t="n">
        <f aca="false">F146</f>
        <v>0</v>
      </c>
      <c r="L146" s="32" t="n">
        <f aca="false">C146*1000000/dt_s+J146/2</f>
        <v>6601.1061353807</v>
      </c>
      <c r="M146" s="32" t="n">
        <f aca="false">C146*1000000/dt_s+K146/2</f>
        <v>6593.09236111111</v>
      </c>
    </row>
    <row r="147" customFormat="false" ht="15" hidden="false" customHeight="false" outlineLevel="0" collapsed="false">
      <c r="A147" s="24" t="n">
        <f aca="false">ROUND(A146+0.01,2)</f>
        <v>72.42</v>
      </c>
      <c r="B147" s="25" t="n">
        <f aca="false">INDEX(Bang_F,MATCH(A147,Bang_Z,1))+(A147-INDEX(Bang_Z,MATCH(A147,Bang_Z,1)))*(INDEX(Bang_F,MATCH(A147,Bang_Z,1)+1)-INDEX(Bang_F,MATCH(A147,Bang_Z,1)))</f>
        <v>4.823</v>
      </c>
      <c r="C147" s="25" t="n">
        <f aca="false">INDEX(Bang_W,MATCH(A147,Bang_Z,1))+(A147-INDEX(Bang_Z,MATCH(A147,Bang_Z,1)))*(INDEX(Bang_F,MATCH(A147,Bang_Z,1))+B147)/2</f>
        <v>23.78333</v>
      </c>
      <c r="D147" s="26" t="n">
        <f aca="false">MAX(A147-TC_Z,0)</f>
        <v>0</v>
      </c>
      <c r="E147" s="27" t="n">
        <f aca="false">1-0.2*(TC_xmb+(TC_n-1)*TC_xmt)*D147/(TC_n*TC_b)</f>
        <v>1</v>
      </c>
      <c r="F147" s="28" t="n">
        <f aca="false">TC_s*E147*TC_m*TC_n*TC_b*SQRT(2*g_)*D147^1.5</f>
        <v>0</v>
      </c>
      <c r="G147" s="29" t="n">
        <f aca="false">MAX(A147-SC_Z,0)</f>
        <v>1.42</v>
      </c>
      <c r="H147" s="30" t="n">
        <f aca="false">1-0.2*(SC_xmb+(SC_n-1)*SC_xmt)*G147/(SC_n*SC_b)</f>
        <v>0.96024</v>
      </c>
      <c r="I147" s="31" t="n">
        <f aca="false">SC_s*H147*SC_m*SC_n*SC_b*SQRT(2*g_)*G147^1.5</f>
        <v>16.1936343707443</v>
      </c>
      <c r="J147" s="32" t="n">
        <f aca="false">F147+I147</f>
        <v>16.1936343707443</v>
      </c>
      <c r="K147" s="32" t="n">
        <f aca="false">F147</f>
        <v>0</v>
      </c>
      <c r="L147" s="32" t="n">
        <f aca="false">C147*1000000/dt_s+J147/2</f>
        <v>6614.57737274093</v>
      </c>
      <c r="M147" s="32" t="n">
        <f aca="false">C147*1000000/dt_s+K147/2</f>
        <v>6606.48055555556</v>
      </c>
    </row>
    <row r="148" customFormat="false" ht="15" hidden="false" customHeight="false" outlineLevel="0" collapsed="false">
      <c r="A148" s="24" t="n">
        <f aca="false">ROUND(A147+0.01,2)</f>
        <v>72.43</v>
      </c>
      <c r="B148" s="25" t="n">
        <f aca="false">INDEX(Bang_F,MATCH(A148,Bang_Z,1))+(A148-INDEX(Bang_Z,MATCH(A148,Bang_Z,1)))*(INDEX(Bang_F,MATCH(A148,Bang_Z,1)+1)-INDEX(Bang_F,MATCH(A148,Bang_Z,1)))</f>
        <v>4.82950000000001</v>
      </c>
      <c r="C148" s="25" t="n">
        <f aca="false">INDEX(Bang_W,MATCH(A148,Bang_Z,1))+(A148-INDEX(Bang_Z,MATCH(A148,Bang_Z,1)))*(INDEX(Bang_F,MATCH(A148,Bang_Z,1))+B148)/2</f>
        <v>23.8315925</v>
      </c>
      <c r="D148" s="26" t="n">
        <f aca="false">MAX(A148-TC_Z,0)</f>
        <v>0</v>
      </c>
      <c r="E148" s="27" t="n">
        <f aca="false">1-0.2*(TC_xmb+(TC_n-1)*TC_xmt)*D148/(TC_n*TC_b)</f>
        <v>1</v>
      </c>
      <c r="F148" s="28" t="n">
        <f aca="false">TC_s*E148*TC_m*TC_n*TC_b*SQRT(2*g_)*D148^1.5</f>
        <v>0</v>
      </c>
      <c r="G148" s="29" t="n">
        <f aca="false">MAX(A148-SC_Z,0)</f>
        <v>1.43000000000001</v>
      </c>
      <c r="H148" s="30" t="n">
        <f aca="false">1-0.2*(SC_xmb+(SC_n-1)*SC_xmt)*G148/(SC_n*SC_b)</f>
        <v>0.95996</v>
      </c>
      <c r="I148" s="31" t="n">
        <f aca="false">SC_s*H148*SC_m*SC_n*SC_b*SQRT(2*g_)*G148^1.5</f>
        <v>16.3602227668524</v>
      </c>
      <c r="J148" s="32" t="n">
        <f aca="false">F148+I148</f>
        <v>16.3602227668524</v>
      </c>
      <c r="K148" s="32" t="n">
        <f aca="false">F148</f>
        <v>0</v>
      </c>
      <c r="L148" s="32" t="n">
        <f aca="false">C148*1000000/dt_s+J148/2</f>
        <v>6628.06691693899</v>
      </c>
      <c r="M148" s="32" t="n">
        <f aca="false">C148*1000000/dt_s+K148/2</f>
        <v>6619.88680555557</v>
      </c>
    </row>
    <row r="149" customFormat="false" ht="15" hidden="false" customHeight="false" outlineLevel="0" collapsed="false">
      <c r="A149" s="24" t="n">
        <f aca="false">ROUND(A148+0.01,2)</f>
        <v>72.44</v>
      </c>
      <c r="B149" s="25" t="n">
        <f aca="false">INDEX(Bang_F,MATCH(A149,Bang_Z,1))+(A149-INDEX(Bang_Z,MATCH(A149,Bang_Z,1)))*(INDEX(Bang_F,MATCH(A149,Bang_Z,1)+1)-INDEX(Bang_F,MATCH(A149,Bang_Z,1)))</f>
        <v>4.836</v>
      </c>
      <c r="C149" s="25" t="n">
        <f aca="false">INDEX(Bang_W,MATCH(A149,Bang_Z,1))+(A149-INDEX(Bang_Z,MATCH(A149,Bang_Z,1)))*(INDEX(Bang_F,MATCH(A149,Bang_Z,1))+B149)/2</f>
        <v>23.87992</v>
      </c>
      <c r="D149" s="26" t="n">
        <f aca="false">MAX(A149-TC_Z,0)</f>
        <v>0</v>
      </c>
      <c r="E149" s="27" t="n">
        <f aca="false">1-0.2*(TC_xmb+(TC_n-1)*TC_xmt)*D149/(TC_n*TC_b)</f>
        <v>1</v>
      </c>
      <c r="F149" s="28" t="n">
        <f aca="false">TC_s*E149*TC_m*TC_n*TC_b*SQRT(2*g_)*D149^1.5</f>
        <v>0</v>
      </c>
      <c r="G149" s="29" t="n">
        <f aca="false">MAX(A149-SC_Z,0)</f>
        <v>1.44</v>
      </c>
      <c r="H149" s="30" t="n">
        <f aca="false">1-0.2*(SC_xmb+(SC_n-1)*SC_xmt)*G149/(SC_n*SC_b)</f>
        <v>0.95968</v>
      </c>
      <c r="I149" s="31" t="n">
        <f aca="false">SC_s*H149*SC_m*SC_n*SC_b*SQRT(2*g_)*G149^1.5</f>
        <v>16.5273110920804</v>
      </c>
      <c r="J149" s="32" t="n">
        <f aca="false">F149+I149</f>
        <v>16.5273110920804</v>
      </c>
      <c r="K149" s="32" t="n">
        <f aca="false">F149</f>
        <v>0</v>
      </c>
      <c r="L149" s="32" t="n">
        <f aca="false">C149*1000000/dt_s+J149/2</f>
        <v>6641.57476665715</v>
      </c>
      <c r="M149" s="32" t="n">
        <f aca="false">C149*1000000/dt_s+K149/2</f>
        <v>6633.31111111111</v>
      </c>
    </row>
    <row r="150" customFormat="false" ht="15" hidden="false" customHeight="false" outlineLevel="0" collapsed="false">
      <c r="A150" s="24" t="n">
        <f aca="false">ROUND(A149+0.01,2)</f>
        <v>72.45</v>
      </c>
      <c r="B150" s="25" t="n">
        <f aca="false">INDEX(Bang_F,MATCH(A150,Bang_Z,1))+(A150-INDEX(Bang_Z,MATCH(A150,Bang_Z,1)))*(INDEX(Bang_F,MATCH(A150,Bang_Z,1)+1)-INDEX(Bang_F,MATCH(A150,Bang_Z,1)))</f>
        <v>4.8425</v>
      </c>
      <c r="C150" s="25" t="n">
        <f aca="false">INDEX(Bang_W,MATCH(A150,Bang_Z,1))+(A150-INDEX(Bang_Z,MATCH(A150,Bang_Z,1)))*(INDEX(Bang_F,MATCH(A150,Bang_Z,1))+B150)/2</f>
        <v>23.9283125</v>
      </c>
      <c r="D150" s="26" t="n">
        <f aca="false">MAX(A150-TC_Z,0)</f>
        <v>0</v>
      </c>
      <c r="E150" s="27" t="n">
        <f aca="false">1-0.2*(TC_xmb+(TC_n-1)*TC_xmt)*D150/(TC_n*TC_b)</f>
        <v>1</v>
      </c>
      <c r="F150" s="28" t="n">
        <f aca="false">TC_s*E150*TC_m*TC_n*TC_b*SQRT(2*g_)*D150^1.5</f>
        <v>0</v>
      </c>
      <c r="G150" s="29" t="n">
        <f aca="false">MAX(A150-SC_Z,0)</f>
        <v>1.45</v>
      </c>
      <c r="H150" s="30" t="n">
        <f aca="false">1-0.2*(SC_xmb+(SC_n-1)*SC_xmt)*G150/(SC_n*SC_b)</f>
        <v>0.9594</v>
      </c>
      <c r="I150" s="31" t="n">
        <f aca="false">SC_s*H150*SC_m*SC_n*SC_b*SQRT(2*g_)*G150^1.5</f>
        <v>16.6948967354649</v>
      </c>
      <c r="J150" s="32" t="n">
        <f aca="false">F150+I150</f>
        <v>16.6948967354649</v>
      </c>
      <c r="K150" s="32" t="n">
        <f aca="false">F150</f>
        <v>0</v>
      </c>
      <c r="L150" s="32" t="n">
        <f aca="false">C150*1000000/dt_s+J150/2</f>
        <v>6655.10092058996</v>
      </c>
      <c r="M150" s="32" t="n">
        <f aca="false">C150*1000000/dt_s+K150/2</f>
        <v>6646.75347222223</v>
      </c>
    </row>
    <row r="151" customFormat="false" ht="15" hidden="false" customHeight="false" outlineLevel="0" collapsed="false">
      <c r="A151" s="24" t="n">
        <f aca="false">ROUND(A150+0.01,2)</f>
        <v>72.46</v>
      </c>
      <c r="B151" s="25" t="n">
        <f aca="false">INDEX(Bang_F,MATCH(A151,Bang_Z,1))+(A151-INDEX(Bang_Z,MATCH(A151,Bang_Z,1)))*(INDEX(Bang_F,MATCH(A151,Bang_Z,1)+1)-INDEX(Bang_F,MATCH(A151,Bang_Z,1)))</f>
        <v>4.849</v>
      </c>
      <c r="C151" s="25" t="n">
        <f aca="false">INDEX(Bang_W,MATCH(A151,Bang_Z,1))+(A151-INDEX(Bang_Z,MATCH(A151,Bang_Z,1)))*(INDEX(Bang_F,MATCH(A151,Bang_Z,1))+B151)/2</f>
        <v>23.97677</v>
      </c>
      <c r="D151" s="26" t="n">
        <f aca="false">MAX(A151-TC_Z,0)</f>
        <v>0</v>
      </c>
      <c r="E151" s="27" t="n">
        <f aca="false">1-0.2*(TC_xmb+(TC_n-1)*TC_xmt)*D151/(TC_n*TC_b)</f>
        <v>1</v>
      </c>
      <c r="F151" s="28" t="n">
        <f aca="false">TC_s*E151*TC_m*TC_n*TC_b*SQRT(2*g_)*D151^1.5</f>
        <v>0</v>
      </c>
      <c r="G151" s="29" t="n">
        <f aca="false">MAX(A151-SC_Z,0)</f>
        <v>1.45999999999999</v>
      </c>
      <c r="H151" s="30" t="n">
        <f aca="false">1-0.2*(SC_xmb+(SC_n-1)*SC_xmt)*G151/(SC_n*SC_b)</f>
        <v>0.95912</v>
      </c>
      <c r="I151" s="31" t="n">
        <f aca="false">SC_s*H151*SC_m*SC_n*SC_b*SQRT(2*g_)*G151^1.5</f>
        <v>16.8629771100868</v>
      </c>
      <c r="J151" s="32" t="n">
        <f aca="false">F151+I151</f>
        <v>16.8629771100868</v>
      </c>
      <c r="K151" s="32" t="n">
        <f aca="false">F151</f>
        <v>0</v>
      </c>
      <c r="L151" s="32" t="n">
        <f aca="false">C151*1000000/dt_s+J151/2</f>
        <v>6668.64537744392</v>
      </c>
      <c r="M151" s="32" t="n">
        <f aca="false">C151*1000000/dt_s+K151/2</f>
        <v>6660.21388888888</v>
      </c>
    </row>
    <row r="152" customFormat="false" ht="15" hidden="false" customHeight="false" outlineLevel="0" collapsed="false">
      <c r="A152" s="24" t="n">
        <f aca="false">ROUND(A151+0.01,2)</f>
        <v>72.47</v>
      </c>
      <c r="B152" s="25" t="n">
        <f aca="false">INDEX(Bang_F,MATCH(A152,Bang_Z,1))+(A152-INDEX(Bang_Z,MATCH(A152,Bang_Z,1)))*(INDEX(Bang_F,MATCH(A152,Bang_Z,1)+1)-INDEX(Bang_F,MATCH(A152,Bang_Z,1)))</f>
        <v>4.8555</v>
      </c>
      <c r="C152" s="25" t="n">
        <f aca="false">INDEX(Bang_W,MATCH(A152,Bang_Z,1))+(A152-INDEX(Bang_Z,MATCH(A152,Bang_Z,1)))*(INDEX(Bang_F,MATCH(A152,Bang_Z,1))+B152)/2</f>
        <v>24.0252925</v>
      </c>
      <c r="D152" s="26" t="n">
        <f aca="false">MAX(A152-TC_Z,0)</f>
        <v>0</v>
      </c>
      <c r="E152" s="27" t="n">
        <f aca="false">1-0.2*(TC_xmb+(TC_n-1)*TC_xmt)*D152/(TC_n*TC_b)</f>
        <v>1</v>
      </c>
      <c r="F152" s="28" t="n">
        <f aca="false">TC_s*E152*TC_m*TC_n*TC_b*SQRT(2*g_)*D152^1.5</f>
        <v>0</v>
      </c>
      <c r="G152" s="29" t="n">
        <f aca="false">MAX(A152-SC_Z,0)</f>
        <v>1.47</v>
      </c>
      <c r="H152" s="30" t="n">
        <f aca="false">1-0.2*(SC_xmb+(SC_n-1)*SC_xmt)*G152/(SC_n*SC_b)</f>
        <v>0.95884</v>
      </c>
      <c r="I152" s="31" t="n">
        <f aca="false">SC_s*H152*SC_m*SC_n*SC_b*SQRT(2*g_)*G152^1.5</f>
        <v>17.0315496526704</v>
      </c>
      <c r="J152" s="32" t="n">
        <f aca="false">F152+I152</f>
        <v>17.0315496526704</v>
      </c>
      <c r="K152" s="32" t="n">
        <f aca="false">F152</f>
        <v>0</v>
      </c>
      <c r="L152" s="32" t="n">
        <f aca="false">C152*1000000/dt_s+J152/2</f>
        <v>6682.20813593745</v>
      </c>
      <c r="M152" s="32" t="n">
        <f aca="false">C152*1000000/dt_s+K152/2</f>
        <v>6673.69236111111</v>
      </c>
    </row>
    <row r="153" customFormat="false" ht="15" hidden="false" customHeight="false" outlineLevel="0" collapsed="false">
      <c r="A153" s="24" t="n">
        <f aca="false">ROUND(A152+0.01,2)</f>
        <v>72.48</v>
      </c>
      <c r="B153" s="25" t="n">
        <f aca="false">INDEX(Bang_F,MATCH(A153,Bang_Z,1))+(A153-INDEX(Bang_Z,MATCH(A153,Bang_Z,1)))*(INDEX(Bang_F,MATCH(A153,Bang_Z,1)+1)-INDEX(Bang_F,MATCH(A153,Bang_Z,1)))</f>
        <v>4.862</v>
      </c>
      <c r="C153" s="25" t="n">
        <f aca="false">INDEX(Bang_W,MATCH(A153,Bang_Z,1))+(A153-INDEX(Bang_Z,MATCH(A153,Bang_Z,1)))*(INDEX(Bang_F,MATCH(A153,Bang_Z,1))+B153)/2</f>
        <v>24.07388</v>
      </c>
      <c r="D153" s="26" t="n">
        <f aca="false">MAX(A153-TC_Z,0)</f>
        <v>0</v>
      </c>
      <c r="E153" s="27" t="n">
        <f aca="false">1-0.2*(TC_xmb+(TC_n-1)*TC_xmt)*D153/(TC_n*TC_b)</f>
        <v>1</v>
      </c>
      <c r="F153" s="28" t="n">
        <f aca="false">TC_s*E153*TC_m*TC_n*TC_b*SQRT(2*g_)*D153^1.5</f>
        <v>0</v>
      </c>
      <c r="G153" s="29" t="n">
        <f aca="false">MAX(A153-SC_Z,0)</f>
        <v>1.48</v>
      </c>
      <c r="H153" s="30" t="n">
        <f aca="false">1-0.2*(SC_xmb+(SC_n-1)*SC_xmt)*G153/(SC_n*SC_b)</f>
        <v>0.95856</v>
      </c>
      <c r="I153" s="31" t="n">
        <f aca="false">SC_s*H153*SC_m*SC_n*SC_b*SQRT(2*g_)*G153^1.5</f>
        <v>17.2006118231898</v>
      </c>
      <c r="J153" s="32" t="n">
        <f aca="false">F153+I153</f>
        <v>17.2006118231898</v>
      </c>
      <c r="K153" s="32" t="n">
        <f aca="false">F153</f>
        <v>0</v>
      </c>
      <c r="L153" s="32" t="n">
        <f aca="false">C153*1000000/dt_s+J153/2</f>
        <v>6695.78919480049</v>
      </c>
      <c r="M153" s="32" t="n">
        <f aca="false">C153*1000000/dt_s+K153/2</f>
        <v>6687.18888888889</v>
      </c>
    </row>
    <row r="154" customFormat="false" ht="15" hidden="false" customHeight="false" outlineLevel="0" collapsed="false">
      <c r="A154" s="24" t="n">
        <f aca="false">ROUND(A153+0.01,2)</f>
        <v>72.49</v>
      </c>
      <c r="B154" s="25" t="n">
        <f aca="false">INDEX(Bang_F,MATCH(A154,Bang_Z,1))+(A154-INDEX(Bang_Z,MATCH(A154,Bang_Z,1)))*(INDEX(Bang_F,MATCH(A154,Bang_Z,1)+1)-INDEX(Bang_F,MATCH(A154,Bang_Z,1)))</f>
        <v>4.8685</v>
      </c>
      <c r="C154" s="25" t="n">
        <f aca="false">INDEX(Bang_W,MATCH(A154,Bang_Z,1))+(A154-INDEX(Bang_Z,MATCH(A154,Bang_Z,1)))*(INDEX(Bang_F,MATCH(A154,Bang_Z,1))+B154)/2</f>
        <v>24.1225325</v>
      </c>
      <c r="D154" s="26" t="n">
        <f aca="false">MAX(A154-TC_Z,0)</f>
        <v>0</v>
      </c>
      <c r="E154" s="27" t="n">
        <f aca="false">1-0.2*(TC_xmb+(TC_n-1)*TC_xmt)*D154/(TC_n*TC_b)</f>
        <v>1</v>
      </c>
      <c r="F154" s="28" t="n">
        <f aca="false">TC_s*E154*TC_m*TC_n*TC_b*SQRT(2*g_)*D154^1.5</f>
        <v>0</v>
      </c>
      <c r="G154" s="29" t="n">
        <f aca="false">MAX(A154-SC_Z,0)</f>
        <v>1.48999999999999</v>
      </c>
      <c r="H154" s="30" t="n">
        <f aca="false">1-0.2*(SC_xmb+(SC_n-1)*SC_xmt)*G154/(SC_n*SC_b)</f>
        <v>0.95828</v>
      </c>
      <c r="I154" s="31" t="n">
        <f aca="false">SC_s*H154*SC_m*SC_n*SC_b*SQRT(2*g_)*G154^1.5</f>
        <v>17.3701611044855</v>
      </c>
      <c r="J154" s="32" t="n">
        <f aca="false">F154+I154</f>
        <v>17.3701611044855</v>
      </c>
      <c r="K154" s="32" t="n">
        <f aca="false">F154</f>
        <v>0</v>
      </c>
      <c r="L154" s="32" t="n">
        <f aca="false">C154*1000000/dt_s+J154/2</f>
        <v>6709.38855277446</v>
      </c>
      <c r="M154" s="32" t="n">
        <f aca="false">C154*1000000/dt_s+K154/2</f>
        <v>6700.70347222222</v>
      </c>
    </row>
    <row r="155" customFormat="false" ht="15" hidden="false" customHeight="false" outlineLevel="0" collapsed="false">
      <c r="A155" s="24" t="n">
        <f aca="false">ROUND(A154+0.01,2)</f>
        <v>72.5</v>
      </c>
      <c r="B155" s="25" t="n">
        <f aca="false">INDEX(Bang_F,MATCH(A155,Bang_Z,1))+(A155-INDEX(Bang_Z,MATCH(A155,Bang_Z,1)))*(INDEX(Bang_F,MATCH(A155,Bang_Z,1)+1)-INDEX(Bang_F,MATCH(A155,Bang_Z,1)))</f>
        <v>4.875</v>
      </c>
      <c r="C155" s="25" t="n">
        <f aca="false">INDEX(Bang_W,MATCH(A155,Bang_Z,1))+(A155-INDEX(Bang_Z,MATCH(A155,Bang_Z,1)))*(INDEX(Bang_F,MATCH(A155,Bang_Z,1))+B155)/2</f>
        <v>24.17125</v>
      </c>
      <c r="D155" s="26" t="n">
        <f aca="false">MAX(A155-TC_Z,0)</f>
        <v>0</v>
      </c>
      <c r="E155" s="27" t="n">
        <f aca="false">1-0.2*(TC_xmb+(TC_n-1)*TC_xmt)*D155/(TC_n*TC_b)</f>
        <v>1</v>
      </c>
      <c r="F155" s="28" t="n">
        <f aca="false">TC_s*E155*TC_m*TC_n*TC_b*SQRT(2*g_)*D155^1.5</f>
        <v>0</v>
      </c>
      <c r="G155" s="29" t="n">
        <f aca="false">MAX(A155-SC_Z,0)</f>
        <v>1.5</v>
      </c>
      <c r="H155" s="30" t="n">
        <f aca="false">1-0.2*(SC_xmb+(SC_n-1)*SC_xmt)*G155/(SC_n*SC_b)</f>
        <v>0.958</v>
      </c>
      <c r="I155" s="31" t="n">
        <f aca="false">SC_s*H155*SC_m*SC_n*SC_b*SQRT(2*g_)*G155^1.5</f>
        <v>17.5401950018914</v>
      </c>
      <c r="J155" s="32" t="n">
        <f aca="false">F155+I155</f>
        <v>17.5401950018914</v>
      </c>
      <c r="K155" s="32" t="n">
        <f aca="false">F155</f>
        <v>0</v>
      </c>
      <c r="L155" s="32" t="n">
        <f aca="false">C155*1000000/dt_s+J155/2</f>
        <v>6723.00620861206</v>
      </c>
      <c r="M155" s="32" t="n">
        <f aca="false">C155*1000000/dt_s+K155/2</f>
        <v>6714.23611111111</v>
      </c>
    </row>
    <row r="156" customFormat="false" ht="15" hidden="false" customHeight="false" outlineLevel="0" collapsed="false">
      <c r="A156" s="24" t="n">
        <f aca="false">ROUND(A155+0.01,2)</f>
        <v>72.51</v>
      </c>
      <c r="B156" s="25" t="n">
        <f aca="false">INDEX(Bang_F,MATCH(A156,Bang_Z,1))+(A156-INDEX(Bang_Z,MATCH(A156,Bang_Z,1)))*(INDEX(Bang_F,MATCH(A156,Bang_Z,1)+1)-INDEX(Bang_F,MATCH(A156,Bang_Z,1)))</f>
        <v>4.8815</v>
      </c>
      <c r="C156" s="25" t="n">
        <f aca="false">INDEX(Bang_W,MATCH(A156,Bang_Z,1))+(A156-INDEX(Bang_Z,MATCH(A156,Bang_Z,1)))*(INDEX(Bang_F,MATCH(A156,Bang_Z,1))+B156)/2</f>
        <v>24.2200325</v>
      </c>
      <c r="D156" s="26" t="n">
        <f aca="false">MAX(A156-TC_Z,0)</f>
        <v>0</v>
      </c>
      <c r="E156" s="27" t="n">
        <f aca="false">1-0.2*(TC_xmb+(TC_n-1)*TC_xmt)*D156/(TC_n*TC_b)</f>
        <v>1</v>
      </c>
      <c r="F156" s="28" t="n">
        <f aca="false">TC_s*E156*TC_m*TC_n*TC_b*SQRT(2*g_)*D156^1.5</f>
        <v>0</v>
      </c>
      <c r="G156" s="29" t="n">
        <f aca="false">MAX(A156-SC_Z,0)</f>
        <v>1.51000000000001</v>
      </c>
      <c r="H156" s="30" t="n">
        <f aca="false">1-0.2*(SC_xmb+(SC_n-1)*SC_xmt)*G156/(SC_n*SC_b)</f>
        <v>0.95772</v>
      </c>
      <c r="I156" s="31" t="n">
        <f aca="false">SC_s*H156*SC_m*SC_n*SC_b*SQRT(2*g_)*G156^1.5</f>
        <v>17.7107110428667</v>
      </c>
      <c r="J156" s="32" t="n">
        <f aca="false">F156+I156</f>
        <v>17.7107110428667</v>
      </c>
      <c r="K156" s="32" t="n">
        <f aca="false">F156</f>
        <v>0</v>
      </c>
      <c r="L156" s="32" t="n">
        <f aca="false">C156*1000000/dt_s+J156/2</f>
        <v>6736.642161077</v>
      </c>
      <c r="M156" s="32" t="n">
        <f aca="false">C156*1000000/dt_s+K156/2</f>
        <v>6727.78680555556</v>
      </c>
    </row>
    <row r="157" customFormat="false" ht="15" hidden="false" customHeight="false" outlineLevel="0" collapsed="false">
      <c r="A157" s="24" t="n">
        <f aca="false">ROUND(A156+0.01,2)</f>
        <v>72.52</v>
      </c>
      <c r="B157" s="25" t="n">
        <f aca="false">INDEX(Bang_F,MATCH(A157,Bang_Z,1))+(A157-INDEX(Bang_Z,MATCH(A157,Bang_Z,1)))*(INDEX(Bang_F,MATCH(A157,Bang_Z,1)+1)-INDEX(Bang_F,MATCH(A157,Bang_Z,1)))</f>
        <v>4.888</v>
      </c>
      <c r="C157" s="25" t="n">
        <f aca="false">INDEX(Bang_W,MATCH(A157,Bang_Z,1))+(A157-INDEX(Bang_Z,MATCH(A157,Bang_Z,1)))*(INDEX(Bang_F,MATCH(A157,Bang_Z,1))+B157)/2</f>
        <v>24.26888</v>
      </c>
      <c r="D157" s="26" t="n">
        <f aca="false">MAX(A157-TC_Z,0)</f>
        <v>0</v>
      </c>
      <c r="E157" s="27" t="n">
        <f aca="false">1-0.2*(TC_xmb+(TC_n-1)*TC_xmt)*D157/(TC_n*TC_b)</f>
        <v>1</v>
      </c>
      <c r="F157" s="28" t="n">
        <f aca="false">TC_s*E157*TC_m*TC_n*TC_b*SQRT(2*g_)*D157^1.5</f>
        <v>0</v>
      </c>
      <c r="G157" s="29" t="n">
        <f aca="false">MAX(A157-SC_Z,0)</f>
        <v>1.52</v>
      </c>
      <c r="H157" s="30" t="n">
        <f aca="false">1-0.2*(SC_xmb+(SC_n-1)*SC_xmt)*G157/(SC_n*SC_b)</f>
        <v>0.95744</v>
      </c>
      <c r="I157" s="31" t="n">
        <f aca="false">SC_s*H157*SC_m*SC_n*SC_b*SQRT(2*g_)*G157^1.5</f>
        <v>17.8817067766396</v>
      </c>
      <c r="J157" s="32" t="n">
        <f aca="false">F157+I157</f>
        <v>17.8817067766396</v>
      </c>
      <c r="K157" s="32" t="n">
        <f aca="false">F157</f>
        <v>0</v>
      </c>
      <c r="L157" s="32" t="n">
        <f aca="false">C157*1000000/dt_s+J157/2</f>
        <v>6750.29640894387</v>
      </c>
      <c r="M157" s="32" t="n">
        <f aca="false">C157*1000000/dt_s+K157/2</f>
        <v>6741.35555555555</v>
      </c>
    </row>
    <row r="158" customFormat="false" ht="15" hidden="false" customHeight="false" outlineLevel="0" collapsed="false">
      <c r="A158" s="24" t="n">
        <f aca="false">ROUND(A157+0.01,2)</f>
        <v>72.53</v>
      </c>
      <c r="B158" s="25" t="n">
        <f aca="false">INDEX(Bang_F,MATCH(A158,Bang_Z,1))+(A158-INDEX(Bang_Z,MATCH(A158,Bang_Z,1)))*(INDEX(Bang_F,MATCH(A158,Bang_Z,1)+1)-INDEX(Bang_F,MATCH(A158,Bang_Z,1)))</f>
        <v>4.8945</v>
      </c>
      <c r="C158" s="25" t="n">
        <f aca="false">INDEX(Bang_W,MATCH(A158,Bang_Z,1))+(A158-INDEX(Bang_Z,MATCH(A158,Bang_Z,1)))*(INDEX(Bang_F,MATCH(A158,Bang_Z,1))+B158)/2</f>
        <v>24.3177925</v>
      </c>
      <c r="D158" s="26" t="n">
        <f aca="false">MAX(A158-TC_Z,0)</f>
        <v>0</v>
      </c>
      <c r="E158" s="27" t="n">
        <f aca="false">1-0.2*(TC_xmb+(TC_n-1)*TC_xmt)*D158/(TC_n*TC_b)</f>
        <v>1</v>
      </c>
      <c r="F158" s="28" t="n">
        <f aca="false">TC_s*E158*TC_m*TC_n*TC_b*SQRT(2*g_)*D158^1.5</f>
        <v>0</v>
      </c>
      <c r="G158" s="29" t="n">
        <f aca="false">MAX(A158-SC_Z,0)</f>
        <v>1.53</v>
      </c>
      <c r="H158" s="30" t="n">
        <f aca="false">1-0.2*(SC_xmb+(SC_n-1)*SC_xmt)*G158/(SC_n*SC_b)</f>
        <v>0.95716</v>
      </c>
      <c r="I158" s="31" t="n">
        <f aca="false">SC_s*H158*SC_m*SC_n*SC_b*SQRT(2*g_)*G158^1.5</f>
        <v>18.053179773859</v>
      </c>
      <c r="J158" s="32" t="n">
        <f aca="false">F158+I158</f>
        <v>18.053179773859</v>
      </c>
      <c r="K158" s="32" t="n">
        <f aca="false">F158</f>
        <v>0</v>
      </c>
      <c r="L158" s="32" t="n">
        <f aca="false">C158*1000000/dt_s+J158/2</f>
        <v>6763.96895099804</v>
      </c>
      <c r="M158" s="32" t="n">
        <f aca="false">C158*1000000/dt_s+K158/2</f>
        <v>6754.94236111111</v>
      </c>
    </row>
    <row r="159" customFormat="false" ht="15" hidden="false" customHeight="false" outlineLevel="0" collapsed="false">
      <c r="A159" s="24" t="n">
        <f aca="false">ROUND(A158+0.01,2)</f>
        <v>72.54</v>
      </c>
      <c r="B159" s="25" t="n">
        <f aca="false">INDEX(Bang_F,MATCH(A159,Bang_Z,1))+(A159-INDEX(Bang_Z,MATCH(A159,Bang_Z,1)))*(INDEX(Bang_F,MATCH(A159,Bang_Z,1)+1)-INDEX(Bang_F,MATCH(A159,Bang_Z,1)))</f>
        <v>4.901</v>
      </c>
      <c r="C159" s="25" t="n">
        <f aca="false">INDEX(Bang_W,MATCH(A159,Bang_Z,1))+(A159-INDEX(Bang_Z,MATCH(A159,Bang_Z,1)))*(INDEX(Bang_F,MATCH(A159,Bang_Z,1))+B159)/2</f>
        <v>24.36677</v>
      </c>
      <c r="D159" s="26" t="n">
        <f aca="false">MAX(A159-TC_Z,0)</f>
        <v>0</v>
      </c>
      <c r="E159" s="27" t="n">
        <f aca="false">1-0.2*(TC_xmb+(TC_n-1)*TC_xmt)*D159/(TC_n*TC_b)</f>
        <v>1</v>
      </c>
      <c r="F159" s="28" t="n">
        <f aca="false">TC_s*E159*TC_m*TC_n*TC_b*SQRT(2*g_)*D159^1.5</f>
        <v>0</v>
      </c>
      <c r="G159" s="29" t="n">
        <f aca="false">MAX(A159-SC_Z,0)</f>
        <v>1.54000000000001</v>
      </c>
      <c r="H159" s="30" t="n">
        <f aca="false">1-0.2*(SC_xmb+(SC_n-1)*SC_xmt)*G159/(SC_n*SC_b)</f>
        <v>0.95688</v>
      </c>
      <c r="I159" s="31" t="n">
        <f aca="false">SC_s*H159*SC_m*SC_n*SC_b*SQRT(2*g_)*G159^1.5</f>
        <v>18.2251276262509</v>
      </c>
      <c r="J159" s="32" t="n">
        <f aca="false">F159+I159</f>
        <v>18.2251276262509</v>
      </c>
      <c r="K159" s="32" t="n">
        <f aca="false">F159</f>
        <v>0</v>
      </c>
      <c r="L159" s="32" t="n">
        <f aca="false">C159*1000000/dt_s+J159/2</f>
        <v>6777.65978603536</v>
      </c>
      <c r="M159" s="32" t="n">
        <f aca="false">C159*1000000/dt_s+K159/2</f>
        <v>6768.54722222223</v>
      </c>
    </row>
    <row r="160" customFormat="false" ht="15" hidden="false" customHeight="false" outlineLevel="0" collapsed="false">
      <c r="A160" s="24" t="n">
        <f aca="false">ROUND(A159+0.01,2)</f>
        <v>72.55</v>
      </c>
      <c r="B160" s="25" t="n">
        <f aca="false">INDEX(Bang_F,MATCH(A160,Bang_Z,1))+(A160-INDEX(Bang_Z,MATCH(A160,Bang_Z,1)))*(INDEX(Bang_F,MATCH(A160,Bang_Z,1)+1)-INDEX(Bang_F,MATCH(A160,Bang_Z,1)))</f>
        <v>4.9075</v>
      </c>
      <c r="C160" s="25" t="n">
        <f aca="false">INDEX(Bang_W,MATCH(A160,Bang_Z,1))+(A160-INDEX(Bang_Z,MATCH(A160,Bang_Z,1)))*(INDEX(Bang_F,MATCH(A160,Bang_Z,1))+B160)/2</f>
        <v>24.4158125</v>
      </c>
      <c r="D160" s="26" t="n">
        <f aca="false">MAX(A160-TC_Z,0)</f>
        <v>0</v>
      </c>
      <c r="E160" s="27" t="n">
        <f aca="false">1-0.2*(TC_xmb+(TC_n-1)*TC_xmt)*D160/(TC_n*TC_b)</f>
        <v>1</v>
      </c>
      <c r="F160" s="28" t="n">
        <f aca="false">TC_s*E160*TC_m*TC_n*TC_b*SQRT(2*g_)*D160^1.5</f>
        <v>0</v>
      </c>
      <c r="G160" s="29" t="n">
        <f aca="false">MAX(A160-SC_Z,0)</f>
        <v>1.55</v>
      </c>
      <c r="H160" s="30" t="n">
        <f aca="false">1-0.2*(SC_xmb+(SC_n-1)*SC_xmt)*G160/(SC_n*SC_b)</f>
        <v>0.9566</v>
      </c>
      <c r="I160" s="31" t="n">
        <f aca="false">SC_s*H160*SC_m*SC_n*SC_b*SQRT(2*g_)*G160^1.5</f>
        <v>18.397547946286</v>
      </c>
      <c r="J160" s="32" t="n">
        <f aca="false">F160+I160</f>
        <v>18.397547946286</v>
      </c>
      <c r="K160" s="32" t="n">
        <f aca="false">F160</f>
        <v>0</v>
      </c>
      <c r="L160" s="32" t="n">
        <f aca="false">C160*1000000/dt_s+J160/2</f>
        <v>6791.36891286203</v>
      </c>
      <c r="M160" s="32" t="n">
        <f aca="false">C160*1000000/dt_s+K160/2</f>
        <v>6782.17013888889</v>
      </c>
    </row>
    <row r="161" customFormat="false" ht="15" hidden="false" customHeight="false" outlineLevel="0" collapsed="false">
      <c r="A161" s="24" t="n">
        <f aca="false">ROUND(A160+0.01,2)</f>
        <v>72.56</v>
      </c>
      <c r="B161" s="25" t="n">
        <f aca="false">INDEX(Bang_F,MATCH(A161,Bang_Z,1))+(A161-INDEX(Bang_Z,MATCH(A161,Bang_Z,1)))*(INDEX(Bang_F,MATCH(A161,Bang_Z,1)+1)-INDEX(Bang_F,MATCH(A161,Bang_Z,1)))</f>
        <v>4.914</v>
      </c>
      <c r="C161" s="25" t="n">
        <f aca="false">INDEX(Bang_W,MATCH(A161,Bang_Z,1))+(A161-INDEX(Bang_Z,MATCH(A161,Bang_Z,1)))*(INDEX(Bang_F,MATCH(A161,Bang_Z,1))+B161)/2</f>
        <v>24.46492</v>
      </c>
      <c r="D161" s="26" t="n">
        <f aca="false">MAX(A161-TC_Z,0)</f>
        <v>0</v>
      </c>
      <c r="E161" s="27" t="n">
        <f aca="false">1-0.2*(TC_xmb+(TC_n-1)*TC_xmt)*D161/(TC_n*TC_b)</f>
        <v>1</v>
      </c>
      <c r="F161" s="28" t="n">
        <f aca="false">TC_s*E161*TC_m*TC_n*TC_b*SQRT(2*g_)*D161^1.5</f>
        <v>0</v>
      </c>
      <c r="G161" s="29" t="n">
        <f aca="false">MAX(A161-SC_Z,0)</f>
        <v>1.56</v>
      </c>
      <c r="H161" s="30" t="n">
        <f aca="false">1-0.2*(SC_xmb+(SC_n-1)*SC_xmt)*G161/(SC_n*SC_b)</f>
        <v>0.95632</v>
      </c>
      <c r="I161" s="31" t="n">
        <f aca="false">SC_s*H161*SC_m*SC_n*SC_b*SQRT(2*g_)*G161^1.5</f>
        <v>18.570438366854</v>
      </c>
      <c r="J161" s="32" t="n">
        <f aca="false">F161+I161</f>
        <v>18.570438366854</v>
      </c>
      <c r="K161" s="32" t="n">
        <f aca="false">F161</f>
        <v>0</v>
      </c>
      <c r="L161" s="32" t="n">
        <f aca="false">C161*1000000/dt_s+J161/2</f>
        <v>6805.09633029454</v>
      </c>
      <c r="M161" s="32" t="n">
        <f aca="false">C161*1000000/dt_s+K161/2</f>
        <v>6795.81111111112</v>
      </c>
    </row>
    <row r="162" customFormat="false" ht="15" hidden="false" customHeight="false" outlineLevel="0" collapsed="false">
      <c r="A162" s="24" t="n">
        <f aca="false">ROUND(A161+0.01,2)</f>
        <v>72.57</v>
      </c>
      <c r="B162" s="25" t="n">
        <f aca="false">INDEX(Bang_F,MATCH(A162,Bang_Z,1))+(A162-INDEX(Bang_Z,MATCH(A162,Bang_Z,1)))*(INDEX(Bang_F,MATCH(A162,Bang_Z,1)+1)-INDEX(Bang_F,MATCH(A162,Bang_Z,1)))</f>
        <v>4.9205</v>
      </c>
      <c r="C162" s="25" t="n">
        <f aca="false">INDEX(Bang_W,MATCH(A162,Bang_Z,1))+(A162-INDEX(Bang_Z,MATCH(A162,Bang_Z,1)))*(INDEX(Bang_F,MATCH(A162,Bang_Z,1))+B162)/2</f>
        <v>24.5140925</v>
      </c>
      <c r="D162" s="26" t="n">
        <f aca="false">MAX(A162-TC_Z,0)</f>
        <v>0</v>
      </c>
      <c r="E162" s="27" t="n">
        <f aca="false">1-0.2*(TC_xmb+(TC_n-1)*TC_xmt)*D162/(TC_n*TC_b)</f>
        <v>1</v>
      </c>
      <c r="F162" s="28" t="n">
        <f aca="false">TC_s*E162*TC_m*TC_n*TC_b*SQRT(2*g_)*D162^1.5</f>
        <v>0</v>
      </c>
      <c r="G162" s="29" t="n">
        <f aca="false">MAX(A162-SC_Z,0)</f>
        <v>1.56999999999999</v>
      </c>
      <c r="H162" s="30" t="n">
        <f aca="false">1-0.2*(SC_xmb+(SC_n-1)*SC_xmt)*G162/(SC_n*SC_b)</f>
        <v>0.95604</v>
      </c>
      <c r="I162" s="31" t="n">
        <f aca="false">SC_s*H162*SC_m*SC_n*SC_b*SQRT(2*g_)*G162^1.5</f>
        <v>18.743796540943</v>
      </c>
      <c r="J162" s="32" t="n">
        <f aca="false">F162+I162</f>
        <v>18.743796540943</v>
      </c>
      <c r="K162" s="32" t="n">
        <f aca="false">F162</f>
        <v>0</v>
      </c>
      <c r="L162" s="32" t="n">
        <f aca="false">C162*1000000/dt_s+J162/2</f>
        <v>6818.84203715935</v>
      </c>
      <c r="M162" s="32" t="n">
        <f aca="false">C162*1000000/dt_s+K162/2</f>
        <v>6809.47013888888</v>
      </c>
    </row>
    <row r="163" customFormat="false" ht="15" hidden="false" customHeight="false" outlineLevel="0" collapsed="false">
      <c r="A163" s="24" t="n">
        <f aca="false">ROUND(A162+0.01,2)</f>
        <v>72.58</v>
      </c>
      <c r="B163" s="25" t="n">
        <f aca="false">INDEX(Bang_F,MATCH(A163,Bang_Z,1))+(A163-INDEX(Bang_Z,MATCH(A163,Bang_Z,1)))*(INDEX(Bang_F,MATCH(A163,Bang_Z,1)+1)-INDEX(Bang_F,MATCH(A163,Bang_Z,1)))</f>
        <v>4.927</v>
      </c>
      <c r="C163" s="25" t="n">
        <f aca="false">INDEX(Bang_W,MATCH(A163,Bang_Z,1))+(A163-INDEX(Bang_Z,MATCH(A163,Bang_Z,1)))*(INDEX(Bang_F,MATCH(A163,Bang_Z,1))+B163)/2</f>
        <v>24.56333</v>
      </c>
      <c r="D163" s="26" t="n">
        <f aca="false">MAX(A163-TC_Z,0)</f>
        <v>0</v>
      </c>
      <c r="E163" s="27" t="n">
        <f aca="false">1-0.2*(TC_xmb+(TC_n-1)*TC_xmt)*D163/(TC_n*TC_b)</f>
        <v>1</v>
      </c>
      <c r="F163" s="28" t="n">
        <f aca="false">TC_s*E163*TC_m*TC_n*TC_b*SQRT(2*g_)*D163^1.5</f>
        <v>0</v>
      </c>
      <c r="G163" s="29" t="n">
        <f aca="false">MAX(A163-SC_Z,0)</f>
        <v>1.58</v>
      </c>
      <c r="H163" s="30" t="n">
        <f aca="false">1-0.2*(SC_xmb+(SC_n-1)*SC_xmt)*G163/(SC_n*SC_b)</f>
        <v>0.95576</v>
      </c>
      <c r="I163" s="31" t="n">
        <f aca="false">SC_s*H163*SC_m*SC_n*SC_b*SQRT(2*g_)*G163^1.5</f>
        <v>18.9176201413291</v>
      </c>
      <c r="J163" s="32" t="n">
        <f aca="false">F163+I163</f>
        <v>18.9176201413291</v>
      </c>
      <c r="K163" s="32" t="n">
        <f aca="false">F163</f>
        <v>0</v>
      </c>
      <c r="L163" s="32" t="n">
        <f aca="false">C163*1000000/dt_s+J163/2</f>
        <v>6832.60603229288</v>
      </c>
      <c r="M163" s="32" t="n">
        <f aca="false">C163*1000000/dt_s+K163/2</f>
        <v>6823.14722222222</v>
      </c>
    </row>
    <row r="164" customFormat="false" ht="15" hidden="false" customHeight="false" outlineLevel="0" collapsed="false">
      <c r="A164" s="24" t="n">
        <f aca="false">ROUND(A163+0.01,2)</f>
        <v>72.59</v>
      </c>
      <c r="B164" s="25" t="n">
        <f aca="false">INDEX(Bang_F,MATCH(A164,Bang_Z,1))+(A164-INDEX(Bang_Z,MATCH(A164,Bang_Z,1)))*(INDEX(Bang_F,MATCH(A164,Bang_Z,1)+1)-INDEX(Bang_F,MATCH(A164,Bang_Z,1)))</f>
        <v>4.9335</v>
      </c>
      <c r="C164" s="25" t="n">
        <f aca="false">INDEX(Bang_W,MATCH(A164,Bang_Z,1))+(A164-INDEX(Bang_Z,MATCH(A164,Bang_Z,1)))*(INDEX(Bang_F,MATCH(A164,Bang_Z,1))+B164)/2</f>
        <v>24.6126325</v>
      </c>
      <c r="D164" s="26" t="n">
        <f aca="false">MAX(A164-TC_Z,0)</f>
        <v>0</v>
      </c>
      <c r="E164" s="27" t="n">
        <f aca="false">1-0.2*(TC_xmb+(TC_n-1)*TC_xmt)*D164/(TC_n*TC_b)</f>
        <v>1</v>
      </c>
      <c r="F164" s="28" t="n">
        <f aca="false">TC_s*E164*TC_m*TC_n*TC_b*SQRT(2*g_)*D164^1.5</f>
        <v>0</v>
      </c>
      <c r="G164" s="29" t="n">
        <f aca="false">MAX(A164-SC_Z,0)</f>
        <v>1.59</v>
      </c>
      <c r="H164" s="30" t="n">
        <f aca="false">1-0.2*(SC_xmb+(SC_n-1)*SC_xmt)*G164/(SC_n*SC_b)</f>
        <v>0.95548</v>
      </c>
      <c r="I164" s="31" t="n">
        <f aca="false">SC_s*H164*SC_m*SC_n*SC_b*SQRT(2*g_)*G164^1.5</f>
        <v>19.0919068602703</v>
      </c>
      <c r="J164" s="32" t="n">
        <f aca="false">F164+I164</f>
        <v>19.0919068602703</v>
      </c>
      <c r="K164" s="32" t="n">
        <f aca="false">F164</f>
        <v>0</v>
      </c>
      <c r="L164" s="32" t="n">
        <f aca="false">C164*1000000/dt_s+J164/2</f>
        <v>6846.38831454125</v>
      </c>
      <c r="M164" s="32" t="n">
        <f aca="false">C164*1000000/dt_s+K164/2</f>
        <v>6836.84236111112</v>
      </c>
    </row>
    <row r="165" customFormat="false" ht="15" hidden="false" customHeight="false" outlineLevel="0" collapsed="false">
      <c r="A165" s="24" t="n">
        <f aca="false">ROUND(A164+0.01,2)</f>
        <v>72.6</v>
      </c>
      <c r="B165" s="25" t="n">
        <f aca="false">INDEX(Bang_F,MATCH(A165,Bang_Z,1))+(A165-INDEX(Bang_Z,MATCH(A165,Bang_Z,1)))*(INDEX(Bang_F,MATCH(A165,Bang_Z,1)+1)-INDEX(Bang_F,MATCH(A165,Bang_Z,1)))</f>
        <v>4.94</v>
      </c>
      <c r="C165" s="25" t="n">
        <f aca="false">INDEX(Bang_W,MATCH(A165,Bang_Z,1))+(A165-INDEX(Bang_Z,MATCH(A165,Bang_Z,1)))*(INDEX(Bang_F,MATCH(A165,Bang_Z,1))+B165)/2</f>
        <v>24.662</v>
      </c>
      <c r="D165" s="26" t="n">
        <f aca="false">MAX(A165-TC_Z,0)</f>
        <v>0</v>
      </c>
      <c r="E165" s="27" t="n">
        <f aca="false">1-0.2*(TC_xmb+(TC_n-1)*TC_xmt)*D165/(TC_n*TC_b)</f>
        <v>1</v>
      </c>
      <c r="F165" s="28" t="n">
        <f aca="false">TC_s*E165*TC_m*TC_n*TC_b*SQRT(2*g_)*D165^1.5</f>
        <v>0</v>
      </c>
      <c r="G165" s="29" t="n">
        <f aca="false">MAX(A165-SC_Z,0)</f>
        <v>1.59999999999999</v>
      </c>
      <c r="H165" s="30" t="n">
        <f aca="false">1-0.2*(SC_xmb+(SC_n-1)*SC_xmt)*G165/(SC_n*SC_b)</f>
        <v>0.9552</v>
      </c>
      <c r="I165" s="31" t="n">
        <f aca="false">SC_s*H165*SC_m*SC_n*SC_b*SQRT(2*g_)*G165^1.5</f>
        <v>19.2666544092079</v>
      </c>
      <c r="J165" s="32" t="n">
        <f aca="false">F165+I165</f>
        <v>19.2666544092079</v>
      </c>
      <c r="K165" s="32" t="n">
        <f aca="false">F165</f>
        <v>0</v>
      </c>
      <c r="L165" s="32" t="n">
        <f aca="false">C165*1000000/dt_s+J165/2</f>
        <v>6860.18888276015</v>
      </c>
      <c r="M165" s="32" t="n">
        <f aca="false">C165*1000000/dt_s+K165/2</f>
        <v>6850.55555555555</v>
      </c>
    </row>
    <row r="166" customFormat="false" ht="15" hidden="false" customHeight="false" outlineLevel="0" collapsed="false">
      <c r="A166" s="24" t="n">
        <f aca="false">ROUND(A165+0.01,2)</f>
        <v>72.61</v>
      </c>
      <c r="B166" s="25" t="n">
        <f aca="false">INDEX(Bang_F,MATCH(A166,Bang_Z,1))+(A166-INDEX(Bang_Z,MATCH(A166,Bang_Z,1)))*(INDEX(Bang_F,MATCH(A166,Bang_Z,1)+1)-INDEX(Bang_F,MATCH(A166,Bang_Z,1)))</f>
        <v>4.9465</v>
      </c>
      <c r="C166" s="25" t="n">
        <f aca="false">INDEX(Bang_W,MATCH(A166,Bang_Z,1))+(A166-INDEX(Bang_Z,MATCH(A166,Bang_Z,1)))*(INDEX(Bang_F,MATCH(A166,Bang_Z,1))+B166)/2</f>
        <v>24.7114325</v>
      </c>
      <c r="D166" s="26" t="n">
        <f aca="false">MAX(A166-TC_Z,0)</f>
        <v>0</v>
      </c>
      <c r="E166" s="27" t="n">
        <f aca="false">1-0.2*(TC_xmb+(TC_n-1)*TC_xmt)*D166/(TC_n*TC_b)</f>
        <v>1</v>
      </c>
      <c r="F166" s="28" t="n">
        <f aca="false">TC_s*E166*TC_m*TC_n*TC_b*SQRT(2*g_)*D166^1.5</f>
        <v>0</v>
      </c>
      <c r="G166" s="29" t="n">
        <f aca="false">MAX(A166-SC_Z,0)</f>
        <v>1.61</v>
      </c>
      <c r="H166" s="30" t="n">
        <f aca="false">1-0.2*(SC_xmb+(SC_n-1)*SC_xmt)*G166/(SC_n*SC_b)</f>
        <v>0.95492</v>
      </c>
      <c r="I166" s="31" t="n">
        <f aca="false">SC_s*H166*SC_m*SC_n*SC_b*SQRT(2*g_)*G166^1.5</f>
        <v>19.4418605184758</v>
      </c>
      <c r="J166" s="32" t="n">
        <f aca="false">F166+I166</f>
        <v>19.4418605184758</v>
      </c>
      <c r="K166" s="32" t="n">
        <f aca="false">F166</f>
        <v>0</v>
      </c>
      <c r="L166" s="32" t="n">
        <f aca="false">C166*1000000/dt_s+J166/2</f>
        <v>6874.00773581479</v>
      </c>
      <c r="M166" s="32" t="n">
        <f aca="false">C166*1000000/dt_s+K166/2</f>
        <v>6864.28680555556</v>
      </c>
    </row>
    <row r="167" customFormat="false" ht="15" hidden="false" customHeight="false" outlineLevel="0" collapsed="false">
      <c r="A167" s="24" t="n">
        <f aca="false">ROUND(A166+0.01,2)</f>
        <v>72.62</v>
      </c>
      <c r="B167" s="25" t="n">
        <f aca="false">INDEX(Bang_F,MATCH(A167,Bang_Z,1))+(A167-INDEX(Bang_Z,MATCH(A167,Bang_Z,1)))*(INDEX(Bang_F,MATCH(A167,Bang_Z,1)+1)-INDEX(Bang_F,MATCH(A167,Bang_Z,1)))</f>
        <v>4.953</v>
      </c>
      <c r="C167" s="25" t="n">
        <f aca="false">INDEX(Bang_W,MATCH(A167,Bang_Z,1))+(A167-INDEX(Bang_Z,MATCH(A167,Bang_Z,1)))*(INDEX(Bang_F,MATCH(A167,Bang_Z,1))+B167)/2</f>
        <v>24.76093</v>
      </c>
      <c r="D167" s="26" t="n">
        <f aca="false">MAX(A167-TC_Z,0)</f>
        <v>0</v>
      </c>
      <c r="E167" s="27" t="n">
        <f aca="false">1-0.2*(TC_xmb+(TC_n-1)*TC_xmt)*D167/(TC_n*TC_b)</f>
        <v>1</v>
      </c>
      <c r="F167" s="28" t="n">
        <f aca="false">TC_s*E167*TC_m*TC_n*TC_b*SQRT(2*g_)*D167^1.5</f>
        <v>0</v>
      </c>
      <c r="G167" s="29" t="n">
        <f aca="false">MAX(A167-SC_Z,0)</f>
        <v>1.62</v>
      </c>
      <c r="H167" s="30" t="n">
        <f aca="false">1-0.2*(SC_xmb+(SC_n-1)*SC_xmt)*G167/(SC_n*SC_b)</f>
        <v>0.95464</v>
      </c>
      <c r="I167" s="31" t="n">
        <f aca="false">SC_s*H167*SC_m*SC_n*SC_b*SQRT(2*g_)*G167^1.5</f>
        <v>19.6175229370132</v>
      </c>
      <c r="J167" s="32" t="n">
        <f aca="false">F167+I167</f>
        <v>19.6175229370132</v>
      </c>
      <c r="K167" s="32" t="n">
        <f aca="false">F167</f>
        <v>0</v>
      </c>
      <c r="L167" s="32" t="n">
        <f aca="false">C167*1000000/dt_s+J167/2</f>
        <v>6887.84487257962</v>
      </c>
      <c r="M167" s="32" t="n">
        <f aca="false">C167*1000000/dt_s+K167/2</f>
        <v>6878.03611111112</v>
      </c>
    </row>
    <row r="168" customFormat="false" ht="15" hidden="false" customHeight="false" outlineLevel="0" collapsed="false">
      <c r="A168" s="24" t="n">
        <f aca="false">ROUND(A167+0.01,2)</f>
        <v>72.63</v>
      </c>
      <c r="B168" s="25" t="n">
        <f aca="false">INDEX(Bang_F,MATCH(A168,Bang_Z,1))+(A168-INDEX(Bang_Z,MATCH(A168,Bang_Z,1)))*(INDEX(Bang_F,MATCH(A168,Bang_Z,1)+1)-INDEX(Bang_F,MATCH(A168,Bang_Z,1)))</f>
        <v>4.9595</v>
      </c>
      <c r="C168" s="25" t="n">
        <f aca="false">INDEX(Bang_W,MATCH(A168,Bang_Z,1))+(A168-INDEX(Bang_Z,MATCH(A168,Bang_Z,1)))*(INDEX(Bang_F,MATCH(A168,Bang_Z,1))+B168)/2</f>
        <v>24.8104925</v>
      </c>
      <c r="D168" s="26" t="n">
        <f aca="false">MAX(A168-TC_Z,0)</f>
        <v>0</v>
      </c>
      <c r="E168" s="27" t="n">
        <f aca="false">1-0.2*(TC_xmb+(TC_n-1)*TC_xmt)*D168/(TC_n*TC_b)</f>
        <v>1</v>
      </c>
      <c r="F168" s="28" t="n">
        <f aca="false">TC_s*E168*TC_m*TC_n*TC_b*SQRT(2*g_)*D168^1.5</f>
        <v>0</v>
      </c>
      <c r="G168" s="29" t="n">
        <f aca="false">MAX(A168-SC_Z,0)</f>
        <v>1.63</v>
      </c>
      <c r="H168" s="30" t="n">
        <f aca="false">1-0.2*(SC_xmb+(SC_n-1)*SC_xmt)*G168/(SC_n*SC_b)</f>
        <v>0.95436</v>
      </c>
      <c r="I168" s="31" t="n">
        <f aca="false">SC_s*H168*SC_m*SC_n*SC_b*SQRT(2*g_)*G168^1.5</f>
        <v>19.7936394320855</v>
      </c>
      <c r="J168" s="32" t="n">
        <f aca="false">F168+I168</f>
        <v>19.7936394320855</v>
      </c>
      <c r="K168" s="32" t="n">
        <f aca="false">F168</f>
        <v>0</v>
      </c>
      <c r="L168" s="32" t="n">
        <f aca="false">C168*1000000/dt_s+J168/2</f>
        <v>6901.70029193826</v>
      </c>
      <c r="M168" s="32" t="n">
        <f aca="false">C168*1000000/dt_s+K168/2</f>
        <v>6891.80347222222</v>
      </c>
    </row>
    <row r="169" customFormat="false" ht="15" hidden="false" customHeight="false" outlineLevel="0" collapsed="false">
      <c r="A169" s="24" t="n">
        <f aca="false">ROUND(A168+0.01,2)</f>
        <v>72.64</v>
      </c>
      <c r="B169" s="25" t="n">
        <f aca="false">INDEX(Bang_F,MATCH(A169,Bang_Z,1))+(A169-INDEX(Bang_Z,MATCH(A169,Bang_Z,1)))*(INDEX(Bang_F,MATCH(A169,Bang_Z,1)+1)-INDEX(Bang_F,MATCH(A169,Bang_Z,1)))</f>
        <v>4.966</v>
      </c>
      <c r="C169" s="25" t="n">
        <f aca="false">INDEX(Bang_W,MATCH(A169,Bang_Z,1))+(A169-INDEX(Bang_Z,MATCH(A169,Bang_Z,1)))*(INDEX(Bang_F,MATCH(A169,Bang_Z,1))+B169)/2</f>
        <v>24.86012</v>
      </c>
      <c r="D169" s="26" t="n">
        <f aca="false">MAX(A169-TC_Z,0)</f>
        <v>0</v>
      </c>
      <c r="E169" s="27" t="n">
        <f aca="false">1-0.2*(TC_xmb+(TC_n-1)*TC_xmt)*D169/(TC_n*TC_b)</f>
        <v>1</v>
      </c>
      <c r="F169" s="28" t="n">
        <f aca="false">TC_s*E169*TC_m*TC_n*TC_b*SQRT(2*g_)*D169^1.5</f>
        <v>0</v>
      </c>
      <c r="G169" s="29" t="n">
        <f aca="false">MAX(A169-SC_Z,0)</f>
        <v>1.64</v>
      </c>
      <c r="H169" s="30" t="n">
        <f aca="false">1-0.2*(SC_xmb+(SC_n-1)*SC_xmt)*G169/(SC_n*SC_b)</f>
        <v>0.95408</v>
      </c>
      <c r="I169" s="31" t="n">
        <f aca="false">SC_s*H169*SC_m*SC_n*SC_b*SQRT(2*g_)*G169^1.5</f>
        <v>19.9702077890116</v>
      </c>
      <c r="J169" s="32" t="n">
        <f aca="false">F169+I169</f>
        <v>19.9702077890116</v>
      </c>
      <c r="K169" s="32" t="n">
        <f aca="false">F169</f>
        <v>0</v>
      </c>
      <c r="L169" s="32" t="n">
        <f aca="false">C169*1000000/dt_s+J169/2</f>
        <v>6915.5739927834</v>
      </c>
      <c r="M169" s="32" t="n">
        <f aca="false">C169*1000000/dt_s+K169/2</f>
        <v>6905.58888888889</v>
      </c>
    </row>
    <row r="170" customFormat="false" ht="15" hidden="false" customHeight="false" outlineLevel="0" collapsed="false">
      <c r="A170" s="24" t="n">
        <f aca="false">ROUND(A169+0.01,2)</f>
        <v>72.65</v>
      </c>
      <c r="B170" s="25" t="n">
        <f aca="false">INDEX(Bang_F,MATCH(A170,Bang_Z,1))+(A170-INDEX(Bang_Z,MATCH(A170,Bang_Z,1)))*(INDEX(Bang_F,MATCH(A170,Bang_Z,1)+1)-INDEX(Bang_F,MATCH(A170,Bang_Z,1)))</f>
        <v>4.9725</v>
      </c>
      <c r="C170" s="25" t="n">
        <f aca="false">INDEX(Bang_W,MATCH(A170,Bang_Z,1))+(A170-INDEX(Bang_Z,MATCH(A170,Bang_Z,1)))*(INDEX(Bang_F,MATCH(A170,Bang_Z,1))+B170)/2</f>
        <v>24.9098125</v>
      </c>
      <c r="D170" s="26" t="n">
        <f aca="false">MAX(A170-TC_Z,0)</f>
        <v>0</v>
      </c>
      <c r="E170" s="27" t="n">
        <f aca="false">1-0.2*(TC_xmb+(TC_n-1)*TC_xmt)*D170/(TC_n*TC_b)</f>
        <v>1</v>
      </c>
      <c r="F170" s="28" t="n">
        <f aca="false">TC_s*E170*TC_m*TC_n*TC_b*SQRT(2*g_)*D170^1.5</f>
        <v>0</v>
      </c>
      <c r="G170" s="29" t="n">
        <f aca="false">MAX(A170-SC_Z,0)</f>
        <v>1.65000000000001</v>
      </c>
      <c r="H170" s="30" t="n">
        <f aca="false">1-0.2*(SC_xmb+(SC_n-1)*SC_xmt)*G170/(SC_n*SC_b)</f>
        <v>0.9538</v>
      </c>
      <c r="I170" s="31" t="n">
        <f aca="false">SC_s*H170*SC_m*SC_n*SC_b*SQRT(2*g_)*G170^1.5</f>
        <v>20.1472258108943</v>
      </c>
      <c r="J170" s="32" t="n">
        <f aca="false">F170+I170</f>
        <v>20.1472258108943</v>
      </c>
      <c r="K170" s="32" t="n">
        <f aca="false">F170</f>
        <v>0</v>
      </c>
      <c r="L170" s="32" t="n">
        <f aca="false">C170*1000000/dt_s+J170/2</f>
        <v>6929.46597401657</v>
      </c>
      <c r="M170" s="32" t="n">
        <f aca="false">C170*1000000/dt_s+K170/2</f>
        <v>6919.39236111112</v>
      </c>
    </row>
    <row r="171" customFormat="false" ht="15" hidden="false" customHeight="false" outlineLevel="0" collapsed="false">
      <c r="A171" s="24" t="n">
        <f aca="false">ROUND(A170+0.01,2)</f>
        <v>72.66</v>
      </c>
      <c r="B171" s="25" t="n">
        <f aca="false">INDEX(Bang_F,MATCH(A171,Bang_Z,1))+(A171-INDEX(Bang_Z,MATCH(A171,Bang_Z,1)))*(INDEX(Bang_F,MATCH(A171,Bang_Z,1)+1)-INDEX(Bang_F,MATCH(A171,Bang_Z,1)))</f>
        <v>4.979</v>
      </c>
      <c r="C171" s="25" t="n">
        <f aca="false">INDEX(Bang_W,MATCH(A171,Bang_Z,1))+(A171-INDEX(Bang_Z,MATCH(A171,Bang_Z,1)))*(INDEX(Bang_F,MATCH(A171,Bang_Z,1))+B171)/2</f>
        <v>24.95957</v>
      </c>
      <c r="D171" s="26" t="n">
        <f aca="false">MAX(A171-TC_Z,0)</f>
        <v>0</v>
      </c>
      <c r="E171" s="27" t="n">
        <f aca="false">1-0.2*(TC_xmb+(TC_n-1)*TC_xmt)*D171/(TC_n*TC_b)</f>
        <v>1</v>
      </c>
      <c r="F171" s="28" t="n">
        <f aca="false">TC_s*E171*TC_m*TC_n*TC_b*SQRT(2*g_)*D171^1.5</f>
        <v>0</v>
      </c>
      <c r="G171" s="29" t="n">
        <f aca="false">MAX(A171-SC_Z,0)</f>
        <v>1.66</v>
      </c>
      <c r="H171" s="30" t="n">
        <f aca="false">1-0.2*(SC_xmb+(SC_n-1)*SC_xmt)*G171/(SC_n*SC_b)</f>
        <v>0.95352</v>
      </c>
      <c r="I171" s="31" t="n">
        <f aca="false">SC_s*H171*SC_m*SC_n*SC_b*SQRT(2*g_)*G171^1.5</f>
        <v>20.3246913183588</v>
      </c>
      <c r="J171" s="32" t="n">
        <f aca="false">F171+I171</f>
        <v>20.3246913183588</v>
      </c>
      <c r="K171" s="32" t="n">
        <f aca="false">F171</f>
        <v>0</v>
      </c>
      <c r="L171" s="32" t="n">
        <f aca="false">C171*1000000/dt_s+J171/2</f>
        <v>6943.37623454806</v>
      </c>
      <c r="M171" s="32" t="n">
        <f aca="false">C171*1000000/dt_s+K171/2</f>
        <v>6933.21388888889</v>
      </c>
    </row>
    <row r="172" customFormat="false" ht="15" hidden="false" customHeight="false" outlineLevel="0" collapsed="false">
      <c r="A172" s="24" t="n">
        <f aca="false">ROUND(A171+0.01,2)</f>
        <v>72.67</v>
      </c>
      <c r="B172" s="25" t="n">
        <f aca="false">INDEX(Bang_F,MATCH(A172,Bang_Z,1))+(A172-INDEX(Bang_Z,MATCH(A172,Bang_Z,1)))*(INDEX(Bang_F,MATCH(A172,Bang_Z,1)+1)-INDEX(Bang_F,MATCH(A172,Bang_Z,1)))</f>
        <v>4.9855</v>
      </c>
      <c r="C172" s="25" t="n">
        <f aca="false">INDEX(Bang_W,MATCH(A172,Bang_Z,1))+(A172-INDEX(Bang_Z,MATCH(A172,Bang_Z,1)))*(INDEX(Bang_F,MATCH(A172,Bang_Z,1))+B172)/2</f>
        <v>25.0093925</v>
      </c>
      <c r="D172" s="26" t="n">
        <f aca="false">MAX(A172-TC_Z,0)</f>
        <v>0</v>
      </c>
      <c r="E172" s="27" t="n">
        <f aca="false">1-0.2*(TC_xmb+(TC_n-1)*TC_xmt)*D172/(TC_n*TC_b)</f>
        <v>1</v>
      </c>
      <c r="F172" s="28" t="n">
        <f aca="false">TC_s*E172*TC_m*TC_n*TC_b*SQRT(2*g_)*D172^1.5</f>
        <v>0</v>
      </c>
      <c r="G172" s="29" t="n">
        <f aca="false">MAX(A172-SC_Z,0)</f>
        <v>1.67</v>
      </c>
      <c r="H172" s="30" t="n">
        <f aca="false">1-0.2*(SC_xmb+(SC_n-1)*SC_xmt)*G172/(SC_n*SC_b)</f>
        <v>0.95324</v>
      </c>
      <c r="I172" s="31" t="n">
        <f aca="false">SC_s*H172*SC_m*SC_n*SC_b*SQRT(2*g_)*G172^1.5</f>
        <v>20.502602149297</v>
      </c>
      <c r="J172" s="32" t="n">
        <f aca="false">F172+I172</f>
        <v>20.502602149297</v>
      </c>
      <c r="K172" s="32" t="n">
        <f aca="false">F172</f>
        <v>0</v>
      </c>
      <c r="L172" s="32" t="n">
        <f aca="false">C172*1000000/dt_s+J172/2</f>
        <v>6957.30477329687</v>
      </c>
      <c r="M172" s="32" t="n">
        <f aca="false">C172*1000000/dt_s+K172/2</f>
        <v>6947.05347222223</v>
      </c>
    </row>
    <row r="173" customFormat="false" ht="15" hidden="false" customHeight="false" outlineLevel="0" collapsed="false">
      <c r="A173" s="24" t="n">
        <f aca="false">ROUND(A172+0.01,2)</f>
        <v>72.68</v>
      </c>
      <c r="B173" s="25" t="n">
        <f aca="false">INDEX(Bang_F,MATCH(A173,Bang_Z,1))+(A173-INDEX(Bang_Z,MATCH(A173,Bang_Z,1)))*(INDEX(Bang_F,MATCH(A173,Bang_Z,1)+1)-INDEX(Bang_F,MATCH(A173,Bang_Z,1)))</f>
        <v>4.992</v>
      </c>
      <c r="C173" s="25" t="n">
        <f aca="false">INDEX(Bang_W,MATCH(A173,Bang_Z,1))+(A173-INDEX(Bang_Z,MATCH(A173,Bang_Z,1)))*(INDEX(Bang_F,MATCH(A173,Bang_Z,1))+B173)/2</f>
        <v>25.05928</v>
      </c>
      <c r="D173" s="26" t="n">
        <f aca="false">MAX(A173-TC_Z,0)</f>
        <v>0</v>
      </c>
      <c r="E173" s="27" t="n">
        <f aca="false">1-0.2*(TC_xmb+(TC_n-1)*TC_xmt)*D173/(TC_n*TC_b)</f>
        <v>1</v>
      </c>
      <c r="F173" s="28" t="n">
        <f aca="false">TC_s*E173*TC_m*TC_n*TC_b*SQRT(2*g_)*D173^1.5</f>
        <v>0</v>
      </c>
      <c r="G173" s="29" t="n">
        <f aca="false">MAX(A173-SC_Z,0)</f>
        <v>1.68000000000001</v>
      </c>
      <c r="H173" s="30" t="n">
        <f aca="false">1-0.2*(SC_xmb+(SC_n-1)*SC_xmt)*G173/(SC_n*SC_b)</f>
        <v>0.95296</v>
      </c>
      <c r="I173" s="31" t="n">
        <f aca="false">SC_s*H173*SC_m*SC_n*SC_b*SQRT(2*g_)*G173^1.5</f>
        <v>20.680956158614</v>
      </c>
      <c r="J173" s="32" t="n">
        <f aca="false">F173+I173</f>
        <v>20.680956158614</v>
      </c>
      <c r="K173" s="32" t="n">
        <f aca="false">F173</f>
        <v>0</v>
      </c>
      <c r="L173" s="32" t="n">
        <f aca="false">C173*1000000/dt_s+J173/2</f>
        <v>6971.25158919043</v>
      </c>
      <c r="M173" s="32" t="n">
        <f aca="false">C173*1000000/dt_s+K173/2</f>
        <v>6960.91111111112</v>
      </c>
    </row>
    <row r="174" customFormat="false" ht="15" hidden="false" customHeight="false" outlineLevel="0" collapsed="false">
      <c r="A174" s="24" t="n">
        <f aca="false">ROUND(A173+0.01,2)</f>
        <v>72.69</v>
      </c>
      <c r="B174" s="25" t="n">
        <f aca="false">INDEX(Bang_F,MATCH(A174,Bang_Z,1))+(A174-INDEX(Bang_Z,MATCH(A174,Bang_Z,1)))*(INDEX(Bang_F,MATCH(A174,Bang_Z,1)+1)-INDEX(Bang_F,MATCH(A174,Bang_Z,1)))</f>
        <v>4.9985</v>
      </c>
      <c r="C174" s="25" t="n">
        <f aca="false">INDEX(Bang_W,MATCH(A174,Bang_Z,1))+(A174-INDEX(Bang_Z,MATCH(A174,Bang_Z,1)))*(INDEX(Bang_F,MATCH(A174,Bang_Z,1))+B174)/2</f>
        <v>25.1092325</v>
      </c>
      <c r="D174" s="26" t="n">
        <f aca="false">MAX(A174-TC_Z,0)</f>
        <v>0</v>
      </c>
      <c r="E174" s="27" t="n">
        <f aca="false">1-0.2*(TC_xmb+(TC_n-1)*TC_xmt)*D174/(TC_n*TC_b)</f>
        <v>1</v>
      </c>
      <c r="F174" s="28" t="n">
        <f aca="false">TC_s*E174*TC_m*TC_n*TC_b*SQRT(2*g_)*D174^1.5</f>
        <v>0</v>
      </c>
      <c r="G174" s="29" t="n">
        <f aca="false">MAX(A174-SC_Z,0)</f>
        <v>1.69</v>
      </c>
      <c r="H174" s="30" t="n">
        <f aca="false">1-0.2*(SC_xmb+(SC_n-1)*SC_xmt)*G174/(SC_n*SC_b)</f>
        <v>0.95268</v>
      </c>
      <c r="I174" s="31" t="n">
        <f aca="false">SC_s*H174*SC_m*SC_n*SC_b*SQRT(2*g_)*G174^1.5</f>
        <v>20.8597512179825</v>
      </c>
      <c r="J174" s="32" t="n">
        <f aca="false">F174+I174</f>
        <v>20.8597512179825</v>
      </c>
      <c r="K174" s="32" t="n">
        <f aca="false">F174</f>
        <v>0</v>
      </c>
      <c r="L174" s="32" t="n">
        <f aca="false">C174*1000000/dt_s+J174/2</f>
        <v>6985.21668116454</v>
      </c>
      <c r="M174" s="32" t="n">
        <f aca="false">C174*1000000/dt_s+K174/2</f>
        <v>6974.78680555555</v>
      </c>
    </row>
    <row r="175" customFormat="false" ht="15" hidden="false" customHeight="false" outlineLevel="0" collapsed="false">
      <c r="A175" s="24" t="n">
        <f aca="false">ROUND(A174+0.01,2)</f>
        <v>72.7</v>
      </c>
      <c r="B175" s="25" t="n">
        <f aca="false">INDEX(Bang_F,MATCH(A175,Bang_Z,1))+(A175-INDEX(Bang_Z,MATCH(A175,Bang_Z,1)))*(INDEX(Bang_F,MATCH(A175,Bang_Z,1)+1)-INDEX(Bang_F,MATCH(A175,Bang_Z,1)))</f>
        <v>5.005</v>
      </c>
      <c r="C175" s="25" t="n">
        <f aca="false">INDEX(Bang_W,MATCH(A175,Bang_Z,1))+(A175-INDEX(Bang_Z,MATCH(A175,Bang_Z,1)))*(INDEX(Bang_F,MATCH(A175,Bang_Z,1))+B175)/2</f>
        <v>25.15925</v>
      </c>
      <c r="D175" s="26" t="n">
        <f aca="false">MAX(A175-TC_Z,0)</f>
        <v>0</v>
      </c>
      <c r="E175" s="27" t="n">
        <f aca="false">1-0.2*(TC_xmb+(TC_n-1)*TC_xmt)*D175/(TC_n*TC_b)</f>
        <v>1</v>
      </c>
      <c r="F175" s="28" t="n">
        <f aca="false">TC_s*E175*TC_m*TC_n*TC_b*SQRT(2*g_)*D175^1.5</f>
        <v>0</v>
      </c>
      <c r="G175" s="29" t="n">
        <f aca="false">MAX(A175-SC_Z,0)</f>
        <v>1.7</v>
      </c>
      <c r="H175" s="30" t="n">
        <f aca="false">1-0.2*(SC_xmb+(SC_n-1)*SC_xmt)*G175/(SC_n*SC_b)</f>
        <v>0.9524</v>
      </c>
      <c r="I175" s="31" t="n">
        <f aca="false">SC_s*H175*SC_m*SC_n*SC_b*SQRT(2*g_)*G175^1.5</f>
        <v>21.0389852156029</v>
      </c>
      <c r="J175" s="32" t="n">
        <f aca="false">F175+I175</f>
        <v>21.0389852156029</v>
      </c>
      <c r="K175" s="32" t="n">
        <f aca="false">F175</f>
        <v>0</v>
      </c>
      <c r="L175" s="32" t="n">
        <f aca="false">C175*1000000/dt_s+J175/2</f>
        <v>6999.20004816336</v>
      </c>
      <c r="M175" s="32" t="n">
        <f aca="false">C175*1000000/dt_s+K175/2</f>
        <v>6988.68055555556</v>
      </c>
    </row>
    <row r="176" customFormat="false" ht="15" hidden="false" customHeight="false" outlineLevel="0" collapsed="false">
      <c r="A176" s="24" t="n">
        <f aca="false">ROUND(A175+0.01,2)</f>
        <v>72.71</v>
      </c>
      <c r="B176" s="25" t="n">
        <f aca="false">INDEX(Bang_F,MATCH(A176,Bang_Z,1))+(A176-INDEX(Bang_Z,MATCH(A176,Bang_Z,1)))*(INDEX(Bang_F,MATCH(A176,Bang_Z,1)+1)-INDEX(Bang_F,MATCH(A176,Bang_Z,1)))</f>
        <v>5.0115</v>
      </c>
      <c r="C176" s="25" t="n">
        <f aca="false">INDEX(Bang_W,MATCH(A176,Bang_Z,1))+(A176-INDEX(Bang_Z,MATCH(A176,Bang_Z,1)))*(INDEX(Bang_F,MATCH(A176,Bang_Z,1))+B176)/2</f>
        <v>25.2093325</v>
      </c>
      <c r="D176" s="26" t="n">
        <f aca="false">MAX(A176-TC_Z,0)</f>
        <v>0</v>
      </c>
      <c r="E176" s="27" t="n">
        <f aca="false">1-0.2*(TC_xmb+(TC_n-1)*TC_xmt)*D176/(TC_n*TC_b)</f>
        <v>1</v>
      </c>
      <c r="F176" s="28" t="n">
        <f aca="false">TC_s*E176*TC_m*TC_n*TC_b*SQRT(2*g_)*D176^1.5</f>
        <v>0</v>
      </c>
      <c r="G176" s="29" t="n">
        <f aca="false">MAX(A176-SC_Z,0)</f>
        <v>1.70999999999999</v>
      </c>
      <c r="H176" s="30" t="n">
        <f aca="false">1-0.2*(SC_xmb+(SC_n-1)*SC_xmt)*G176/(SC_n*SC_b)</f>
        <v>0.95212</v>
      </c>
      <c r="I176" s="31" t="n">
        <f aca="false">SC_s*H176*SC_m*SC_n*SC_b*SQRT(2*g_)*G176^1.5</f>
        <v>21.2186560559646</v>
      </c>
      <c r="J176" s="32" t="n">
        <f aca="false">F176+I176</f>
        <v>21.2186560559646</v>
      </c>
      <c r="K176" s="32" t="n">
        <f aca="false">F176</f>
        <v>0</v>
      </c>
      <c r="L176" s="32" t="n">
        <f aca="false">C176*1000000/dt_s+J176/2</f>
        <v>7013.20168913909</v>
      </c>
      <c r="M176" s="32" t="n">
        <f aca="false">C176*1000000/dt_s+K176/2</f>
        <v>7002.5923611111</v>
      </c>
    </row>
    <row r="177" customFormat="false" ht="15" hidden="false" customHeight="false" outlineLevel="0" collapsed="false">
      <c r="A177" s="24" t="n">
        <f aca="false">ROUND(A176+0.01,2)</f>
        <v>72.72</v>
      </c>
      <c r="B177" s="25" t="n">
        <f aca="false">INDEX(Bang_F,MATCH(A177,Bang_Z,1))+(A177-INDEX(Bang_Z,MATCH(A177,Bang_Z,1)))*(INDEX(Bang_F,MATCH(A177,Bang_Z,1)+1)-INDEX(Bang_F,MATCH(A177,Bang_Z,1)))</f>
        <v>5.018</v>
      </c>
      <c r="C177" s="25" t="n">
        <f aca="false">INDEX(Bang_W,MATCH(A177,Bang_Z,1))+(A177-INDEX(Bang_Z,MATCH(A177,Bang_Z,1)))*(INDEX(Bang_F,MATCH(A177,Bang_Z,1))+B177)/2</f>
        <v>25.25948</v>
      </c>
      <c r="D177" s="26" t="n">
        <f aca="false">MAX(A177-TC_Z,0)</f>
        <v>0</v>
      </c>
      <c r="E177" s="27" t="n">
        <f aca="false">1-0.2*(TC_xmb+(TC_n-1)*TC_xmt)*D177/(TC_n*TC_b)</f>
        <v>1</v>
      </c>
      <c r="F177" s="28" t="n">
        <f aca="false">TC_s*E177*TC_m*TC_n*TC_b*SQRT(2*g_)*D177^1.5</f>
        <v>0</v>
      </c>
      <c r="G177" s="29" t="n">
        <f aca="false">MAX(A177-SC_Z,0)</f>
        <v>1.72</v>
      </c>
      <c r="H177" s="30" t="n">
        <f aca="false">1-0.2*(SC_xmb+(SC_n-1)*SC_xmt)*G177/(SC_n*SC_b)</f>
        <v>0.95184</v>
      </c>
      <c r="I177" s="31" t="n">
        <f aca="false">SC_s*H177*SC_m*SC_n*SC_b*SQRT(2*g_)*G177^1.5</f>
        <v>21.3987616596168</v>
      </c>
      <c r="J177" s="32" t="n">
        <f aca="false">F177+I177</f>
        <v>21.3987616596168</v>
      </c>
      <c r="K177" s="32" t="n">
        <f aca="false">F177</f>
        <v>0</v>
      </c>
      <c r="L177" s="32" t="n">
        <f aca="false">C177*1000000/dt_s+J177/2</f>
        <v>7027.22160305203</v>
      </c>
      <c r="M177" s="32" t="n">
        <f aca="false">C177*1000000/dt_s+K177/2</f>
        <v>7016.52222222222</v>
      </c>
    </row>
    <row r="178" customFormat="false" ht="15" hidden="false" customHeight="false" outlineLevel="0" collapsed="false">
      <c r="A178" s="24" t="n">
        <f aca="false">ROUND(A177+0.01,2)</f>
        <v>72.73</v>
      </c>
      <c r="B178" s="25" t="n">
        <f aca="false">INDEX(Bang_F,MATCH(A178,Bang_Z,1))+(A178-INDEX(Bang_Z,MATCH(A178,Bang_Z,1)))*(INDEX(Bang_F,MATCH(A178,Bang_Z,1)+1)-INDEX(Bang_F,MATCH(A178,Bang_Z,1)))</f>
        <v>5.0245</v>
      </c>
      <c r="C178" s="25" t="n">
        <f aca="false">INDEX(Bang_W,MATCH(A178,Bang_Z,1))+(A178-INDEX(Bang_Z,MATCH(A178,Bang_Z,1)))*(INDEX(Bang_F,MATCH(A178,Bang_Z,1))+B178)/2</f>
        <v>25.3096925</v>
      </c>
      <c r="D178" s="26" t="n">
        <f aca="false">MAX(A178-TC_Z,0)</f>
        <v>0</v>
      </c>
      <c r="E178" s="27" t="n">
        <f aca="false">1-0.2*(TC_xmb+(TC_n-1)*TC_xmt)*D178/(TC_n*TC_b)</f>
        <v>1</v>
      </c>
      <c r="F178" s="28" t="n">
        <f aca="false">TC_s*E178*TC_m*TC_n*TC_b*SQRT(2*g_)*D178^1.5</f>
        <v>0</v>
      </c>
      <c r="G178" s="29" t="n">
        <f aca="false">MAX(A178-SC_Z,0)</f>
        <v>1.73</v>
      </c>
      <c r="H178" s="30" t="n">
        <f aca="false">1-0.2*(SC_xmb+(SC_n-1)*SC_xmt)*G178/(SC_n*SC_b)</f>
        <v>0.95156</v>
      </c>
      <c r="I178" s="31" t="n">
        <f aca="false">SC_s*H178*SC_m*SC_n*SC_b*SQRT(2*g_)*G178^1.5</f>
        <v>21.5792999629396</v>
      </c>
      <c r="J178" s="32" t="n">
        <f aca="false">F178+I178</f>
        <v>21.5792999629396</v>
      </c>
      <c r="K178" s="32" t="n">
        <f aca="false">F178</f>
        <v>0</v>
      </c>
      <c r="L178" s="32" t="n">
        <f aca="false">C178*1000000/dt_s+J178/2</f>
        <v>7041.25978887037</v>
      </c>
      <c r="M178" s="32" t="n">
        <f aca="false">C178*1000000/dt_s+K178/2</f>
        <v>7030.4701388889</v>
      </c>
    </row>
    <row r="179" customFormat="false" ht="15" hidden="false" customHeight="false" outlineLevel="0" collapsed="false">
      <c r="A179" s="24" t="n">
        <f aca="false">ROUND(A178+0.01,2)</f>
        <v>72.74</v>
      </c>
      <c r="B179" s="25" t="n">
        <f aca="false">INDEX(Bang_F,MATCH(A179,Bang_Z,1))+(A179-INDEX(Bang_Z,MATCH(A179,Bang_Z,1)))*(INDEX(Bang_F,MATCH(A179,Bang_Z,1)+1)-INDEX(Bang_F,MATCH(A179,Bang_Z,1)))</f>
        <v>5.031</v>
      </c>
      <c r="C179" s="25" t="n">
        <f aca="false">INDEX(Bang_W,MATCH(A179,Bang_Z,1))+(A179-INDEX(Bang_Z,MATCH(A179,Bang_Z,1)))*(INDEX(Bang_F,MATCH(A179,Bang_Z,1))+B179)/2</f>
        <v>25.35997</v>
      </c>
      <c r="D179" s="26" t="n">
        <f aca="false">MAX(A179-TC_Z,0)</f>
        <v>0</v>
      </c>
      <c r="E179" s="27" t="n">
        <f aca="false">1-0.2*(TC_xmb+(TC_n-1)*TC_xmt)*D179/(TC_n*TC_b)</f>
        <v>1</v>
      </c>
      <c r="F179" s="28" t="n">
        <f aca="false">TC_s*E179*TC_m*TC_n*TC_b*SQRT(2*g_)*D179^1.5</f>
        <v>0</v>
      </c>
      <c r="G179" s="29" t="n">
        <f aca="false">MAX(A179-SC_Z,0)</f>
        <v>1.73999999999999</v>
      </c>
      <c r="H179" s="30" t="n">
        <f aca="false">1-0.2*(SC_xmb+(SC_n-1)*SC_xmt)*G179/(SC_n*SC_b)</f>
        <v>0.95128</v>
      </c>
      <c r="I179" s="31" t="n">
        <f aca="false">SC_s*H179*SC_m*SC_n*SC_b*SQRT(2*g_)*G179^1.5</f>
        <v>21.7602689179223</v>
      </c>
      <c r="J179" s="32" t="n">
        <f aca="false">F179+I179</f>
        <v>21.7602689179223</v>
      </c>
      <c r="K179" s="32" t="n">
        <f aca="false">F179</f>
        <v>0</v>
      </c>
      <c r="L179" s="32" t="n">
        <f aca="false">C179*1000000/dt_s+J179/2</f>
        <v>7055.31624557007</v>
      </c>
      <c r="M179" s="32" t="n">
        <f aca="false">C179*1000000/dt_s+K179/2</f>
        <v>7044.4361111111</v>
      </c>
    </row>
    <row r="180" customFormat="false" ht="15" hidden="false" customHeight="false" outlineLevel="0" collapsed="false">
      <c r="A180" s="24" t="n">
        <f aca="false">ROUND(A179+0.01,2)</f>
        <v>72.75</v>
      </c>
      <c r="B180" s="25" t="n">
        <f aca="false">INDEX(Bang_F,MATCH(A180,Bang_Z,1))+(A180-INDEX(Bang_Z,MATCH(A180,Bang_Z,1)))*(INDEX(Bang_F,MATCH(A180,Bang_Z,1)+1)-INDEX(Bang_F,MATCH(A180,Bang_Z,1)))</f>
        <v>5.0375</v>
      </c>
      <c r="C180" s="25" t="n">
        <f aca="false">INDEX(Bang_W,MATCH(A180,Bang_Z,1))+(A180-INDEX(Bang_Z,MATCH(A180,Bang_Z,1)))*(INDEX(Bang_F,MATCH(A180,Bang_Z,1))+B180)/2</f>
        <v>25.4103125</v>
      </c>
      <c r="D180" s="26" t="n">
        <f aca="false">MAX(A180-TC_Z,0)</f>
        <v>0</v>
      </c>
      <c r="E180" s="27" t="n">
        <f aca="false">1-0.2*(TC_xmb+(TC_n-1)*TC_xmt)*D180/(TC_n*TC_b)</f>
        <v>1</v>
      </c>
      <c r="F180" s="28" t="n">
        <f aca="false">TC_s*E180*TC_m*TC_n*TC_b*SQRT(2*g_)*D180^1.5</f>
        <v>0</v>
      </c>
      <c r="G180" s="29" t="n">
        <f aca="false">MAX(A180-SC_Z,0)</f>
        <v>1.75</v>
      </c>
      <c r="H180" s="30" t="n">
        <f aca="false">1-0.2*(SC_xmb+(SC_n-1)*SC_xmt)*G180/(SC_n*SC_b)</f>
        <v>0.951</v>
      </c>
      <c r="I180" s="31" t="n">
        <f aca="false">SC_s*H180*SC_m*SC_n*SC_b*SQRT(2*g_)*G180^1.5</f>
        <v>21.9416664919465</v>
      </c>
      <c r="J180" s="32" t="n">
        <f aca="false">F180+I180</f>
        <v>21.9416664919465</v>
      </c>
      <c r="K180" s="32" t="n">
        <f aca="false">F180</f>
        <v>0</v>
      </c>
      <c r="L180" s="32" t="n">
        <f aca="false">C180*1000000/dt_s+J180/2</f>
        <v>7069.39097213486</v>
      </c>
      <c r="M180" s="32" t="n">
        <f aca="false">C180*1000000/dt_s+K180/2</f>
        <v>7058.42013888889</v>
      </c>
    </row>
    <row r="181" customFormat="false" ht="15" hidden="false" customHeight="false" outlineLevel="0" collapsed="false">
      <c r="A181" s="24" t="n">
        <f aca="false">ROUND(A180+0.01,2)</f>
        <v>72.76</v>
      </c>
      <c r="B181" s="25" t="n">
        <f aca="false">INDEX(Bang_F,MATCH(A181,Bang_Z,1))+(A181-INDEX(Bang_Z,MATCH(A181,Bang_Z,1)))*(INDEX(Bang_F,MATCH(A181,Bang_Z,1)+1)-INDEX(Bang_F,MATCH(A181,Bang_Z,1)))</f>
        <v>5.044</v>
      </c>
      <c r="C181" s="25" t="n">
        <f aca="false">INDEX(Bang_W,MATCH(A181,Bang_Z,1))+(A181-INDEX(Bang_Z,MATCH(A181,Bang_Z,1)))*(INDEX(Bang_F,MATCH(A181,Bang_Z,1))+B181)/2</f>
        <v>25.46072</v>
      </c>
      <c r="D181" s="26" t="n">
        <f aca="false">MAX(A181-TC_Z,0)</f>
        <v>0</v>
      </c>
      <c r="E181" s="27" t="n">
        <f aca="false">1-0.2*(TC_xmb+(TC_n-1)*TC_xmt)*D181/(TC_n*TC_b)</f>
        <v>1</v>
      </c>
      <c r="F181" s="28" t="n">
        <f aca="false">TC_s*E181*TC_m*TC_n*TC_b*SQRT(2*g_)*D181^1.5</f>
        <v>0</v>
      </c>
      <c r="G181" s="29" t="n">
        <f aca="false">MAX(A181-SC_Z,0)</f>
        <v>1.76000000000001</v>
      </c>
      <c r="H181" s="30" t="n">
        <f aca="false">1-0.2*(SC_xmb+(SC_n-1)*SC_xmt)*G181/(SC_n*SC_b)</f>
        <v>0.95072</v>
      </c>
      <c r="I181" s="31" t="n">
        <f aca="false">SC_s*H181*SC_m*SC_n*SC_b*SQRT(2*g_)*G181^1.5</f>
        <v>22.1234906675709</v>
      </c>
      <c r="J181" s="32" t="n">
        <f aca="false">F181+I181</f>
        <v>22.1234906675709</v>
      </c>
      <c r="K181" s="32" t="n">
        <f aca="false">F181</f>
        <v>0</v>
      </c>
      <c r="L181" s="32" t="n">
        <f aca="false">C181*1000000/dt_s+J181/2</f>
        <v>7083.48396755602</v>
      </c>
      <c r="M181" s="32" t="n">
        <f aca="false">C181*1000000/dt_s+K181/2</f>
        <v>7072.42222222223</v>
      </c>
    </row>
    <row r="182" customFormat="false" ht="15" hidden="false" customHeight="false" outlineLevel="0" collapsed="false">
      <c r="A182" s="24" t="n">
        <f aca="false">ROUND(A181+0.01,2)</f>
        <v>72.77</v>
      </c>
      <c r="B182" s="25" t="n">
        <f aca="false">INDEX(Bang_F,MATCH(A182,Bang_Z,1))+(A182-INDEX(Bang_Z,MATCH(A182,Bang_Z,1)))*(INDEX(Bang_F,MATCH(A182,Bang_Z,1)+1)-INDEX(Bang_F,MATCH(A182,Bang_Z,1)))</f>
        <v>5.0505</v>
      </c>
      <c r="C182" s="25" t="n">
        <f aca="false">INDEX(Bang_W,MATCH(A182,Bang_Z,1))+(A182-INDEX(Bang_Z,MATCH(A182,Bang_Z,1)))*(INDEX(Bang_F,MATCH(A182,Bang_Z,1))+B182)/2</f>
        <v>25.5111925</v>
      </c>
      <c r="D182" s="26" t="n">
        <f aca="false">MAX(A182-TC_Z,0)</f>
        <v>0</v>
      </c>
      <c r="E182" s="27" t="n">
        <f aca="false">1-0.2*(TC_xmb+(TC_n-1)*TC_xmt)*D182/(TC_n*TC_b)</f>
        <v>1</v>
      </c>
      <c r="F182" s="28" t="n">
        <f aca="false">TC_s*E182*TC_m*TC_n*TC_b*SQRT(2*g_)*D182^1.5</f>
        <v>0</v>
      </c>
      <c r="G182" s="29" t="n">
        <f aca="false">MAX(A182-SC_Z,0)</f>
        <v>1.77</v>
      </c>
      <c r="H182" s="30" t="n">
        <f aca="false">1-0.2*(SC_xmb+(SC_n-1)*SC_xmt)*G182/(SC_n*SC_b)</f>
        <v>0.95044</v>
      </c>
      <c r="I182" s="31" t="n">
        <f aca="false">SC_s*H182*SC_m*SC_n*SC_b*SQRT(2*g_)*G182^1.5</f>
        <v>22.3057394423224</v>
      </c>
      <c r="J182" s="32" t="n">
        <f aca="false">F182+I182</f>
        <v>22.3057394423224</v>
      </c>
      <c r="K182" s="32" t="n">
        <f aca="false">F182</f>
        <v>0</v>
      </c>
      <c r="L182" s="32" t="n">
        <f aca="false">C182*1000000/dt_s+J182/2</f>
        <v>7097.59523083227</v>
      </c>
      <c r="M182" s="32" t="n">
        <f aca="false">C182*1000000/dt_s+K182/2</f>
        <v>7086.44236111111</v>
      </c>
    </row>
    <row r="183" customFormat="false" ht="15" hidden="false" customHeight="false" outlineLevel="0" collapsed="false">
      <c r="A183" s="24" t="n">
        <f aca="false">ROUND(A182+0.01,2)</f>
        <v>72.78</v>
      </c>
      <c r="B183" s="25" t="n">
        <f aca="false">INDEX(Bang_F,MATCH(A183,Bang_Z,1))+(A183-INDEX(Bang_Z,MATCH(A183,Bang_Z,1)))*(INDEX(Bang_F,MATCH(A183,Bang_Z,1)+1)-INDEX(Bang_F,MATCH(A183,Bang_Z,1)))</f>
        <v>5.057</v>
      </c>
      <c r="C183" s="25" t="n">
        <f aca="false">INDEX(Bang_W,MATCH(A183,Bang_Z,1))+(A183-INDEX(Bang_Z,MATCH(A183,Bang_Z,1)))*(INDEX(Bang_F,MATCH(A183,Bang_Z,1))+B183)/2</f>
        <v>25.56173</v>
      </c>
      <c r="D183" s="26" t="n">
        <f aca="false">MAX(A183-TC_Z,0)</f>
        <v>0</v>
      </c>
      <c r="E183" s="27" t="n">
        <f aca="false">1-0.2*(TC_xmb+(TC_n-1)*TC_xmt)*D183/(TC_n*TC_b)</f>
        <v>1</v>
      </c>
      <c r="F183" s="28" t="n">
        <f aca="false">TC_s*E183*TC_m*TC_n*TC_b*SQRT(2*g_)*D183^1.5</f>
        <v>0</v>
      </c>
      <c r="G183" s="29" t="n">
        <f aca="false">MAX(A183-SC_Z,0)</f>
        <v>1.78</v>
      </c>
      <c r="H183" s="30" t="n">
        <f aca="false">1-0.2*(SC_xmb+(SC_n-1)*SC_xmt)*G183/(SC_n*SC_b)</f>
        <v>0.95016</v>
      </c>
      <c r="I183" s="31" t="n">
        <f aca="false">SC_s*H183*SC_m*SC_n*SC_b*SQRT(2*g_)*G183^1.5</f>
        <v>22.4884108284915</v>
      </c>
      <c r="J183" s="32" t="n">
        <f aca="false">F183+I183</f>
        <v>22.4884108284915</v>
      </c>
      <c r="K183" s="32" t="n">
        <f aca="false">F183</f>
        <v>0</v>
      </c>
      <c r="L183" s="32" t="n">
        <f aca="false">C183*1000000/dt_s+J183/2</f>
        <v>7111.7247609698</v>
      </c>
      <c r="M183" s="32" t="n">
        <f aca="false">C183*1000000/dt_s+K183/2</f>
        <v>7100.48055555556</v>
      </c>
    </row>
    <row r="184" customFormat="false" ht="15" hidden="false" customHeight="false" outlineLevel="0" collapsed="false">
      <c r="A184" s="24" t="n">
        <f aca="false">ROUND(A183+0.01,2)</f>
        <v>72.79</v>
      </c>
      <c r="B184" s="25" t="n">
        <f aca="false">INDEX(Bang_F,MATCH(A184,Bang_Z,1))+(A184-INDEX(Bang_Z,MATCH(A184,Bang_Z,1)))*(INDEX(Bang_F,MATCH(A184,Bang_Z,1)+1)-INDEX(Bang_F,MATCH(A184,Bang_Z,1)))</f>
        <v>5.0635</v>
      </c>
      <c r="C184" s="25" t="n">
        <f aca="false">INDEX(Bang_W,MATCH(A184,Bang_Z,1))+(A184-INDEX(Bang_Z,MATCH(A184,Bang_Z,1)))*(INDEX(Bang_F,MATCH(A184,Bang_Z,1))+B184)/2</f>
        <v>25.6123325</v>
      </c>
      <c r="D184" s="26" t="n">
        <f aca="false">MAX(A184-TC_Z,0)</f>
        <v>0</v>
      </c>
      <c r="E184" s="27" t="n">
        <f aca="false">1-0.2*(TC_xmb+(TC_n-1)*TC_xmt)*D184/(TC_n*TC_b)</f>
        <v>1</v>
      </c>
      <c r="F184" s="28" t="n">
        <f aca="false">TC_s*E184*TC_m*TC_n*TC_b*SQRT(2*g_)*D184^1.5</f>
        <v>0</v>
      </c>
      <c r="G184" s="29" t="n">
        <f aca="false">MAX(A184-SC_Z,0)</f>
        <v>1.79000000000001</v>
      </c>
      <c r="H184" s="30" t="n">
        <f aca="false">1-0.2*(SC_xmb+(SC_n-1)*SC_xmt)*G184/(SC_n*SC_b)</f>
        <v>0.94988</v>
      </c>
      <c r="I184" s="31" t="n">
        <f aca="false">SC_s*H184*SC_m*SC_n*SC_b*SQRT(2*g_)*G184^1.5</f>
        <v>22.6715028529296</v>
      </c>
      <c r="J184" s="32" t="n">
        <f aca="false">F184+I184</f>
        <v>22.6715028529296</v>
      </c>
      <c r="K184" s="32" t="n">
        <f aca="false">F184</f>
        <v>0</v>
      </c>
      <c r="L184" s="32" t="n">
        <f aca="false">C184*1000000/dt_s+J184/2</f>
        <v>7125.87255698203</v>
      </c>
      <c r="M184" s="32" t="n">
        <f aca="false">C184*1000000/dt_s+K184/2</f>
        <v>7114.53680555557</v>
      </c>
    </row>
    <row r="185" customFormat="false" ht="15" hidden="false" customHeight="false" outlineLevel="0" collapsed="false">
      <c r="A185" s="24" t="n">
        <f aca="false">ROUND(A184+0.01,2)</f>
        <v>72.8</v>
      </c>
      <c r="B185" s="25" t="n">
        <f aca="false">INDEX(Bang_F,MATCH(A185,Bang_Z,1))+(A185-INDEX(Bang_Z,MATCH(A185,Bang_Z,1)))*(INDEX(Bang_F,MATCH(A185,Bang_Z,1)+1)-INDEX(Bang_F,MATCH(A185,Bang_Z,1)))</f>
        <v>5.07</v>
      </c>
      <c r="C185" s="25" t="n">
        <f aca="false">INDEX(Bang_W,MATCH(A185,Bang_Z,1))+(A185-INDEX(Bang_Z,MATCH(A185,Bang_Z,1)))*(INDEX(Bang_F,MATCH(A185,Bang_Z,1))+B185)/2</f>
        <v>25.663</v>
      </c>
      <c r="D185" s="26" t="n">
        <f aca="false">MAX(A185-TC_Z,0)</f>
        <v>0</v>
      </c>
      <c r="E185" s="27" t="n">
        <f aca="false">1-0.2*(TC_xmb+(TC_n-1)*TC_xmt)*D185/(TC_n*TC_b)</f>
        <v>1</v>
      </c>
      <c r="F185" s="28" t="n">
        <f aca="false">TC_s*E185*TC_m*TC_n*TC_b*SQRT(2*g_)*D185^1.5</f>
        <v>0</v>
      </c>
      <c r="G185" s="29" t="n">
        <f aca="false">MAX(A185-SC_Z,0)</f>
        <v>1.8</v>
      </c>
      <c r="H185" s="30" t="n">
        <f aca="false">1-0.2*(SC_xmb+(SC_n-1)*SC_xmt)*G185/(SC_n*SC_b)</f>
        <v>0.9496</v>
      </c>
      <c r="I185" s="31" t="n">
        <f aca="false">SC_s*H185*SC_m*SC_n*SC_b*SQRT(2*g_)*G185^1.5</f>
        <v>22.8550135568524</v>
      </c>
      <c r="J185" s="32" t="n">
        <f aca="false">F185+I185</f>
        <v>22.8550135568524</v>
      </c>
      <c r="K185" s="32" t="n">
        <f aca="false">F185</f>
        <v>0</v>
      </c>
      <c r="L185" s="32" t="n">
        <f aca="false">C185*1000000/dt_s+J185/2</f>
        <v>7140.03861788953</v>
      </c>
      <c r="M185" s="32" t="n">
        <f aca="false">C185*1000000/dt_s+K185/2</f>
        <v>7128.61111111111</v>
      </c>
    </row>
    <row r="186" customFormat="false" ht="15" hidden="false" customHeight="false" outlineLevel="0" collapsed="false">
      <c r="A186" s="24" t="n">
        <f aca="false">ROUND(A185+0.01,2)</f>
        <v>72.81</v>
      </c>
      <c r="B186" s="25" t="n">
        <f aca="false">INDEX(Bang_F,MATCH(A186,Bang_Z,1))+(A186-INDEX(Bang_Z,MATCH(A186,Bang_Z,1)))*(INDEX(Bang_F,MATCH(A186,Bang_Z,1)+1)-INDEX(Bang_F,MATCH(A186,Bang_Z,1)))</f>
        <v>5.0765</v>
      </c>
      <c r="C186" s="25" t="n">
        <f aca="false">INDEX(Bang_W,MATCH(A186,Bang_Z,1))+(A186-INDEX(Bang_Z,MATCH(A186,Bang_Z,1)))*(INDEX(Bang_F,MATCH(A186,Bang_Z,1))+B186)/2</f>
        <v>25.7137325</v>
      </c>
      <c r="D186" s="26" t="n">
        <f aca="false">MAX(A186-TC_Z,0)</f>
        <v>0</v>
      </c>
      <c r="E186" s="27" t="n">
        <f aca="false">1-0.2*(TC_xmb+(TC_n-1)*TC_xmt)*D186/(TC_n*TC_b)</f>
        <v>1</v>
      </c>
      <c r="F186" s="28" t="n">
        <f aca="false">TC_s*E186*TC_m*TC_n*TC_b*SQRT(2*g_)*D186^1.5</f>
        <v>0</v>
      </c>
      <c r="G186" s="29" t="n">
        <f aca="false">MAX(A186-SC_Z,0)</f>
        <v>1.81</v>
      </c>
      <c r="H186" s="30" t="n">
        <f aca="false">1-0.2*(SC_xmb+(SC_n-1)*SC_xmt)*G186/(SC_n*SC_b)</f>
        <v>0.94932</v>
      </c>
      <c r="I186" s="31" t="n">
        <f aca="false">SC_s*H186*SC_m*SC_n*SC_b*SQRT(2*g_)*G186^1.5</f>
        <v>23.0389409956466</v>
      </c>
      <c r="J186" s="32" t="n">
        <f aca="false">F186+I186</f>
        <v>23.0389409956466</v>
      </c>
      <c r="K186" s="32" t="n">
        <f aca="false">F186</f>
        <v>0</v>
      </c>
      <c r="L186" s="32" t="n">
        <f aca="false">C186*1000000/dt_s+J186/2</f>
        <v>7154.22294272005</v>
      </c>
      <c r="M186" s="32" t="n">
        <f aca="false">C186*1000000/dt_s+K186/2</f>
        <v>7142.70347222223</v>
      </c>
    </row>
    <row r="187" customFormat="false" ht="15" hidden="false" customHeight="false" outlineLevel="0" collapsed="false">
      <c r="A187" s="24" t="n">
        <f aca="false">ROUND(A186+0.01,2)</f>
        <v>72.82</v>
      </c>
      <c r="B187" s="25" t="n">
        <f aca="false">INDEX(Bang_F,MATCH(A187,Bang_Z,1))+(A187-INDEX(Bang_Z,MATCH(A187,Bang_Z,1)))*(INDEX(Bang_F,MATCH(A187,Bang_Z,1)+1)-INDEX(Bang_F,MATCH(A187,Bang_Z,1)))</f>
        <v>5.083</v>
      </c>
      <c r="C187" s="25" t="n">
        <f aca="false">INDEX(Bang_W,MATCH(A187,Bang_Z,1))+(A187-INDEX(Bang_Z,MATCH(A187,Bang_Z,1)))*(INDEX(Bang_F,MATCH(A187,Bang_Z,1))+B187)/2</f>
        <v>25.76453</v>
      </c>
      <c r="D187" s="26" t="n">
        <f aca="false">MAX(A187-TC_Z,0)</f>
        <v>0</v>
      </c>
      <c r="E187" s="27" t="n">
        <f aca="false">1-0.2*(TC_xmb+(TC_n-1)*TC_xmt)*D187/(TC_n*TC_b)</f>
        <v>1</v>
      </c>
      <c r="F187" s="28" t="n">
        <f aca="false">TC_s*E187*TC_m*TC_n*TC_b*SQRT(2*g_)*D187^1.5</f>
        <v>0</v>
      </c>
      <c r="G187" s="29" t="n">
        <f aca="false">MAX(A187-SC_Z,0)</f>
        <v>1.81999999999999</v>
      </c>
      <c r="H187" s="30" t="n">
        <f aca="false">1-0.2*(SC_xmb+(SC_n-1)*SC_xmt)*G187/(SC_n*SC_b)</f>
        <v>0.94904</v>
      </c>
      <c r="I187" s="31" t="n">
        <f aca="false">SC_s*H187*SC_m*SC_n*SC_b*SQRT(2*g_)*G187^1.5</f>
        <v>23.2232832386783</v>
      </c>
      <c r="J187" s="32" t="n">
        <f aca="false">F187+I187</f>
        <v>23.2232832386783</v>
      </c>
      <c r="K187" s="32" t="n">
        <f aca="false">F187</f>
        <v>0</v>
      </c>
      <c r="L187" s="32" t="n">
        <f aca="false">C187*1000000/dt_s+J187/2</f>
        <v>7168.42553050822</v>
      </c>
      <c r="M187" s="32" t="n">
        <f aca="false">C187*1000000/dt_s+K187/2</f>
        <v>7156.81388888888</v>
      </c>
    </row>
    <row r="188" customFormat="false" ht="15" hidden="false" customHeight="false" outlineLevel="0" collapsed="false">
      <c r="A188" s="24" t="n">
        <f aca="false">ROUND(A187+0.01,2)</f>
        <v>72.83</v>
      </c>
      <c r="B188" s="25" t="n">
        <f aca="false">INDEX(Bang_F,MATCH(A188,Bang_Z,1))+(A188-INDEX(Bang_Z,MATCH(A188,Bang_Z,1)))*(INDEX(Bang_F,MATCH(A188,Bang_Z,1)+1)-INDEX(Bang_F,MATCH(A188,Bang_Z,1)))</f>
        <v>5.0895</v>
      </c>
      <c r="C188" s="25" t="n">
        <f aca="false">INDEX(Bang_W,MATCH(A188,Bang_Z,1))+(A188-INDEX(Bang_Z,MATCH(A188,Bang_Z,1)))*(INDEX(Bang_F,MATCH(A188,Bang_Z,1))+B188)/2</f>
        <v>25.8153925</v>
      </c>
      <c r="D188" s="26" t="n">
        <f aca="false">MAX(A188-TC_Z,0)</f>
        <v>0</v>
      </c>
      <c r="E188" s="27" t="n">
        <f aca="false">1-0.2*(TC_xmb+(TC_n-1)*TC_xmt)*D188/(TC_n*TC_b)</f>
        <v>1</v>
      </c>
      <c r="F188" s="28" t="n">
        <f aca="false">TC_s*E188*TC_m*TC_n*TC_b*SQRT(2*g_)*D188^1.5</f>
        <v>0</v>
      </c>
      <c r="G188" s="29" t="n">
        <f aca="false">MAX(A188-SC_Z,0)</f>
        <v>1.83</v>
      </c>
      <c r="H188" s="30" t="n">
        <f aca="false">1-0.2*(SC_xmb+(SC_n-1)*SC_xmt)*G188/(SC_n*SC_b)</f>
        <v>0.94876</v>
      </c>
      <c r="I188" s="31" t="n">
        <f aca="false">SC_s*H188*SC_m*SC_n*SC_b*SQRT(2*g_)*G188^1.5</f>
        <v>23.4080383691088</v>
      </c>
      <c r="J188" s="32" t="n">
        <f aca="false">F188+I188</f>
        <v>23.4080383691088</v>
      </c>
      <c r="K188" s="32" t="n">
        <f aca="false">F188</f>
        <v>0</v>
      </c>
      <c r="L188" s="32" t="n">
        <f aca="false">C188*1000000/dt_s+J188/2</f>
        <v>7182.64638029566</v>
      </c>
      <c r="M188" s="32" t="n">
        <f aca="false">C188*1000000/dt_s+K188/2</f>
        <v>7170.94236111111</v>
      </c>
    </row>
    <row r="189" customFormat="false" ht="15" hidden="false" customHeight="false" outlineLevel="0" collapsed="false">
      <c r="A189" s="24" t="n">
        <f aca="false">ROUND(A188+0.01,2)</f>
        <v>72.84</v>
      </c>
      <c r="B189" s="25" t="n">
        <f aca="false">INDEX(Bang_F,MATCH(A189,Bang_Z,1))+(A189-INDEX(Bang_Z,MATCH(A189,Bang_Z,1)))*(INDEX(Bang_F,MATCH(A189,Bang_Z,1)+1)-INDEX(Bang_F,MATCH(A189,Bang_Z,1)))</f>
        <v>5.096</v>
      </c>
      <c r="C189" s="25" t="n">
        <f aca="false">INDEX(Bang_W,MATCH(A189,Bang_Z,1))+(A189-INDEX(Bang_Z,MATCH(A189,Bang_Z,1)))*(INDEX(Bang_F,MATCH(A189,Bang_Z,1))+B189)/2</f>
        <v>25.86632</v>
      </c>
      <c r="D189" s="26" t="n">
        <f aca="false">MAX(A189-TC_Z,0)</f>
        <v>0</v>
      </c>
      <c r="E189" s="27" t="n">
        <f aca="false">1-0.2*(TC_xmb+(TC_n-1)*TC_xmt)*D189/(TC_n*TC_b)</f>
        <v>1</v>
      </c>
      <c r="F189" s="28" t="n">
        <f aca="false">TC_s*E189*TC_m*TC_n*TC_b*SQRT(2*g_)*D189^1.5</f>
        <v>0</v>
      </c>
      <c r="G189" s="29" t="n">
        <f aca="false">MAX(A189-SC_Z,0)</f>
        <v>1.84</v>
      </c>
      <c r="H189" s="30" t="n">
        <f aca="false">1-0.2*(SC_xmb+(SC_n-1)*SC_xmt)*G189/(SC_n*SC_b)</f>
        <v>0.94848</v>
      </c>
      <c r="I189" s="31" t="n">
        <f aca="false">SC_s*H189*SC_m*SC_n*SC_b*SQRT(2*g_)*G189^1.5</f>
        <v>23.5932044837099</v>
      </c>
      <c r="J189" s="32" t="n">
        <f aca="false">F189+I189</f>
        <v>23.5932044837099</v>
      </c>
      <c r="K189" s="32" t="n">
        <f aca="false">F189</f>
        <v>0</v>
      </c>
      <c r="L189" s="32" t="n">
        <f aca="false">C189*1000000/dt_s+J189/2</f>
        <v>7196.88549113075</v>
      </c>
      <c r="M189" s="32" t="n">
        <f aca="false">C189*1000000/dt_s+K189/2</f>
        <v>7185.08888888889</v>
      </c>
    </row>
    <row r="190" customFormat="false" ht="15" hidden="false" customHeight="false" outlineLevel="0" collapsed="false">
      <c r="A190" s="24" t="n">
        <f aca="false">ROUND(A189+0.01,2)</f>
        <v>72.85</v>
      </c>
      <c r="B190" s="25" t="n">
        <f aca="false">INDEX(Bang_F,MATCH(A190,Bang_Z,1))+(A190-INDEX(Bang_Z,MATCH(A190,Bang_Z,1)))*(INDEX(Bang_F,MATCH(A190,Bang_Z,1)+1)-INDEX(Bang_F,MATCH(A190,Bang_Z,1)))</f>
        <v>5.1025</v>
      </c>
      <c r="C190" s="25" t="n">
        <f aca="false">INDEX(Bang_W,MATCH(A190,Bang_Z,1))+(A190-INDEX(Bang_Z,MATCH(A190,Bang_Z,1)))*(INDEX(Bang_F,MATCH(A190,Bang_Z,1))+B190)/2</f>
        <v>25.9173125</v>
      </c>
      <c r="D190" s="26" t="n">
        <f aca="false">MAX(A190-TC_Z,0)</f>
        <v>0</v>
      </c>
      <c r="E190" s="27" t="n">
        <f aca="false">1-0.2*(TC_xmb+(TC_n-1)*TC_xmt)*D190/(TC_n*TC_b)</f>
        <v>1</v>
      </c>
      <c r="F190" s="28" t="n">
        <f aca="false">TC_s*E190*TC_m*TC_n*TC_b*SQRT(2*g_)*D190^1.5</f>
        <v>0</v>
      </c>
      <c r="G190" s="29" t="n">
        <f aca="false">MAX(A190-SC_Z,0)</f>
        <v>1.84999999999999</v>
      </c>
      <c r="H190" s="30" t="n">
        <f aca="false">1-0.2*(SC_xmb+(SC_n-1)*SC_xmt)*G190/(SC_n*SC_b)</f>
        <v>0.9482</v>
      </c>
      <c r="I190" s="31" t="n">
        <f aca="false">SC_s*H190*SC_m*SC_n*SC_b*SQRT(2*g_)*G190^1.5</f>
        <v>23.7787796926851</v>
      </c>
      <c r="J190" s="32" t="n">
        <f aca="false">F190+I190</f>
        <v>23.7787796926851</v>
      </c>
      <c r="K190" s="32" t="n">
        <f aca="false">F190</f>
        <v>0</v>
      </c>
      <c r="L190" s="32" t="n">
        <f aca="false">C190*1000000/dt_s+J190/2</f>
        <v>7211.14286206856</v>
      </c>
      <c r="M190" s="32" t="n">
        <f aca="false">C190*1000000/dt_s+K190/2</f>
        <v>7199.25347222222</v>
      </c>
    </row>
    <row r="191" customFormat="false" ht="15" hidden="false" customHeight="false" outlineLevel="0" collapsed="false">
      <c r="A191" s="24" t="n">
        <f aca="false">ROUND(A190+0.01,2)</f>
        <v>72.86</v>
      </c>
      <c r="B191" s="25" t="n">
        <f aca="false">INDEX(Bang_F,MATCH(A191,Bang_Z,1))+(A191-INDEX(Bang_Z,MATCH(A191,Bang_Z,1)))*(INDEX(Bang_F,MATCH(A191,Bang_Z,1)+1)-INDEX(Bang_F,MATCH(A191,Bang_Z,1)))</f>
        <v>5.109</v>
      </c>
      <c r="C191" s="25" t="n">
        <f aca="false">INDEX(Bang_W,MATCH(A191,Bang_Z,1))+(A191-INDEX(Bang_Z,MATCH(A191,Bang_Z,1)))*(INDEX(Bang_F,MATCH(A191,Bang_Z,1))+B191)/2</f>
        <v>25.96837</v>
      </c>
      <c r="D191" s="26" t="n">
        <f aca="false">MAX(A191-TC_Z,0)</f>
        <v>0</v>
      </c>
      <c r="E191" s="27" t="n">
        <f aca="false">1-0.2*(TC_xmb+(TC_n-1)*TC_xmt)*D191/(TC_n*TC_b)</f>
        <v>1</v>
      </c>
      <c r="F191" s="28" t="n">
        <f aca="false">TC_s*E191*TC_m*TC_n*TC_b*SQRT(2*g_)*D191^1.5</f>
        <v>0</v>
      </c>
      <c r="G191" s="29" t="n">
        <f aca="false">MAX(A191-SC_Z,0)</f>
        <v>1.86</v>
      </c>
      <c r="H191" s="30" t="n">
        <f aca="false">1-0.2*(SC_xmb+(SC_n-1)*SC_xmt)*G191/(SC_n*SC_b)</f>
        <v>0.94792</v>
      </c>
      <c r="I191" s="31" t="n">
        <f aca="false">SC_s*H191*SC_m*SC_n*SC_b*SQRT(2*g_)*G191^1.5</f>
        <v>23.9647621194946</v>
      </c>
      <c r="J191" s="32" t="n">
        <f aca="false">F191+I191</f>
        <v>23.9647621194946</v>
      </c>
      <c r="K191" s="32" t="n">
        <f aca="false">F191</f>
        <v>0</v>
      </c>
      <c r="L191" s="32" t="n">
        <f aca="false">C191*1000000/dt_s+J191/2</f>
        <v>7225.41849217086</v>
      </c>
      <c r="M191" s="32" t="n">
        <f aca="false">C191*1000000/dt_s+K191/2</f>
        <v>7213.43611111111</v>
      </c>
    </row>
    <row r="192" customFormat="false" ht="15" hidden="false" customHeight="false" outlineLevel="0" collapsed="false">
      <c r="A192" s="24" t="n">
        <f aca="false">ROUND(A191+0.01,2)</f>
        <v>72.87</v>
      </c>
      <c r="B192" s="25" t="n">
        <f aca="false">INDEX(Bang_F,MATCH(A192,Bang_Z,1))+(A192-INDEX(Bang_Z,MATCH(A192,Bang_Z,1)))*(INDEX(Bang_F,MATCH(A192,Bang_Z,1)+1)-INDEX(Bang_F,MATCH(A192,Bang_Z,1)))</f>
        <v>5.1155</v>
      </c>
      <c r="C192" s="25" t="n">
        <f aca="false">INDEX(Bang_W,MATCH(A192,Bang_Z,1))+(A192-INDEX(Bang_Z,MATCH(A192,Bang_Z,1)))*(INDEX(Bang_F,MATCH(A192,Bang_Z,1))+B192)/2</f>
        <v>26.0194925</v>
      </c>
      <c r="D192" s="26" t="n">
        <f aca="false">MAX(A192-TC_Z,0)</f>
        <v>0</v>
      </c>
      <c r="E192" s="27" t="n">
        <f aca="false">1-0.2*(TC_xmb+(TC_n-1)*TC_xmt)*D192/(TC_n*TC_b)</f>
        <v>1</v>
      </c>
      <c r="F192" s="28" t="n">
        <f aca="false">TC_s*E192*TC_m*TC_n*TC_b*SQRT(2*g_)*D192^1.5</f>
        <v>0</v>
      </c>
      <c r="G192" s="29" t="n">
        <f aca="false">MAX(A192-SC_Z,0)</f>
        <v>1.87</v>
      </c>
      <c r="H192" s="30" t="n">
        <f aca="false">1-0.2*(SC_xmb+(SC_n-1)*SC_xmt)*G192/(SC_n*SC_b)</f>
        <v>0.94764</v>
      </c>
      <c r="I192" s="31" t="n">
        <f aca="false">SC_s*H192*SC_m*SC_n*SC_b*SQRT(2*g_)*G192^1.5</f>
        <v>24.1511499006805</v>
      </c>
      <c r="J192" s="32" t="n">
        <f aca="false">F192+I192</f>
        <v>24.1511499006805</v>
      </c>
      <c r="K192" s="32" t="n">
        <f aca="false">F192</f>
        <v>0</v>
      </c>
      <c r="L192" s="32" t="n">
        <f aca="false">C192*1000000/dt_s+J192/2</f>
        <v>7239.7123805059</v>
      </c>
      <c r="M192" s="32" t="n">
        <f aca="false">C192*1000000/dt_s+K192/2</f>
        <v>7227.63680555556</v>
      </c>
    </row>
    <row r="193" customFormat="false" ht="15" hidden="false" customHeight="false" outlineLevel="0" collapsed="false">
      <c r="A193" s="24" t="n">
        <f aca="false">ROUND(A192+0.01,2)</f>
        <v>72.88</v>
      </c>
      <c r="B193" s="25" t="n">
        <f aca="false">INDEX(Bang_F,MATCH(A193,Bang_Z,1))+(A193-INDEX(Bang_Z,MATCH(A193,Bang_Z,1)))*(INDEX(Bang_F,MATCH(A193,Bang_Z,1)+1)-INDEX(Bang_F,MATCH(A193,Bang_Z,1)))</f>
        <v>5.122</v>
      </c>
      <c r="C193" s="25" t="n">
        <f aca="false">INDEX(Bang_W,MATCH(A193,Bang_Z,1))+(A193-INDEX(Bang_Z,MATCH(A193,Bang_Z,1)))*(INDEX(Bang_F,MATCH(A193,Bang_Z,1))+B193)/2</f>
        <v>26.07068</v>
      </c>
      <c r="D193" s="26" t="n">
        <f aca="false">MAX(A193-TC_Z,0)</f>
        <v>0</v>
      </c>
      <c r="E193" s="27" t="n">
        <f aca="false">1-0.2*(TC_xmb+(TC_n-1)*TC_xmt)*D193/(TC_n*TC_b)</f>
        <v>1</v>
      </c>
      <c r="F193" s="28" t="n">
        <f aca="false">TC_s*E193*TC_m*TC_n*TC_b*SQRT(2*g_)*D193^1.5</f>
        <v>0</v>
      </c>
      <c r="G193" s="29" t="n">
        <f aca="false">MAX(A193-SC_Z,0)</f>
        <v>1.88</v>
      </c>
      <c r="H193" s="30" t="n">
        <f aca="false">1-0.2*(SC_xmb+(SC_n-1)*SC_xmt)*G193/(SC_n*SC_b)</f>
        <v>0.94736</v>
      </c>
      <c r="I193" s="31" t="n">
        <f aca="false">SC_s*H193*SC_m*SC_n*SC_b*SQRT(2*g_)*G193^1.5</f>
        <v>24.3379411856985</v>
      </c>
      <c r="J193" s="32" t="n">
        <f aca="false">F193+I193</f>
        <v>24.3379411856985</v>
      </c>
      <c r="K193" s="32" t="n">
        <f aca="false">F193</f>
        <v>0</v>
      </c>
      <c r="L193" s="32" t="n">
        <f aca="false">C193*1000000/dt_s+J193/2</f>
        <v>7254.0245261484</v>
      </c>
      <c r="M193" s="32" t="n">
        <f aca="false">C193*1000000/dt_s+K193/2</f>
        <v>7241.85555555555</v>
      </c>
    </row>
    <row r="194" customFormat="false" ht="15" hidden="false" customHeight="false" outlineLevel="0" collapsed="false">
      <c r="A194" s="24" t="n">
        <f aca="false">ROUND(A193+0.01,2)</f>
        <v>72.89</v>
      </c>
      <c r="B194" s="25" t="n">
        <f aca="false">INDEX(Bang_F,MATCH(A194,Bang_Z,1))+(A194-INDEX(Bang_Z,MATCH(A194,Bang_Z,1)))*(INDEX(Bang_F,MATCH(A194,Bang_Z,1)+1)-INDEX(Bang_F,MATCH(A194,Bang_Z,1)))</f>
        <v>5.1285</v>
      </c>
      <c r="C194" s="25" t="n">
        <f aca="false">INDEX(Bang_W,MATCH(A194,Bang_Z,1))+(A194-INDEX(Bang_Z,MATCH(A194,Bang_Z,1)))*(INDEX(Bang_F,MATCH(A194,Bang_Z,1))+B194)/2</f>
        <v>26.1219325</v>
      </c>
      <c r="D194" s="26" t="n">
        <f aca="false">MAX(A194-TC_Z,0)</f>
        <v>0</v>
      </c>
      <c r="E194" s="27" t="n">
        <f aca="false">1-0.2*(TC_xmb+(TC_n-1)*TC_xmt)*D194/(TC_n*TC_b)</f>
        <v>1</v>
      </c>
      <c r="F194" s="28" t="n">
        <f aca="false">TC_s*E194*TC_m*TC_n*TC_b*SQRT(2*g_)*D194^1.5</f>
        <v>0</v>
      </c>
      <c r="G194" s="29" t="n">
        <f aca="false">MAX(A194-SC_Z,0)</f>
        <v>1.89</v>
      </c>
      <c r="H194" s="30" t="n">
        <f aca="false">1-0.2*(SC_xmb+(SC_n-1)*SC_xmt)*G194/(SC_n*SC_b)</f>
        <v>0.94708</v>
      </c>
      <c r="I194" s="31" t="n">
        <f aca="false">SC_s*H194*SC_m*SC_n*SC_b*SQRT(2*g_)*G194^1.5</f>
        <v>24.5251341367519</v>
      </c>
      <c r="J194" s="32" t="n">
        <f aca="false">F194+I194</f>
        <v>24.5251341367519</v>
      </c>
      <c r="K194" s="32" t="n">
        <f aca="false">F194</f>
        <v>0</v>
      </c>
      <c r="L194" s="32" t="n">
        <f aca="false">C194*1000000/dt_s+J194/2</f>
        <v>7268.35492817949</v>
      </c>
      <c r="M194" s="32" t="n">
        <f aca="false">C194*1000000/dt_s+K194/2</f>
        <v>7256.09236111111</v>
      </c>
    </row>
    <row r="195" customFormat="false" ht="15" hidden="false" customHeight="false" outlineLevel="0" collapsed="false">
      <c r="A195" s="24" t="n">
        <f aca="false">ROUND(A194+0.01,2)</f>
        <v>72.9</v>
      </c>
      <c r="B195" s="25" t="n">
        <f aca="false">INDEX(Bang_F,MATCH(A195,Bang_Z,1))+(A195-INDEX(Bang_Z,MATCH(A195,Bang_Z,1)))*(INDEX(Bang_F,MATCH(A195,Bang_Z,1)+1)-INDEX(Bang_F,MATCH(A195,Bang_Z,1)))</f>
        <v>5.135</v>
      </c>
      <c r="C195" s="25" t="n">
        <f aca="false">INDEX(Bang_W,MATCH(A195,Bang_Z,1))+(A195-INDEX(Bang_Z,MATCH(A195,Bang_Z,1)))*(INDEX(Bang_F,MATCH(A195,Bang_Z,1))+B195)/2</f>
        <v>26.17325</v>
      </c>
      <c r="D195" s="26" t="n">
        <f aca="false">MAX(A195-TC_Z,0)</f>
        <v>0</v>
      </c>
      <c r="E195" s="27" t="n">
        <f aca="false">1-0.2*(TC_xmb+(TC_n-1)*TC_xmt)*D195/(TC_n*TC_b)</f>
        <v>1</v>
      </c>
      <c r="F195" s="28" t="n">
        <f aca="false">TC_s*E195*TC_m*TC_n*TC_b*SQRT(2*g_)*D195^1.5</f>
        <v>0</v>
      </c>
      <c r="G195" s="29" t="n">
        <f aca="false">MAX(A195-SC_Z,0)</f>
        <v>1.90000000000001</v>
      </c>
      <c r="H195" s="30" t="n">
        <f aca="false">1-0.2*(SC_xmb+(SC_n-1)*SC_xmt)*G195/(SC_n*SC_b)</f>
        <v>0.9468</v>
      </c>
      <c r="I195" s="31" t="n">
        <f aca="false">SC_s*H195*SC_m*SC_n*SC_b*SQRT(2*g_)*G195^1.5</f>
        <v>24.7127269286266</v>
      </c>
      <c r="J195" s="32" t="n">
        <f aca="false">F195+I195</f>
        <v>24.7127269286266</v>
      </c>
      <c r="K195" s="32" t="n">
        <f aca="false">F195</f>
        <v>0</v>
      </c>
      <c r="L195" s="32" t="n">
        <f aca="false">C195*1000000/dt_s+J195/2</f>
        <v>7282.70358568654</v>
      </c>
      <c r="M195" s="32" t="n">
        <f aca="false">C195*1000000/dt_s+K195/2</f>
        <v>7270.34722222223</v>
      </c>
    </row>
    <row r="196" customFormat="false" ht="15" hidden="false" customHeight="false" outlineLevel="0" collapsed="false">
      <c r="A196" s="24" t="n">
        <f aca="false">ROUND(A195+0.01,2)</f>
        <v>72.91</v>
      </c>
      <c r="B196" s="25" t="n">
        <f aca="false">INDEX(Bang_F,MATCH(A196,Bang_Z,1))+(A196-INDEX(Bang_Z,MATCH(A196,Bang_Z,1)))*(INDEX(Bang_F,MATCH(A196,Bang_Z,1)+1)-INDEX(Bang_F,MATCH(A196,Bang_Z,1)))</f>
        <v>5.1415</v>
      </c>
      <c r="C196" s="25" t="n">
        <f aca="false">INDEX(Bang_W,MATCH(A196,Bang_Z,1))+(A196-INDEX(Bang_Z,MATCH(A196,Bang_Z,1)))*(INDEX(Bang_F,MATCH(A196,Bang_Z,1))+B196)/2</f>
        <v>26.2246325</v>
      </c>
      <c r="D196" s="26" t="n">
        <f aca="false">MAX(A196-TC_Z,0)</f>
        <v>0</v>
      </c>
      <c r="E196" s="27" t="n">
        <f aca="false">1-0.2*(TC_xmb+(TC_n-1)*TC_xmt)*D196/(TC_n*TC_b)</f>
        <v>1</v>
      </c>
      <c r="F196" s="28" t="n">
        <f aca="false">TC_s*E196*TC_m*TC_n*TC_b*SQRT(2*g_)*D196^1.5</f>
        <v>0</v>
      </c>
      <c r="G196" s="29" t="n">
        <f aca="false">MAX(A196-SC_Z,0)</f>
        <v>1.91</v>
      </c>
      <c r="H196" s="30" t="n">
        <f aca="false">1-0.2*(SC_xmb+(SC_n-1)*SC_xmt)*G196/(SC_n*SC_b)</f>
        <v>0.94652</v>
      </c>
      <c r="I196" s="31" t="n">
        <f aca="false">SC_s*H196*SC_m*SC_n*SC_b*SQRT(2*g_)*G196^1.5</f>
        <v>24.9007177485316</v>
      </c>
      <c r="J196" s="32" t="n">
        <f aca="false">F196+I196</f>
        <v>24.9007177485316</v>
      </c>
      <c r="K196" s="32" t="n">
        <f aca="false">F196</f>
        <v>0</v>
      </c>
      <c r="L196" s="32" t="n">
        <f aca="false">C196*1000000/dt_s+J196/2</f>
        <v>7297.07049776315</v>
      </c>
      <c r="M196" s="32" t="n">
        <f aca="false">C196*1000000/dt_s+K196/2</f>
        <v>7284.62013888889</v>
      </c>
    </row>
    <row r="197" customFormat="false" ht="15" hidden="false" customHeight="false" outlineLevel="0" collapsed="false">
      <c r="A197" s="24" t="n">
        <f aca="false">ROUND(A196+0.01,2)</f>
        <v>72.92</v>
      </c>
      <c r="B197" s="25" t="n">
        <f aca="false">INDEX(Bang_F,MATCH(A197,Bang_Z,1))+(A197-INDEX(Bang_Z,MATCH(A197,Bang_Z,1)))*(INDEX(Bang_F,MATCH(A197,Bang_Z,1)+1)-INDEX(Bang_F,MATCH(A197,Bang_Z,1)))</f>
        <v>5.148</v>
      </c>
      <c r="C197" s="25" t="n">
        <f aca="false">INDEX(Bang_W,MATCH(A197,Bang_Z,1))+(A197-INDEX(Bang_Z,MATCH(A197,Bang_Z,1)))*(INDEX(Bang_F,MATCH(A197,Bang_Z,1))+B197)/2</f>
        <v>26.27608</v>
      </c>
      <c r="D197" s="26" t="n">
        <f aca="false">MAX(A197-TC_Z,0)</f>
        <v>0</v>
      </c>
      <c r="E197" s="27" t="n">
        <f aca="false">1-0.2*(TC_xmb+(TC_n-1)*TC_xmt)*D197/(TC_n*TC_b)</f>
        <v>1</v>
      </c>
      <c r="F197" s="28" t="n">
        <f aca="false">TC_s*E197*TC_m*TC_n*TC_b*SQRT(2*g_)*D197^1.5</f>
        <v>0</v>
      </c>
      <c r="G197" s="29" t="n">
        <f aca="false">MAX(A197-SC_Z,0)</f>
        <v>1.92</v>
      </c>
      <c r="H197" s="30" t="n">
        <f aca="false">1-0.2*(SC_xmb+(SC_n-1)*SC_xmt)*G197/(SC_n*SC_b)</f>
        <v>0.94624</v>
      </c>
      <c r="I197" s="31" t="n">
        <f aca="false">SC_s*H197*SC_m*SC_n*SC_b*SQRT(2*g_)*G197^1.5</f>
        <v>25.089104795942</v>
      </c>
      <c r="J197" s="32" t="n">
        <f aca="false">F197+I197</f>
        <v>25.089104795942</v>
      </c>
      <c r="K197" s="32" t="n">
        <f aca="false">F197</f>
        <v>0</v>
      </c>
      <c r="L197" s="32" t="n">
        <f aca="false">C197*1000000/dt_s+J197/2</f>
        <v>7311.45566350909</v>
      </c>
      <c r="M197" s="32" t="n">
        <f aca="false">C197*1000000/dt_s+K197/2</f>
        <v>7298.91111111111</v>
      </c>
    </row>
    <row r="198" customFormat="false" ht="15" hidden="false" customHeight="false" outlineLevel="0" collapsed="false">
      <c r="A198" s="24" t="n">
        <f aca="false">ROUND(A197+0.01,2)</f>
        <v>72.93</v>
      </c>
      <c r="B198" s="25" t="n">
        <f aca="false">INDEX(Bang_F,MATCH(A198,Bang_Z,1))+(A198-INDEX(Bang_Z,MATCH(A198,Bang_Z,1)))*(INDEX(Bang_F,MATCH(A198,Bang_Z,1)+1)-INDEX(Bang_F,MATCH(A198,Bang_Z,1)))</f>
        <v>5.15450000000001</v>
      </c>
      <c r="C198" s="25" t="n">
        <f aca="false">INDEX(Bang_W,MATCH(A198,Bang_Z,1))+(A198-INDEX(Bang_Z,MATCH(A198,Bang_Z,1)))*(INDEX(Bang_F,MATCH(A198,Bang_Z,1))+B198)/2</f>
        <v>26.3275925</v>
      </c>
      <c r="D198" s="26" t="n">
        <f aca="false">MAX(A198-TC_Z,0)</f>
        <v>0</v>
      </c>
      <c r="E198" s="27" t="n">
        <f aca="false">1-0.2*(TC_xmb+(TC_n-1)*TC_xmt)*D198/(TC_n*TC_b)</f>
        <v>1</v>
      </c>
      <c r="F198" s="28" t="n">
        <f aca="false">TC_s*E198*TC_m*TC_n*TC_b*SQRT(2*g_)*D198^1.5</f>
        <v>0</v>
      </c>
      <c r="G198" s="29" t="n">
        <f aca="false">MAX(A198-SC_Z,0)</f>
        <v>1.93000000000001</v>
      </c>
      <c r="H198" s="30" t="n">
        <f aca="false">1-0.2*(SC_xmb+(SC_n-1)*SC_xmt)*G198/(SC_n*SC_b)</f>
        <v>0.94596</v>
      </c>
      <c r="I198" s="31" t="n">
        <f aca="false">SC_s*H198*SC_m*SC_n*SC_b*SQRT(2*g_)*G198^1.5</f>
        <v>25.2778862824428</v>
      </c>
      <c r="J198" s="32" t="n">
        <f aca="false">F198+I198</f>
        <v>25.2778862824428</v>
      </c>
      <c r="K198" s="32" t="n">
        <f aca="false">F198</f>
        <v>0</v>
      </c>
      <c r="L198" s="32" t="n">
        <f aca="false">C198*1000000/dt_s+J198/2</f>
        <v>7325.85908203012</v>
      </c>
      <c r="M198" s="32" t="n">
        <f aca="false">C198*1000000/dt_s+K198/2</f>
        <v>7313.2201388889</v>
      </c>
    </row>
    <row r="199" customFormat="false" ht="15" hidden="false" customHeight="false" outlineLevel="0" collapsed="false">
      <c r="A199" s="24" t="n">
        <f aca="false">ROUND(A198+0.01,2)</f>
        <v>72.94</v>
      </c>
      <c r="B199" s="25" t="n">
        <f aca="false">INDEX(Bang_F,MATCH(A199,Bang_Z,1))+(A199-INDEX(Bang_Z,MATCH(A199,Bang_Z,1)))*(INDEX(Bang_F,MATCH(A199,Bang_Z,1)+1)-INDEX(Bang_F,MATCH(A199,Bang_Z,1)))</f>
        <v>5.161</v>
      </c>
      <c r="C199" s="25" t="n">
        <f aca="false">INDEX(Bang_W,MATCH(A199,Bang_Z,1))+(A199-INDEX(Bang_Z,MATCH(A199,Bang_Z,1)))*(INDEX(Bang_F,MATCH(A199,Bang_Z,1))+B199)/2</f>
        <v>26.37917</v>
      </c>
      <c r="D199" s="26" t="n">
        <f aca="false">MAX(A199-TC_Z,0)</f>
        <v>0</v>
      </c>
      <c r="E199" s="27" t="n">
        <f aca="false">1-0.2*(TC_xmb+(TC_n-1)*TC_xmt)*D199/(TC_n*TC_b)</f>
        <v>1</v>
      </c>
      <c r="F199" s="28" t="n">
        <f aca="false">TC_s*E199*TC_m*TC_n*TC_b*SQRT(2*g_)*D199^1.5</f>
        <v>0</v>
      </c>
      <c r="G199" s="29" t="n">
        <f aca="false">MAX(A199-SC_Z,0)</f>
        <v>1.94</v>
      </c>
      <c r="H199" s="30" t="n">
        <f aca="false">1-0.2*(SC_xmb+(SC_n-1)*SC_xmt)*G199/(SC_n*SC_b)</f>
        <v>0.94568</v>
      </c>
      <c r="I199" s="31" t="n">
        <f aca="false">SC_s*H199*SC_m*SC_n*SC_b*SQRT(2*g_)*G199^1.5</f>
        <v>25.4670604315777</v>
      </c>
      <c r="J199" s="32" t="n">
        <f aca="false">F199+I199</f>
        <v>25.4670604315777</v>
      </c>
      <c r="K199" s="32" t="n">
        <f aca="false">F199</f>
        <v>0</v>
      </c>
      <c r="L199" s="32" t="n">
        <f aca="false">C199*1000000/dt_s+J199/2</f>
        <v>7340.28075243801</v>
      </c>
      <c r="M199" s="32" t="n">
        <f aca="false">C199*1000000/dt_s+K199/2</f>
        <v>7327.54722222222</v>
      </c>
    </row>
    <row r="200" customFormat="false" ht="15" hidden="false" customHeight="false" outlineLevel="0" collapsed="false">
      <c r="A200" s="24" t="n">
        <f aca="false">ROUND(A199+0.01,2)</f>
        <v>72.95</v>
      </c>
      <c r="B200" s="25" t="n">
        <f aca="false">INDEX(Bang_F,MATCH(A200,Bang_Z,1))+(A200-INDEX(Bang_Z,MATCH(A200,Bang_Z,1)))*(INDEX(Bang_F,MATCH(A200,Bang_Z,1)+1)-INDEX(Bang_F,MATCH(A200,Bang_Z,1)))</f>
        <v>5.1675</v>
      </c>
      <c r="C200" s="25" t="n">
        <f aca="false">INDEX(Bang_W,MATCH(A200,Bang_Z,1))+(A200-INDEX(Bang_Z,MATCH(A200,Bang_Z,1)))*(INDEX(Bang_F,MATCH(A200,Bang_Z,1))+B200)/2</f>
        <v>26.4308125</v>
      </c>
      <c r="D200" s="26" t="n">
        <f aca="false">MAX(A200-TC_Z,0)</f>
        <v>0</v>
      </c>
      <c r="E200" s="27" t="n">
        <f aca="false">1-0.2*(TC_xmb+(TC_n-1)*TC_xmt)*D200/(TC_n*TC_b)</f>
        <v>1</v>
      </c>
      <c r="F200" s="28" t="n">
        <f aca="false">TC_s*E200*TC_m*TC_n*TC_b*SQRT(2*g_)*D200^1.5</f>
        <v>0</v>
      </c>
      <c r="G200" s="29" t="n">
        <f aca="false">MAX(A200-SC_Z,0)</f>
        <v>1.95</v>
      </c>
      <c r="H200" s="30" t="n">
        <f aca="false">1-0.2*(SC_xmb+(SC_n-1)*SC_xmt)*G200/(SC_n*SC_b)</f>
        <v>0.9454</v>
      </c>
      <c r="I200" s="31" t="n">
        <f aca="false">SC_s*H200*SC_m*SC_n*SC_b*SQRT(2*g_)*G200^1.5</f>
        <v>25.6566254787008</v>
      </c>
      <c r="J200" s="32" t="n">
        <f aca="false">F200+I200</f>
        <v>25.6566254787008</v>
      </c>
      <c r="K200" s="32" t="n">
        <f aca="false">F200</f>
        <v>0</v>
      </c>
      <c r="L200" s="32" t="n">
        <f aca="false">C200*1000000/dt_s+J200/2</f>
        <v>7354.72067385047</v>
      </c>
      <c r="M200" s="32" t="n">
        <f aca="false">C200*1000000/dt_s+K200/2</f>
        <v>7341.89236111112</v>
      </c>
    </row>
    <row r="201" customFormat="false" ht="15" hidden="false" customHeight="false" outlineLevel="0" collapsed="false">
      <c r="A201" s="24" t="n">
        <f aca="false">ROUND(A200+0.01,2)</f>
        <v>72.96</v>
      </c>
      <c r="B201" s="25" t="n">
        <f aca="false">INDEX(Bang_F,MATCH(A201,Bang_Z,1))+(A201-INDEX(Bang_Z,MATCH(A201,Bang_Z,1)))*(INDEX(Bang_F,MATCH(A201,Bang_Z,1)+1)-INDEX(Bang_F,MATCH(A201,Bang_Z,1)))</f>
        <v>5.174</v>
      </c>
      <c r="C201" s="25" t="n">
        <f aca="false">INDEX(Bang_W,MATCH(A201,Bang_Z,1))+(A201-INDEX(Bang_Z,MATCH(A201,Bang_Z,1)))*(INDEX(Bang_F,MATCH(A201,Bang_Z,1))+B201)/2</f>
        <v>26.48252</v>
      </c>
      <c r="D201" s="26" t="n">
        <f aca="false">MAX(A201-TC_Z,0)</f>
        <v>0</v>
      </c>
      <c r="E201" s="27" t="n">
        <f aca="false">1-0.2*(TC_xmb+(TC_n-1)*TC_xmt)*D201/(TC_n*TC_b)</f>
        <v>1</v>
      </c>
      <c r="F201" s="28" t="n">
        <f aca="false">TC_s*E201*TC_m*TC_n*TC_b*SQRT(2*g_)*D201^1.5</f>
        <v>0</v>
      </c>
      <c r="G201" s="29" t="n">
        <f aca="false">MAX(A201-SC_Z,0)</f>
        <v>1.95999999999999</v>
      </c>
      <c r="H201" s="30" t="n">
        <f aca="false">1-0.2*(SC_xmb+(SC_n-1)*SC_xmt)*G201/(SC_n*SC_b)</f>
        <v>0.94512</v>
      </c>
      <c r="I201" s="31" t="n">
        <f aca="false">SC_s*H201*SC_m*SC_n*SC_b*SQRT(2*g_)*G201^1.5</f>
        <v>25.8465796708278</v>
      </c>
      <c r="J201" s="32" t="n">
        <f aca="false">F201+I201</f>
        <v>25.8465796708278</v>
      </c>
      <c r="K201" s="32" t="n">
        <f aca="false">F201</f>
        <v>0</v>
      </c>
      <c r="L201" s="32" t="n">
        <f aca="false">C201*1000000/dt_s+J201/2</f>
        <v>7369.17884539096</v>
      </c>
      <c r="M201" s="32" t="n">
        <f aca="false">C201*1000000/dt_s+K201/2</f>
        <v>7356.25555555555</v>
      </c>
    </row>
    <row r="202" customFormat="false" ht="15" hidden="false" customHeight="false" outlineLevel="0" collapsed="false">
      <c r="A202" s="24" t="n">
        <f aca="false">ROUND(A201+0.01,2)</f>
        <v>72.97</v>
      </c>
      <c r="B202" s="25" t="n">
        <f aca="false">INDEX(Bang_F,MATCH(A202,Bang_Z,1))+(A202-INDEX(Bang_Z,MATCH(A202,Bang_Z,1)))*(INDEX(Bang_F,MATCH(A202,Bang_Z,1)+1)-INDEX(Bang_F,MATCH(A202,Bang_Z,1)))</f>
        <v>5.1805</v>
      </c>
      <c r="C202" s="25" t="n">
        <f aca="false">INDEX(Bang_W,MATCH(A202,Bang_Z,1))+(A202-INDEX(Bang_Z,MATCH(A202,Bang_Z,1)))*(INDEX(Bang_F,MATCH(A202,Bang_Z,1))+B202)/2</f>
        <v>26.5342925</v>
      </c>
      <c r="D202" s="26" t="n">
        <f aca="false">MAX(A202-TC_Z,0)</f>
        <v>0</v>
      </c>
      <c r="E202" s="27" t="n">
        <f aca="false">1-0.2*(TC_xmb+(TC_n-1)*TC_xmt)*D202/(TC_n*TC_b)</f>
        <v>1</v>
      </c>
      <c r="F202" s="28" t="n">
        <f aca="false">TC_s*E202*TC_m*TC_n*TC_b*SQRT(2*g_)*D202^1.5</f>
        <v>0</v>
      </c>
      <c r="G202" s="29" t="n">
        <f aca="false">MAX(A202-SC_Z,0)</f>
        <v>1.97</v>
      </c>
      <c r="H202" s="30" t="n">
        <f aca="false">1-0.2*(SC_xmb+(SC_n-1)*SC_xmt)*G202/(SC_n*SC_b)</f>
        <v>0.94484</v>
      </c>
      <c r="I202" s="31" t="n">
        <f aca="false">SC_s*H202*SC_m*SC_n*SC_b*SQRT(2*g_)*G202^1.5</f>
        <v>26.0369212664946</v>
      </c>
      <c r="J202" s="32" t="n">
        <f aca="false">F202+I202</f>
        <v>26.0369212664946</v>
      </c>
      <c r="K202" s="32" t="n">
        <f aca="false">F202</f>
        <v>0</v>
      </c>
      <c r="L202" s="32" t="n">
        <f aca="false">C202*1000000/dt_s+J202/2</f>
        <v>7383.6552661888</v>
      </c>
      <c r="M202" s="32" t="n">
        <f aca="false">C202*1000000/dt_s+K202/2</f>
        <v>7370.63680555556</v>
      </c>
    </row>
    <row r="203" customFormat="false" ht="15" hidden="false" customHeight="false" outlineLevel="0" collapsed="false">
      <c r="A203" s="24" t="n">
        <f aca="false">ROUND(A202+0.01,2)</f>
        <v>72.98</v>
      </c>
      <c r="B203" s="25" t="n">
        <f aca="false">INDEX(Bang_F,MATCH(A203,Bang_Z,1))+(A203-INDEX(Bang_Z,MATCH(A203,Bang_Z,1)))*(INDEX(Bang_F,MATCH(A203,Bang_Z,1)+1)-INDEX(Bang_F,MATCH(A203,Bang_Z,1)))</f>
        <v>5.187</v>
      </c>
      <c r="C203" s="25" t="n">
        <f aca="false">INDEX(Bang_W,MATCH(A203,Bang_Z,1))+(A203-INDEX(Bang_Z,MATCH(A203,Bang_Z,1)))*(INDEX(Bang_F,MATCH(A203,Bang_Z,1))+B203)/2</f>
        <v>26.58613</v>
      </c>
      <c r="D203" s="26" t="n">
        <f aca="false">MAX(A203-TC_Z,0)</f>
        <v>0</v>
      </c>
      <c r="E203" s="27" t="n">
        <f aca="false">1-0.2*(TC_xmb+(TC_n-1)*TC_xmt)*D203/(TC_n*TC_b)</f>
        <v>1</v>
      </c>
      <c r="F203" s="28" t="n">
        <f aca="false">TC_s*E203*TC_m*TC_n*TC_b*SQRT(2*g_)*D203^1.5</f>
        <v>0</v>
      </c>
      <c r="G203" s="29" t="n">
        <f aca="false">MAX(A203-SC_Z,0)</f>
        <v>1.98</v>
      </c>
      <c r="H203" s="30" t="n">
        <f aca="false">1-0.2*(SC_xmb+(SC_n-1)*SC_xmt)*G203/(SC_n*SC_b)</f>
        <v>0.94456</v>
      </c>
      <c r="I203" s="31" t="n">
        <f aca="false">SC_s*H203*SC_m*SC_n*SC_b*SQRT(2*g_)*G203^1.5</f>
        <v>26.2276485356133</v>
      </c>
      <c r="J203" s="32" t="n">
        <f aca="false">F203+I203</f>
        <v>26.2276485356133</v>
      </c>
      <c r="K203" s="32" t="n">
        <f aca="false">F203</f>
        <v>0</v>
      </c>
      <c r="L203" s="32" t="n">
        <f aca="false">C203*1000000/dt_s+J203/2</f>
        <v>7398.14993537892</v>
      </c>
      <c r="M203" s="32" t="n">
        <f aca="false">C203*1000000/dt_s+K203/2</f>
        <v>7385.03611111112</v>
      </c>
    </row>
    <row r="204" customFormat="false" ht="15" hidden="false" customHeight="false" outlineLevel="0" collapsed="false">
      <c r="A204" s="24" t="n">
        <f aca="false">ROUND(A203+0.01,2)</f>
        <v>72.99</v>
      </c>
      <c r="B204" s="25" t="n">
        <f aca="false">INDEX(Bang_F,MATCH(A204,Bang_Z,1))+(A204-INDEX(Bang_Z,MATCH(A204,Bang_Z,1)))*(INDEX(Bang_F,MATCH(A204,Bang_Z,1)+1)-INDEX(Bang_F,MATCH(A204,Bang_Z,1)))</f>
        <v>5.1935</v>
      </c>
      <c r="C204" s="25" t="n">
        <f aca="false">INDEX(Bang_W,MATCH(A204,Bang_Z,1))+(A204-INDEX(Bang_Z,MATCH(A204,Bang_Z,1)))*(INDEX(Bang_F,MATCH(A204,Bang_Z,1))+B204)/2</f>
        <v>26.6380325</v>
      </c>
      <c r="D204" s="26" t="n">
        <f aca="false">MAX(A204-TC_Z,0)</f>
        <v>0</v>
      </c>
      <c r="E204" s="27" t="n">
        <f aca="false">1-0.2*(TC_xmb+(TC_n-1)*TC_xmt)*D204/(TC_n*TC_b)</f>
        <v>1</v>
      </c>
      <c r="F204" s="28" t="n">
        <f aca="false">TC_s*E204*TC_m*TC_n*TC_b*SQRT(2*g_)*D204^1.5</f>
        <v>0</v>
      </c>
      <c r="G204" s="29" t="n">
        <f aca="false">MAX(A204-SC_Z,0)</f>
        <v>1.98999999999999</v>
      </c>
      <c r="H204" s="30" t="n">
        <f aca="false">1-0.2*(SC_xmb+(SC_n-1)*SC_xmt)*G204/(SC_n*SC_b)</f>
        <v>0.94428</v>
      </c>
      <c r="I204" s="31" t="n">
        <f aca="false">SC_s*H204*SC_m*SC_n*SC_b*SQRT(2*g_)*G204^1.5</f>
        <v>26.4187597593345</v>
      </c>
      <c r="J204" s="32" t="n">
        <f aca="false">F204+I204</f>
        <v>26.4187597593345</v>
      </c>
      <c r="K204" s="32" t="n">
        <f aca="false">F204</f>
        <v>0</v>
      </c>
      <c r="L204" s="32" t="n">
        <f aca="false">C204*1000000/dt_s+J204/2</f>
        <v>7412.66285210188</v>
      </c>
      <c r="M204" s="32" t="n">
        <f aca="false">C204*1000000/dt_s+K204/2</f>
        <v>7399.45347222222</v>
      </c>
    </row>
    <row r="205" customFormat="false" ht="15" hidden="false" customHeight="false" outlineLevel="0" collapsed="false">
      <c r="A205" s="24" t="n">
        <f aca="false">ROUND(A204+0.01,2)</f>
        <v>73</v>
      </c>
      <c r="B205" s="25" t="n">
        <f aca="false">INDEX(Bang_F,MATCH(A205,Bang_Z,1))+(A205-INDEX(Bang_Z,MATCH(A205,Bang_Z,1)))*(INDEX(Bang_F,MATCH(A205,Bang_Z,1)+1)-INDEX(Bang_F,MATCH(A205,Bang_Z,1)))</f>
        <v>5.2</v>
      </c>
      <c r="C205" s="25" t="n">
        <f aca="false">INDEX(Bang_W,MATCH(A205,Bang_Z,1))+(A205-INDEX(Bang_Z,MATCH(A205,Bang_Z,1)))*(INDEX(Bang_F,MATCH(A205,Bang_Z,1))+B205)/2</f>
        <v>26.69</v>
      </c>
      <c r="D205" s="26" t="n">
        <f aca="false">MAX(A205-TC_Z,0)</f>
        <v>0</v>
      </c>
      <c r="E205" s="27" t="n">
        <f aca="false">1-0.2*(TC_xmb+(TC_n-1)*TC_xmt)*D205/(TC_n*TC_b)</f>
        <v>1</v>
      </c>
      <c r="F205" s="28" t="n">
        <f aca="false">TC_s*E205*TC_m*TC_n*TC_b*SQRT(2*g_)*D205^1.5</f>
        <v>0</v>
      </c>
      <c r="G205" s="29" t="n">
        <f aca="false">MAX(A205-SC_Z,0)</f>
        <v>2</v>
      </c>
      <c r="H205" s="30" t="n">
        <f aca="false">1-0.2*(SC_xmb+(SC_n-1)*SC_xmt)*G205/(SC_n*SC_b)</f>
        <v>0.944</v>
      </c>
      <c r="I205" s="31" t="n">
        <f aca="false">SC_s*H205*SC_m*SC_n*SC_b*SQRT(2*g_)*G205^1.5</f>
        <v>26.6102532299112</v>
      </c>
      <c r="J205" s="32" t="n">
        <f aca="false">F205+I205</f>
        <v>26.6102532299112</v>
      </c>
      <c r="K205" s="32" t="n">
        <f aca="false">F205</f>
        <v>0</v>
      </c>
      <c r="L205" s="32" t="n">
        <f aca="false">C205*1000000/dt_s+J205/2</f>
        <v>7427.19401550385</v>
      </c>
      <c r="M205" s="32" t="n">
        <f aca="false">C205*1000000/dt_s+K205/2</f>
        <v>7413.88888888889</v>
      </c>
    </row>
    <row r="206" customFormat="false" ht="15" hidden="false" customHeight="false" outlineLevel="0" collapsed="false">
      <c r="A206" s="24" t="n">
        <f aca="false">ROUND(A205+0.01,2)</f>
        <v>73.01</v>
      </c>
      <c r="B206" s="25" t="n">
        <f aca="false">INDEX(Bang_F,MATCH(A206,Bang_Z,1))+(A206-INDEX(Bang_Z,MATCH(A206,Bang_Z,1)))*(INDEX(Bang_F,MATCH(A206,Bang_Z,1)+1)-INDEX(Bang_F,MATCH(A206,Bang_Z,1)))</f>
        <v>5.206</v>
      </c>
      <c r="C206" s="25" t="n">
        <f aca="false">INDEX(Bang_W,MATCH(A206,Bang_Z,1))+(A206-INDEX(Bang_Z,MATCH(A206,Bang_Z,1)))*(INDEX(Bang_F,MATCH(A206,Bang_Z,1))+B206)/2</f>
        <v>26.74203</v>
      </c>
      <c r="D206" s="26" t="n">
        <f aca="false">MAX(A206-TC_Z,0)</f>
        <v>0</v>
      </c>
      <c r="E206" s="27" t="n">
        <f aca="false">1-0.2*(TC_xmb+(TC_n-1)*TC_xmt)*D206/(TC_n*TC_b)</f>
        <v>1</v>
      </c>
      <c r="F206" s="28" t="n">
        <f aca="false">TC_s*E206*TC_m*TC_n*TC_b*SQRT(2*g_)*D206^1.5</f>
        <v>0</v>
      </c>
      <c r="G206" s="29" t="n">
        <f aca="false">MAX(A206-SC_Z,0)</f>
        <v>2.01000000000001</v>
      </c>
      <c r="H206" s="30" t="n">
        <f aca="false">1-0.2*(SC_xmb+(SC_n-1)*SC_xmt)*G206/(SC_n*SC_b)</f>
        <v>0.94372</v>
      </c>
      <c r="I206" s="31" t="n">
        <f aca="false">SC_s*H206*SC_m*SC_n*SC_b*SQRT(2*g_)*G206^1.5</f>
        <v>26.8021272505631</v>
      </c>
      <c r="J206" s="32" t="n">
        <f aca="false">F206+I206</f>
        <v>26.8021272505631</v>
      </c>
      <c r="K206" s="32" t="n">
        <f aca="false">F206</f>
        <v>0</v>
      </c>
      <c r="L206" s="32" t="n">
        <f aca="false">C206*1000000/dt_s+J206/2</f>
        <v>7441.74273029196</v>
      </c>
      <c r="M206" s="32" t="n">
        <f aca="false">C206*1000000/dt_s+K206/2</f>
        <v>7428.34166666668</v>
      </c>
    </row>
    <row r="207" customFormat="false" ht="15" hidden="false" customHeight="false" outlineLevel="0" collapsed="false">
      <c r="A207" s="24" t="n">
        <f aca="false">ROUND(A206+0.01,2)</f>
        <v>73.02</v>
      </c>
      <c r="B207" s="25" t="n">
        <f aca="false">INDEX(Bang_F,MATCH(A207,Bang_Z,1))+(A207-INDEX(Bang_Z,MATCH(A207,Bang_Z,1)))*(INDEX(Bang_F,MATCH(A207,Bang_Z,1)+1)-INDEX(Bang_F,MATCH(A207,Bang_Z,1)))</f>
        <v>5.212</v>
      </c>
      <c r="C207" s="25" t="n">
        <f aca="false">INDEX(Bang_W,MATCH(A207,Bang_Z,1))+(A207-INDEX(Bang_Z,MATCH(A207,Bang_Z,1)))*(INDEX(Bang_F,MATCH(A207,Bang_Z,1))+B207)/2</f>
        <v>26.79412</v>
      </c>
      <c r="D207" s="26" t="n">
        <f aca="false">MAX(A207-TC_Z,0)</f>
        <v>0</v>
      </c>
      <c r="E207" s="27" t="n">
        <f aca="false">1-0.2*(TC_xmb+(TC_n-1)*TC_xmt)*D207/(TC_n*TC_b)</f>
        <v>1</v>
      </c>
      <c r="F207" s="28" t="n">
        <f aca="false">TC_s*E207*TC_m*TC_n*TC_b*SQRT(2*g_)*D207^1.5</f>
        <v>0</v>
      </c>
      <c r="G207" s="29" t="n">
        <f aca="false">MAX(A207-SC_Z,0)</f>
        <v>2.02</v>
      </c>
      <c r="H207" s="30" t="n">
        <f aca="false">1-0.2*(SC_xmb+(SC_n-1)*SC_xmt)*G207/(SC_n*SC_b)</f>
        <v>0.94344</v>
      </c>
      <c r="I207" s="31" t="n">
        <f aca="false">SC_s*H207*SC_m*SC_n*SC_b*SQRT(2*g_)*G207^1.5</f>
        <v>26.9943801353453</v>
      </c>
      <c r="J207" s="32" t="n">
        <f aca="false">F207+I207</f>
        <v>26.9943801353453</v>
      </c>
      <c r="K207" s="32" t="n">
        <f aca="false">F207</f>
        <v>0</v>
      </c>
      <c r="L207" s="32" t="n">
        <f aca="false">C207*1000000/dt_s+J207/2</f>
        <v>7456.30830117878</v>
      </c>
      <c r="M207" s="32" t="n">
        <f aca="false">C207*1000000/dt_s+K207/2</f>
        <v>7442.81111111111</v>
      </c>
    </row>
    <row r="208" customFormat="false" ht="15" hidden="false" customHeight="false" outlineLevel="0" collapsed="false">
      <c r="A208" s="24" t="n">
        <f aca="false">ROUND(A207+0.01,2)</f>
        <v>73.03</v>
      </c>
      <c r="B208" s="25" t="n">
        <f aca="false">INDEX(Bang_F,MATCH(A208,Bang_Z,1))+(A208-INDEX(Bang_Z,MATCH(A208,Bang_Z,1)))*(INDEX(Bang_F,MATCH(A208,Bang_Z,1)+1)-INDEX(Bang_F,MATCH(A208,Bang_Z,1)))</f>
        <v>5.218</v>
      </c>
      <c r="C208" s="25" t="n">
        <f aca="false">INDEX(Bang_W,MATCH(A208,Bang_Z,1))+(A208-INDEX(Bang_Z,MATCH(A208,Bang_Z,1)))*(INDEX(Bang_F,MATCH(A208,Bang_Z,1))+B208)/2</f>
        <v>26.84627</v>
      </c>
      <c r="D208" s="26" t="n">
        <f aca="false">MAX(A208-TC_Z,0)</f>
        <v>0</v>
      </c>
      <c r="E208" s="27" t="n">
        <f aca="false">1-0.2*(TC_xmb+(TC_n-1)*TC_xmt)*D208/(TC_n*TC_b)</f>
        <v>1</v>
      </c>
      <c r="F208" s="28" t="n">
        <f aca="false">TC_s*E208*TC_m*TC_n*TC_b*SQRT(2*g_)*D208^1.5</f>
        <v>0</v>
      </c>
      <c r="G208" s="29" t="n">
        <f aca="false">MAX(A208-SC_Z,0)</f>
        <v>2.03</v>
      </c>
      <c r="H208" s="30" t="n">
        <f aca="false">1-0.2*(SC_xmb+(SC_n-1)*SC_xmt)*G208/(SC_n*SC_b)</f>
        <v>0.94316</v>
      </c>
      <c r="I208" s="31" t="n">
        <f aca="false">SC_s*H208*SC_m*SC_n*SC_b*SQRT(2*g_)*G208^1.5</f>
        <v>27.1870102090195</v>
      </c>
      <c r="J208" s="32" t="n">
        <f aca="false">F208+I208</f>
        <v>27.1870102090195</v>
      </c>
      <c r="K208" s="32" t="n">
        <f aca="false">F208</f>
        <v>0</v>
      </c>
      <c r="L208" s="32" t="n">
        <f aca="false">C208*1000000/dt_s+J208/2</f>
        <v>7470.89072732673</v>
      </c>
      <c r="M208" s="32" t="n">
        <f aca="false">C208*1000000/dt_s+K208/2</f>
        <v>7457.29722222222</v>
      </c>
    </row>
    <row r="209" customFormat="false" ht="15" hidden="false" customHeight="false" outlineLevel="0" collapsed="false">
      <c r="A209" s="24" t="n">
        <f aca="false">ROUND(A208+0.01,2)</f>
        <v>73.04</v>
      </c>
      <c r="B209" s="25" t="n">
        <f aca="false">INDEX(Bang_F,MATCH(A209,Bang_Z,1))+(A209-INDEX(Bang_Z,MATCH(A209,Bang_Z,1)))*(INDEX(Bang_F,MATCH(A209,Bang_Z,1)+1)-INDEX(Bang_F,MATCH(A209,Bang_Z,1)))</f>
        <v>5.224</v>
      </c>
      <c r="C209" s="25" t="n">
        <f aca="false">INDEX(Bang_W,MATCH(A209,Bang_Z,1))+(A209-INDEX(Bang_Z,MATCH(A209,Bang_Z,1)))*(INDEX(Bang_F,MATCH(A209,Bang_Z,1))+B209)/2</f>
        <v>26.89848</v>
      </c>
      <c r="D209" s="26" t="n">
        <f aca="false">MAX(A209-TC_Z,0)</f>
        <v>0</v>
      </c>
      <c r="E209" s="27" t="n">
        <f aca="false">1-0.2*(TC_xmb+(TC_n-1)*TC_xmt)*D209/(TC_n*TC_b)</f>
        <v>1</v>
      </c>
      <c r="F209" s="28" t="n">
        <f aca="false">TC_s*E209*TC_m*TC_n*TC_b*SQRT(2*g_)*D209^1.5</f>
        <v>0</v>
      </c>
      <c r="G209" s="29" t="n">
        <f aca="false">MAX(A209-SC_Z,0)</f>
        <v>2.04000000000001</v>
      </c>
      <c r="H209" s="30" t="n">
        <f aca="false">1-0.2*(SC_xmb+(SC_n-1)*SC_xmt)*G209/(SC_n*SC_b)</f>
        <v>0.94288</v>
      </c>
      <c r="I209" s="31" t="n">
        <f aca="false">SC_s*H209*SC_m*SC_n*SC_b*SQRT(2*g_)*G209^1.5</f>
        <v>27.3800158069247</v>
      </c>
      <c r="J209" s="32" t="n">
        <f aca="false">F209+I209</f>
        <v>27.3800158069247</v>
      </c>
      <c r="K209" s="32" t="n">
        <f aca="false">F209</f>
        <v>0</v>
      </c>
      <c r="L209" s="32" t="n">
        <f aca="false">C209*1000000/dt_s+J209/2</f>
        <v>7485.49000790347</v>
      </c>
      <c r="M209" s="32" t="n">
        <f aca="false">C209*1000000/dt_s+K209/2</f>
        <v>7471.80000000001</v>
      </c>
    </row>
    <row r="210" customFormat="false" ht="15" hidden="false" customHeight="false" outlineLevel="0" collapsed="false">
      <c r="A210" s="24" t="n">
        <f aca="false">ROUND(A209+0.01,2)</f>
        <v>73.05</v>
      </c>
      <c r="B210" s="25" t="n">
        <f aca="false">INDEX(Bang_F,MATCH(A210,Bang_Z,1))+(A210-INDEX(Bang_Z,MATCH(A210,Bang_Z,1)))*(INDEX(Bang_F,MATCH(A210,Bang_Z,1)+1)-INDEX(Bang_F,MATCH(A210,Bang_Z,1)))</f>
        <v>5.23</v>
      </c>
      <c r="C210" s="25" t="n">
        <f aca="false">INDEX(Bang_W,MATCH(A210,Bang_Z,1))+(A210-INDEX(Bang_Z,MATCH(A210,Bang_Z,1)))*(INDEX(Bang_F,MATCH(A210,Bang_Z,1))+B210)/2</f>
        <v>26.95075</v>
      </c>
      <c r="D210" s="26" t="n">
        <f aca="false">MAX(A210-TC_Z,0)</f>
        <v>0</v>
      </c>
      <c r="E210" s="27" t="n">
        <f aca="false">1-0.2*(TC_xmb+(TC_n-1)*TC_xmt)*D210/(TC_n*TC_b)</f>
        <v>1</v>
      </c>
      <c r="F210" s="28" t="n">
        <f aca="false">TC_s*E210*TC_m*TC_n*TC_b*SQRT(2*g_)*D210^1.5</f>
        <v>0</v>
      </c>
      <c r="G210" s="29" t="n">
        <f aca="false">MAX(A210-SC_Z,0)</f>
        <v>2.05</v>
      </c>
      <c r="H210" s="30" t="n">
        <f aca="false">1-0.2*(SC_xmb+(SC_n-1)*SC_xmt)*G210/(SC_n*SC_b)</f>
        <v>0.9426</v>
      </c>
      <c r="I210" s="31" t="n">
        <f aca="false">SC_s*H210*SC_m*SC_n*SC_b*SQRT(2*g_)*G210^1.5</f>
        <v>27.5733952748529</v>
      </c>
      <c r="J210" s="32" t="n">
        <f aca="false">F210+I210</f>
        <v>27.5733952748529</v>
      </c>
      <c r="K210" s="32" t="n">
        <f aca="false">F210</f>
        <v>0</v>
      </c>
      <c r="L210" s="32" t="n">
        <f aca="false">C210*1000000/dt_s+J210/2</f>
        <v>7500.10614208187</v>
      </c>
      <c r="M210" s="32" t="n">
        <f aca="false">C210*1000000/dt_s+K210/2</f>
        <v>7486.31944444444</v>
      </c>
    </row>
    <row r="211" customFormat="false" ht="15" hidden="false" customHeight="false" outlineLevel="0" collapsed="false">
      <c r="A211" s="24" t="n">
        <f aca="false">ROUND(A210+0.01,2)</f>
        <v>73.06</v>
      </c>
      <c r="B211" s="25" t="n">
        <f aca="false">INDEX(Bang_F,MATCH(A211,Bang_Z,1))+(A211-INDEX(Bang_Z,MATCH(A211,Bang_Z,1)))*(INDEX(Bang_F,MATCH(A211,Bang_Z,1)+1)-INDEX(Bang_F,MATCH(A211,Bang_Z,1)))</f>
        <v>5.236</v>
      </c>
      <c r="C211" s="25" t="n">
        <f aca="false">INDEX(Bang_W,MATCH(A211,Bang_Z,1))+(A211-INDEX(Bang_Z,MATCH(A211,Bang_Z,1)))*(INDEX(Bang_F,MATCH(A211,Bang_Z,1))+B211)/2</f>
        <v>27.00308</v>
      </c>
      <c r="D211" s="26" t="n">
        <f aca="false">MAX(A211-TC_Z,0)</f>
        <v>0</v>
      </c>
      <c r="E211" s="27" t="n">
        <f aca="false">1-0.2*(TC_xmb+(TC_n-1)*TC_xmt)*D211/(TC_n*TC_b)</f>
        <v>1</v>
      </c>
      <c r="F211" s="28" t="n">
        <f aca="false">TC_s*E211*TC_m*TC_n*TC_b*SQRT(2*g_)*D211^1.5</f>
        <v>0</v>
      </c>
      <c r="G211" s="29" t="n">
        <f aca="false">MAX(A211-SC_Z,0)</f>
        <v>2.06</v>
      </c>
      <c r="H211" s="30" t="n">
        <f aca="false">1-0.2*(SC_xmb+(SC_n-1)*SC_xmt)*G211/(SC_n*SC_b)</f>
        <v>0.94232</v>
      </c>
      <c r="I211" s="31" t="n">
        <f aca="false">SC_s*H211*SC_m*SC_n*SC_b*SQRT(2*g_)*G211^1.5</f>
        <v>27.7671469689268</v>
      </c>
      <c r="J211" s="32" t="n">
        <f aca="false">F211+I211</f>
        <v>27.7671469689268</v>
      </c>
      <c r="K211" s="32" t="n">
        <f aca="false">F211</f>
        <v>0</v>
      </c>
      <c r="L211" s="32" t="n">
        <f aca="false">C211*1000000/dt_s+J211/2</f>
        <v>7514.73912904002</v>
      </c>
      <c r="M211" s="32" t="n">
        <f aca="false">C211*1000000/dt_s+K211/2</f>
        <v>7500.85555555556</v>
      </c>
    </row>
    <row r="212" customFormat="false" ht="15" hidden="false" customHeight="false" outlineLevel="0" collapsed="false">
      <c r="A212" s="24" t="n">
        <f aca="false">ROUND(A211+0.01,2)</f>
        <v>73.07</v>
      </c>
      <c r="B212" s="25" t="n">
        <f aca="false">INDEX(Bang_F,MATCH(A212,Bang_Z,1))+(A212-INDEX(Bang_Z,MATCH(A212,Bang_Z,1)))*(INDEX(Bang_F,MATCH(A212,Bang_Z,1)+1)-INDEX(Bang_F,MATCH(A212,Bang_Z,1)))</f>
        <v>5.242</v>
      </c>
      <c r="C212" s="25" t="n">
        <f aca="false">INDEX(Bang_W,MATCH(A212,Bang_Z,1))+(A212-INDEX(Bang_Z,MATCH(A212,Bang_Z,1)))*(INDEX(Bang_F,MATCH(A212,Bang_Z,1))+B212)/2</f>
        <v>27.05547</v>
      </c>
      <c r="D212" s="26" t="n">
        <f aca="false">MAX(A212-TC_Z,0)</f>
        <v>0</v>
      </c>
      <c r="E212" s="27" t="n">
        <f aca="false">1-0.2*(TC_xmb+(TC_n-1)*TC_xmt)*D212/(TC_n*TC_b)</f>
        <v>1</v>
      </c>
      <c r="F212" s="28" t="n">
        <f aca="false">TC_s*E212*TC_m*TC_n*TC_b*SQRT(2*g_)*D212^1.5</f>
        <v>0</v>
      </c>
      <c r="G212" s="29" t="n">
        <f aca="false">MAX(A212-SC_Z,0)</f>
        <v>2.06999999999999</v>
      </c>
      <c r="H212" s="30" t="n">
        <f aca="false">1-0.2*(SC_xmb+(SC_n-1)*SC_xmt)*G212/(SC_n*SC_b)</f>
        <v>0.94204</v>
      </c>
      <c r="I212" s="31" t="n">
        <f aca="false">SC_s*H212*SC_m*SC_n*SC_b*SQRT(2*g_)*G212^1.5</f>
        <v>27.9612692554761</v>
      </c>
      <c r="J212" s="32" t="n">
        <f aca="false">F212+I212</f>
        <v>27.9612692554761</v>
      </c>
      <c r="K212" s="32" t="n">
        <f aca="false">F212</f>
        <v>0</v>
      </c>
      <c r="L212" s="32" t="n">
        <f aca="false">C212*1000000/dt_s+J212/2</f>
        <v>7529.38896796106</v>
      </c>
      <c r="M212" s="32" t="n">
        <f aca="false">C212*1000000/dt_s+K212/2</f>
        <v>7515.40833333332</v>
      </c>
    </row>
    <row r="213" customFormat="false" ht="15" hidden="false" customHeight="false" outlineLevel="0" collapsed="false">
      <c r="A213" s="24" t="n">
        <f aca="false">ROUND(A212+0.01,2)</f>
        <v>73.08</v>
      </c>
      <c r="B213" s="25" t="n">
        <f aca="false">INDEX(Bang_F,MATCH(A213,Bang_Z,1))+(A213-INDEX(Bang_Z,MATCH(A213,Bang_Z,1)))*(INDEX(Bang_F,MATCH(A213,Bang_Z,1)+1)-INDEX(Bang_F,MATCH(A213,Bang_Z,1)))</f>
        <v>5.248</v>
      </c>
      <c r="C213" s="25" t="n">
        <f aca="false">INDEX(Bang_W,MATCH(A213,Bang_Z,1))+(A213-INDEX(Bang_Z,MATCH(A213,Bang_Z,1)))*(INDEX(Bang_F,MATCH(A213,Bang_Z,1))+B213)/2</f>
        <v>27.10792</v>
      </c>
      <c r="D213" s="26" t="n">
        <f aca="false">MAX(A213-TC_Z,0)</f>
        <v>0</v>
      </c>
      <c r="E213" s="27" t="n">
        <f aca="false">1-0.2*(TC_xmb+(TC_n-1)*TC_xmt)*D213/(TC_n*TC_b)</f>
        <v>1</v>
      </c>
      <c r="F213" s="28" t="n">
        <f aca="false">TC_s*E213*TC_m*TC_n*TC_b*SQRT(2*g_)*D213^1.5</f>
        <v>0</v>
      </c>
      <c r="G213" s="29" t="n">
        <f aca="false">MAX(A213-SC_Z,0)</f>
        <v>2.08</v>
      </c>
      <c r="H213" s="30" t="n">
        <f aca="false">1-0.2*(SC_xmb+(SC_n-1)*SC_xmt)*G213/(SC_n*SC_b)</f>
        <v>0.94176</v>
      </c>
      <c r="I213" s="31" t="n">
        <f aca="false">SC_s*H213*SC_m*SC_n*SC_b*SQRT(2*g_)*G213^1.5</f>
        <v>28.1557605109215</v>
      </c>
      <c r="J213" s="32" t="n">
        <f aca="false">F213+I213</f>
        <v>28.1557605109215</v>
      </c>
      <c r="K213" s="32" t="n">
        <f aca="false">F213</f>
        <v>0</v>
      </c>
      <c r="L213" s="32" t="n">
        <f aca="false">C213*1000000/dt_s+J213/2</f>
        <v>7544.05565803324</v>
      </c>
      <c r="M213" s="32" t="n">
        <f aca="false">C213*1000000/dt_s+K213/2</f>
        <v>7529.97777777778</v>
      </c>
    </row>
    <row r="214" customFormat="false" ht="15" hidden="false" customHeight="false" outlineLevel="0" collapsed="false">
      <c r="A214" s="24" t="n">
        <f aca="false">ROUND(A213+0.01,2)</f>
        <v>73.09</v>
      </c>
      <c r="B214" s="25" t="n">
        <f aca="false">INDEX(Bang_F,MATCH(A214,Bang_Z,1))+(A214-INDEX(Bang_Z,MATCH(A214,Bang_Z,1)))*(INDEX(Bang_F,MATCH(A214,Bang_Z,1)+1)-INDEX(Bang_F,MATCH(A214,Bang_Z,1)))</f>
        <v>5.254</v>
      </c>
      <c r="C214" s="25" t="n">
        <f aca="false">INDEX(Bang_W,MATCH(A214,Bang_Z,1))+(A214-INDEX(Bang_Z,MATCH(A214,Bang_Z,1)))*(INDEX(Bang_F,MATCH(A214,Bang_Z,1))+B214)/2</f>
        <v>27.16043</v>
      </c>
      <c r="D214" s="26" t="n">
        <f aca="false">MAX(A214-TC_Z,0)</f>
        <v>0</v>
      </c>
      <c r="E214" s="27" t="n">
        <f aca="false">1-0.2*(TC_xmb+(TC_n-1)*TC_xmt)*D214/(TC_n*TC_b)</f>
        <v>1</v>
      </c>
      <c r="F214" s="28" t="n">
        <f aca="false">TC_s*E214*TC_m*TC_n*TC_b*SQRT(2*g_)*D214^1.5</f>
        <v>0</v>
      </c>
      <c r="G214" s="29" t="n">
        <f aca="false">MAX(A214-SC_Z,0)</f>
        <v>2.09</v>
      </c>
      <c r="H214" s="30" t="n">
        <f aca="false">1-0.2*(SC_xmb+(SC_n-1)*SC_xmt)*G214/(SC_n*SC_b)</f>
        <v>0.94148</v>
      </c>
      <c r="I214" s="31" t="n">
        <f aca="false">SC_s*H214*SC_m*SC_n*SC_b*SQRT(2*g_)*G214^1.5</f>
        <v>28.3506191216545</v>
      </c>
      <c r="J214" s="32" t="n">
        <f aca="false">F214+I214</f>
        <v>28.3506191216545</v>
      </c>
      <c r="K214" s="32" t="n">
        <f aca="false">F214</f>
        <v>0</v>
      </c>
      <c r="L214" s="32" t="n">
        <f aca="false">C214*1000000/dt_s+J214/2</f>
        <v>7558.73919844972</v>
      </c>
      <c r="M214" s="32" t="n">
        <f aca="false">C214*1000000/dt_s+K214/2</f>
        <v>7544.56388888889</v>
      </c>
    </row>
    <row r="215" customFormat="false" ht="15" hidden="false" customHeight="false" outlineLevel="0" collapsed="false">
      <c r="A215" s="24" t="n">
        <f aca="false">ROUND(A214+0.01,2)</f>
        <v>73.1</v>
      </c>
      <c r="B215" s="25" t="n">
        <f aca="false">INDEX(Bang_F,MATCH(A215,Bang_Z,1))+(A215-INDEX(Bang_Z,MATCH(A215,Bang_Z,1)))*(INDEX(Bang_F,MATCH(A215,Bang_Z,1)+1)-INDEX(Bang_F,MATCH(A215,Bang_Z,1)))</f>
        <v>5.26</v>
      </c>
      <c r="C215" s="25" t="n">
        <f aca="false">INDEX(Bang_W,MATCH(A215,Bang_Z,1))+(A215-INDEX(Bang_Z,MATCH(A215,Bang_Z,1)))*(INDEX(Bang_F,MATCH(A215,Bang_Z,1))+B215)/2</f>
        <v>27.213</v>
      </c>
      <c r="D215" s="26" t="n">
        <f aca="false">MAX(A215-TC_Z,0)</f>
        <v>0</v>
      </c>
      <c r="E215" s="27" t="n">
        <f aca="false">1-0.2*(TC_xmb+(TC_n-1)*TC_xmt)*D215/(TC_n*TC_b)</f>
        <v>1</v>
      </c>
      <c r="F215" s="28" t="n">
        <f aca="false">TC_s*E215*TC_m*TC_n*TC_b*SQRT(2*g_)*D215^1.5</f>
        <v>0</v>
      </c>
      <c r="G215" s="29" t="n">
        <f aca="false">MAX(A215-SC_Z,0)</f>
        <v>2.09999999999999</v>
      </c>
      <c r="H215" s="30" t="n">
        <f aca="false">1-0.2*(SC_xmb+(SC_n-1)*SC_xmt)*G215/(SC_n*SC_b)</f>
        <v>0.9412</v>
      </c>
      <c r="I215" s="31" t="n">
        <f aca="false">SC_s*H215*SC_m*SC_n*SC_b*SQRT(2*g_)*G215^1.5</f>
        <v>28.5458434839241</v>
      </c>
      <c r="J215" s="32" t="n">
        <f aca="false">F215+I215</f>
        <v>28.5458434839241</v>
      </c>
      <c r="K215" s="32" t="n">
        <f aca="false">F215</f>
        <v>0</v>
      </c>
      <c r="L215" s="32" t="n">
        <f aca="false">C215*1000000/dt_s+J215/2</f>
        <v>7573.43958840862</v>
      </c>
      <c r="M215" s="32" t="n">
        <f aca="false">C215*1000000/dt_s+K215/2</f>
        <v>7559.16666666666</v>
      </c>
    </row>
    <row r="216" customFormat="false" ht="15" hidden="false" customHeight="false" outlineLevel="0" collapsed="false">
      <c r="A216" s="24" t="n">
        <f aca="false">ROUND(A215+0.01,2)</f>
        <v>73.11</v>
      </c>
      <c r="B216" s="25" t="n">
        <f aca="false">INDEX(Bang_F,MATCH(A216,Bang_Z,1))+(A216-INDEX(Bang_Z,MATCH(A216,Bang_Z,1)))*(INDEX(Bang_F,MATCH(A216,Bang_Z,1)+1)-INDEX(Bang_F,MATCH(A216,Bang_Z,1)))</f>
        <v>5.266</v>
      </c>
      <c r="C216" s="25" t="n">
        <f aca="false">INDEX(Bang_W,MATCH(A216,Bang_Z,1))+(A216-INDEX(Bang_Z,MATCH(A216,Bang_Z,1)))*(INDEX(Bang_F,MATCH(A216,Bang_Z,1))+B216)/2</f>
        <v>27.26563</v>
      </c>
      <c r="D216" s="26" t="n">
        <f aca="false">MAX(A216-TC_Z,0)</f>
        <v>0</v>
      </c>
      <c r="E216" s="27" t="n">
        <f aca="false">1-0.2*(TC_xmb+(TC_n-1)*TC_xmt)*D216/(TC_n*TC_b)</f>
        <v>1</v>
      </c>
      <c r="F216" s="28" t="n">
        <f aca="false">TC_s*E216*TC_m*TC_n*TC_b*SQRT(2*g_)*D216^1.5</f>
        <v>0</v>
      </c>
      <c r="G216" s="29" t="n">
        <f aca="false">MAX(A216-SC_Z,0)</f>
        <v>2.11</v>
      </c>
      <c r="H216" s="30" t="n">
        <f aca="false">1-0.2*(SC_xmb+(SC_n-1)*SC_xmt)*G216/(SC_n*SC_b)</f>
        <v>0.94092</v>
      </c>
      <c r="I216" s="31" t="n">
        <f aca="false">SC_s*H216*SC_m*SC_n*SC_b*SQRT(2*g_)*G216^1.5</f>
        <v>28.7414320037233</v>
      </c>
      <c r="J216" s="32" t="n">
        <f aca="false">F216+I216</f>
        <v>28.7414320037233</v>
      </c>
      <c r="K216" s="32" t="n">
        <f aca="false">F216</f>
        <v>0</v>
      </c>
      <c r="L216" s="32" t="n">
        <f aca="false">C216*1000000/dt_s+J216/2</f>
        <v>7588.15682711297</v>
      </c>
      <c r="M216" s="32" t="n">
        <f aca="false">C216*1000000/dt_s+K216/2</f>
        <v>7573.78611111111</v>
      </c>
    </row>
    <row r="217" customFormat="false" ht="15" hidden="false" customHeight="false" outlineLevel="0" collapsed="false">
      <c r="A217" s="24" t="n">
        <f aca="false">ROUND(A216+0.01,2)</f>
        <v>73.12</v>
      </c>
      <c r="B217" s="25" t="n">
        <f aca="false">INDEX(Bang_F,MATCH(A217,Bang_Z,1))+(A217-INDEX(Bang_Z,MATCH(A217,Bang_Z,1)))*(INDEX(Bang_F,MATCH(A217,Bang_Z,1)+1)-INDEX(Bang_F,MATCH(A217,Bang_Z,1)))</f>
        <v>5.272</v>
      </c>
      <c r="C217" s="25" t="n">
        <f aca="false">INDEX(Bang_W,MATCH(A217,Bang_Z,1))+(A217-INDEX(Bang_Z,MATCH(A217,Bang_Z,1)))*(INDEX(Bang_F,MATCH(A217,Bang_Z,1))+B217)/2</f>
        <v>27.31832</v>
      </c>
      <c r="D217" s="26" t="n">
        <f aca="false">MAX(A217-TC_Z,0)</f>
        <v>0</v>
      </c>
      <c r="E217" s="27" t="n">
        <f aca="false">1-0.2*(TC_xmb+(TC_n-1)*TC_xmt)*D217/(TC_n*TC_b)</f>
        <v>1</v>
      </c>
      <c r="F217" s="28" t="n">
        <f aca="false">TC_s*E217*TC_m*TC_n*TC_b*SQRT(2*g_)*D217^1.5</f>
        <v>0</v>
      </c>
      <c r="G217" s="29" t="n">
        <f aca="false">MAX(A217-SC_Z,0)</f>
        <v>2.12</v>
      </c>
      <c r="H217" s="30" t="n">
        <f aca="false">1-0.2*(SC_xmb+(SC_n-1)*SC_xmt)*G217/(SC_n*SC_b)</f>
        <v>0.94064</v>
      </c>
      <c r="I217" s="31" t="n">
        <f aca="false">SC_s*H217*SC_m*SC_n*SC_b*SQRT(2*g_)*G217^1.5</f>
        <v>28.9373830966768</v>
      </c>
      <c r="J217" s="32" t="n">
        <f aca="false">F217+I217</f>
        <v>28.9373830966768</v>
      </c>
      <c r="K217" s="32" t="n">
        <f aca="false">F217</f>
        <v>0</v>
      </c>
      <c r="L217" s="32" t="n">
        <f aca="false">C217*1000000/dt_s+J217/2</f>
        <v>7602.89091377057</v>
      </c>
      <c r="M217" s="32" t="n">
        <f aca="false">C217*1000000/dt_s+K217/2</f>
        <v>7588.42222222223</v>
      </c>
    </row>
    <row r="218" customFormat="false" ht="15" hidden="false" customHeight="false" outlineLevel="0" collapsed="false">
      <c r="A218" s="24" t="n">
        <f aca="false">ROUND(A217+0.01,2)</f>
        <v>73.13</v>
      </c>
      <c r="B218" s="25" t="n">
        <f aca="false">INDEX(Bang_F,MATCH(A218,Bang_Z,1))+(A218-INDEX(Bang_Z,MATCH(A218,Bang_Z,1)))*(INDEX(Bang_F,MATCH(A218,Bang_Z,1)+1)-INDEX(Bang_F,MATCH(A218,Bang_Z,1)))</f>
        <v>5.278</v>
      </c>
      <c r="C218" s="25" t="n">
        <f aca="false">INDEX(Bang_W,MATCH(A218,Bang_Z,1))+(A218-INDEX(Bang_Z,MATCH(A218,Bang_Z,1)))*(INDEX(Bang_F,MATCH(A218,Bang_Z,1))+B218)/2</f>
        <v>27.37107</v>
      </c>
      <c r="D218" s="26" t="n">
        <f aca="false">MAX(A218-TC_Z,0)</f>
        <v>0</v>
      </c>
      <c r="E218" s="27" t="n">
        <f aca="false">1-0.2*(TC_xmb+(TC_n-1)*TC_xmt)*D218/(TC_n*TC_b)</f>
        <v>1</v>
      </c>
      <c r="F218" s="28" t="n">
        <f aca="false">TC_s*E218*TC_m*TC_n*TC_b*SQRT(2*g_)*D218^1.5</f>
        <v>0</v>
      </c>
      <c r="G218" s="29" t="n">
        <f aca="false">MAX(A218-SC_Z,0)</f>
        <v>2.13</v>
      </c>
      <c r="H218" s="30" t="n">
        <f aca="false">1-0.2*(SC_xmb+(SC_n-1)*SC_xmt)*G218/(SC_n*SC_b)</f>
        <v>0.94036</v>
      </c>
      <c r="I218" s="31" t="n">
        <f aca="false">SC_s*H218*SC_m*SC_n*SC_b*SQRT(2*g_)*G218^1.5</f>
        <v>29.1336951879313</v>
      </c>
      <c r="J218" s="32" t="n">
        <f aca="false">F218+I218</f>
        <v>29.1336951879313</v>
      </c>
      <c r="K218" s="32" t="n">
        <f aca="false">F218</f>
        <v>0</v>
      </c>
      <c r="L218" s="32" t="n">
        <f aca="false">C218*1000000/dt_s+J218/2</f>
        <v>7617.64184759396</v>
      </c>
      <c r="M218" s="32" t="n">
        <f aca="false">C218*1000000/dt_s+K218/2</f>
        <v>7603.07499999999</v>
      </c>
    </row>
    <row r="219" customFormat="false" ht="15" hidden="false" customHeight="false" outlineLevel="0" collapsed="false">
      <c r="A219" s="24" t="n">
        <f aca="false">ROUND(A218+0.01,2)</f>
        <v>73.14</v>
      </c>
      <c r="B219" s="25" t="n">
        <f aca="false">INDEX(Bang_F,MATCH(A219,Bang_Z,1))+(A219-INDEX(Bang_Z,MATCH(A219,Bang_Z,1)))*(INDEX(Bang_F,MATCH(A219,Bang_Z,1)+1)-INDEX(Bang_F,MATCH(A219,Bang_Z,1)))</f>
        <v>5.284</v>
      </c>
      <c r="C219" s="25" t="n">
        <f aca="false">INDEX(Bang_W,MATCH(A219,Bang_Z,1))+(A219-INDEX(Bang_Z,MATCH(A219,Bang_Z,1)))*(INDEX(Bang_F,MATCH(A219,Bang_Z,1))+B219)/2</f>
        <v>27.42388</v>
      </c>
      <c r="D219" s="26" t="n">
        <f aca="false">MAX(A219-TC_Z,0)</f>
        <v>0</v>
      </c>
      <c r="E219" s="27" t="n">
        <f aca="false">1-0.2*(TC_xmb+(TC_n-1)*TC_xmt)*D219/(TC_n*TC_b)</f>
        <v>1</v>
      </c>
      <c r="F219" s="28" t="n">
        <f aca="false">TC_s*E219*TC_m*TC_n*TC_b*SQRT(2*g_)*D219^1.5</f>
        <v>0</v>
      </c>
      <c r="G219" s="29" t="n">
        <f aca="false">MAX(A219-SC_Z,0)</f>
        <v>2.14</v>
      </c>
      <c r="H219" s="30" t="n">
        <f aca="false">1-0.2*(SC_xmb+(SC_n-1)*SC_xmt)*G219/(SC_n*SC_b)</f>
        <v>0.94008</v>
      </c>
      <c r="I219" s="31" t="n">
        <f aca="false">SC_s*H219*SC_m*SC_n*SC_b*SQRT(2*g_)*G219^1.5</f>
        <v>29.3303667120493</v>
      </c>
      <c r="J219" s="32" t="n">
        <f aca="false">F219+I219</f>
        <v>29.3303667120493</v>
      </c>
      <c r="K219" s="32" t="n">
        <f aca="false">F219</f>
        <v>0</v>
      </c>
      <c r="L219" s="32" t="n">
        <f aca="false">C219*1000000/dt_s+J219/2</f>
        <v>7632.40962780047</v>
      </c>
      <c r="M219" s="32" t="n">
        <f aca="false">C219*1000000/dt_s+K219/2</f>
        <v>7617.74444444445</v>
      </c>
    </row>
    <row r="220" customFormat="false" ht="15" hidden="false" customHeight="false" outlineLevel="0" collapsed="false">
      <c r="A220" s="24" t="n">
        <f aca="false">ROUND(A219+0.01,2)</f>
        <v>73.15</v>
      </c>
      <c r="B220" s="25" t="n">
        <f aca="false">INDEX(Bang_F,MATCH(A220,Bang_Z,1))+(A220-INDEX(Bang_Z,MATCH(A220,Bang_Z,1)))*(INDEX(Bang_F,MATCH(A220,Bang_Z,1)+1)-INDEX(Bang_F,MATCH(A220,Bang_Z,1)))</f>
        <v>5.29</v>
      </c>
      <c r="C220" s="25" t="n">
        <f aca="false">INDEX(Bang_W,MATCH(A220,Bang_Z,1))+(A220-INDEX(Bang_Z,MATCH(A220,Bang_Z,1)))*(INDEX(Bang_F,MATCH(A220,Bang_Z,1))+B220)/2</f>
        <v>27.47675</v>
      </c>
      <c r="D220" s="26" t="n">
        <f aca="false">MAX(A220-TC_Z,0)</f>
        <v>0</v>
      </c>
      <c r="E220" s="27" t="n">
        <f aca="false">1-0.2*(TC_xmb+(TC_n-1)*TC_xmt)*D220/(TC_n*TC_b)</f>
        <v>1</v>
      </c>
      <c r="F220" s="28" t="n">
        <f aca="false">TC_s*E220*TC_m*TC_n*TC_b*SQRT(2*g_)*D220^1.5</f>
        <v>0</v>
      </c>
      <c r="G220" s="29" t="n">
        <f aca="false">MAX(A220-SC_Z,0)</f>
        <v>2.15000000000001</v>
      </c>
      <c r="H220" s="30" t="n">
        <f aca="false">1-0.2*(SC_xmb+(SC_n-1)*SC_xmt)*G220/(SC_n*SC_b)</f>
        <v>0.9398</v>
      </c>
      <c r="I220" s="31" t="n">
        <f aca="false">SC_s*H220*SC_m*SC_n*SC_b*SQRT(2*g_)*G220^1.5</f>
        <v>29.5273961129007</v>
      </c>
      <c r="J220" s="32" t="n">
        <f aca="false">F220+I220</f>
        <v>29.5273961129007</v>
      </c>
      <c r="K220" s="32" t="n">
        <f aca="false">F220</f>
        <v>0</v>
      </c>
      <c r="L220" s="32" t="n">
        <f aca="false">C220*1000000/dt_s+J220/2</f>
        <v>7647.19425361201</v>
      </c>
      <c r="M220" s="32" t="n">
        <f aca="false">C220*1000000/dt_s+K220/2</f>
        <v>7632.43055555556</v>
      </c>
    </row>
    <row r="221" customFormat="false" ht="15" hidden="false" customHeight="false" outlineLevel="0" collapsed="false">
      <c r="A221" s="24" t="n">
        <f aca="false">ROUND(A220+0.01,2)</f>
        <v>73.16</v>
      </c>
      <c r="B221" s="25" t="n">
        <f aca="false">INDEX(Bang_F,MATCH(A221,Bang_Z,1))+(A221-INDEX(Bang_Z,MATCH(A221,Bang_Z,1)))*(INDEX(Bang_F,MATCH(A221,Bang_Z,1)+1)-INDEX(Bang_F,MATCH(A221,Bang_Z,1)))</f>
        <v>5.296</v>
      </c>
      <c r="C221" s="25" t="n">
        <f aca="false">INDEX(Bang_W,MATCH(A221,Bang_Z,1))+(A221-INDEX(Bang_Z,MATCH(A221,Bang_Z,1)))*(INDEX(Bang_F,MATCH(A221,Bang_Z,1))+B221)/2</f>
        <v>27.52968</v>
      </c>
      <c r="D221" s="26" t="n">
        <f aca="false">MAX(A221-TC_Z,0)</f>
        <v>0</v>
      </c>
      <c r="E221" s="27" t="n">
        <f aca="false">1-0.2*(TC_xmb+(TC_n-1)*TC_xmt)*D221/(TC_n*TC_b)</f>
        <v>1</v>
      </c>
      <c r="F221" s="28" t="n">
        <f aca="false">TC_s*E221*TC_m*TC_n*TC_b*SQRT(2*g_)*D221^1.5</f>
        <v>0</v>
      </c>
      <c r="G221" s="29" t="n">
        <f aca="false">MAX(A221-SC_Z,0)</f>
        <v>2.16</v>
      </c>
      <c r="H221" s="30" t="n">
        <f aca="false">1-0.2*(SC_xmb+(SC_n-1)*SC_xmt)*G221/(SC_n*SC_b)</f>
        <v>0.93952</v>
      </c>
      <c r="I221" s="31" t="n">
        <f aca="false">SC_s*H221*SC_m*SC_n*SC_b*SQRT(2*g_)*G221^1.5</f>
        <v>29.7247818435593</v>
      </c>
      <c r="J221" s="32" t="n">
        <f aca="false">F221+I221</f>
        <v>29.7247818435593</v>
      </c>
      <c r="K221" s="32" t="n">
        <f aca="false">F221</f>
        <v>0</v>
      </c>
      <c r="L221" s="32" t="n">
        <f aca="false">C221*1000000/dt_s+J221/2</f>
        <v>7661.99572425511</v>
      </c>
      <c r="M221" s="32" t="n">
        <f aca="false">C221*1000000/dt_s+K221/2</f>
        <v>7647.13333333333</v>
      </c>
    </row>
    <row r="222" customFormat="false" ht="15" hidden="false" customHeight="false" outlineLevel="0" collapsed="false">
      <c r="A222" s="24" t="n">
        <f aca="false">ROUND(A221+0.01,2)</f>
        <v>73.17</v>
      </c>
      <c r="B222" s="25" t="n">
        <f aca="false">INDEX(Bang_F,MATCH(A222,Bang_Z,1))+(A222-INDEX(Bang_Z,MATCH(A222,Bang_Z,1)))*(INDEX(Bang_F,MATCH(A222,Bang_Z,1)+1)-INDEX(Bang_F,MATCH(A222,Bang_Z,1)))</f>
        <v>5.302</v>
      </c>
      <c r="C222" s="25" t="n">
        <f aca="false">INDEX(Bang_W,MATCH(A222,Bang_Z,1))+(A222-INDEX(Bang_Z,MATCH(A222,Bang_Z,1)))*(INDEX(Bang_F,MATCH(A222,Bang_Z,1))+B222)/2</f>
        <v>27.58267</v>
      </c>
      <c r="D222" s="26" t="n">
        <f aca="false">MAX(A222-TC_Z,0)</f>
        <v>0</v>
      </c>
      <c r="E222" s="27" t="n">
        <f aca="false">1-0.2*(TC_xmb+(TC_n-1)*TC_xmt)*D222/(TC_n*TC_b)</f>
        <v>1</v>
      </c>
      <c r="F222" s="28" t="n">
        <f aca="false">TC_s*E222*TC_m*TC_n*TC_b*SQRT(2*g_)*D222^1.5</f>
        <v>0</v>
      </c>
      <c r="G222" s="29" t="n">
        <f aca="false">MAX(A222-SC_Z,0)</f>
        <v>2.17</v>
      </c>
      <c r="H222" s="30" t="n">
        <f aca="false">1-0.2*(SC_xmb+(SC_n-1)*SC_xmt)*G222/(SC_n*SC_b)</f>
        <v>0.93924</v>
      </c>
      <c r="I222" s="31" t="n">
        <f aca="false">SC_s*H222*SC_m*SC_n*SC_b*SQRT(2*g_)*G222^1.5</f>
        <v>29.9225223662008</v>
      </c>
      <c r="J222" s="32" t="n">
        <f aca="false">F222+I222</f>
        <v>29.9225223662008</v>
      </c>
      <c r="K222" s="32" t="n">
        <f aca="false">F222</f>
        <v>0</v>
      </c>
      <c r="L222" s="32" t="n">
        <f aca="false">C222*1000000/dt_s+J222/2</f>
        <v>7676.81403896088</v>
      </c>
      <c r="M222" s="32" t="n">
        <f aca="false">C222*1000000/dt_s+K222/2</f>
        <v>7661.85277777778</v>
      </c>
    </row>
    <row r="223" customFormat="false" ht="15" hidden="false" customHeight="false" outlineLevel="0" collapsed="false">
      <c r="A223" s="24" t="n">
        <f aca="false">ROUND(A222+0.01,2)</f>
        <v>73.18</v>
      </c>
      <c r="B223" s="25" t="n">
        <f aca="false">INDEX(Bang_F,MATCH(A223,Bang_Z,1))+(A223-INDEX(Bang_Z,MATCH(A223,Bang_Z,1)))*(INDEX(Bang_F,MATCH(A223,Bang_Z,1)+1)-INDEX(Bang_F,MATCH(A223,Bang_Z,1)))</f>
        <v>5.308</v>
      </c>
      <c r="C223" s="25" t="n">
        <f aca="false">INDEX(Bang_W,MATCH(A223,Bang_Z,1))+(A223-INDEX(Bang_Z,MATCH(A223,Bang_Z,1)))*(INDEX(Bang_F,MATCH(A223,Bang_Z,1))+B223)/2</f>
        <v>27.63572</v>
      </c>
      <c r="D223" s="26" t="n">
        <f aca="false">MAX(A223-TC_Z,0)</f>
        <v>0</v>
      </c>
      <c r="E223" s="27" t="n">
        <f aca="false">1-0.2*(TC_xmb+(TC_n-1)*TC_xmt)*D223/(TC_n*TC_b)</f>
        <v>1</v>
      </c>
      <c r="F223" s="28" t="n">
        <f aca="false">TC_s*E223*TC_m*TC_n*TC_b*SQRT(2*g_)*D223^1.5</f>
        <v>0</v>
      </c>
      <c r="G223" s="29" t="n">
        <f aca="false">MAX(A223-SC_Z,0)</f>
        <v>2.18000000000001</v>
      </c>
      <c r="H223" s="30" t="n">
        <f aca="false">1-0.2*(SC_xmb+(SC_n-1)*SC_xmt)*G223/(SC_n*SC_b)</f>
        <v>0.93896</v>
      </c>
      <c r="I223" s="31" t="n">
        <f aca="false">SC_s*H223*SC_m*SC_n*SC_b*SQRT(2*g_)*G223^1.5</f>
        <v>30.1206161520001</v>
      </c>
      <c r="J223" s="32" t="n">
        <f aca="false">F223+I223</f>
        <v>30.1206161520001</v>
      </c>
      <c r="K223" s="32" t="n">
        <f aca="false">F223</f>
        <v>0</v>
      </c>
      <c r="L223" s="32" t="n">
        <f aca="false">C223*1000000/dt_s+J223/2</f>
        <v>7691.6491969649</v>
      </c>
      <c r="M223" s="32" t="n">
        <f aca="false">C223*1000000/dt_s+K223/2</f>
        <v>7676.5888888889</v>
      </c>
    </row>
    <row r="224" customFormat="false" ht="15" hidden="false" customHeight="false" outlineLevel="0" collapsed="false">
      <c r="A224" s="24" t="n">
        <f aca="false">ROUND(A223+0.01,2)</f>
        <v>73.19</v>
      </c>
      <c r="B224" s="25" t="n">
        <f aca="false">INDEX(Bang_F,MATCH(A224,Bang_Z,1))+(A224-INDEX(Bang_Z,MATCH(A224,Bang_Z,1)))*(INDEX(Bang_F,MATCH(A224,Bang_Z,1)+1)-INDEX(Bang_F,MATCH(A224,Bang_Z,1)))</f>
        <v>5.314</v>
      </c>
      <c r="C224" s="25" t="n">
        <f aca="false">INDEX(Bang_W,MATCH(A224,Bang_Z,1))+(A224-INDEX(Bang_Z,MATCH(A224,Bang_Z,1)))*(INDEX(Bang_F,MATCH(A224,Bang_Z,1))+B224)/2</f>
        <v>27.68883</v>
      </c>
      <c r="D224" s="26" t="n">
        <f aca="false">MAX(A224-TC_Z,0)</f>
        <v>0</v>
      </c>
      <c r="E224" s="27" t="n">
        <f aca="false">1-0.2*(TC_xmb+(TC_n-1)*TC_xmt)*D224/(TC_n*TC_b)</f>
        <v>1</v>
      </c>
      <c r="F224" s="28" t="n">
        <f aca="false">TC_s*E224*TC_m*TC_n*TC_b*SQRT(2*g_)*D224^1.5</f>
        <v>0</v>
      </c>
      <c r="G224" s="29" t="n">
        <f aca="false">MAX(A224-SC_Z,0)</f>
        <v>2.19</v>
      </c>
      <c r="H224" s="30" t="n">
        <f aca="false">1-0.2*(SC_xmb+(SC_n-1)*SC_xmt)*G224/(SC_n*SC_b)</f>
        <v>0.93868</v>
      </c>
      <c r="I224" s="31" t="n">
        <f aca="false">SC_s*H224*SC_m*SC_n*SC_b*SQRT(2*g_)*G224^1.5</f>
        <v>30.3190616810328</v>
      </c>
      <c r="J224" s="32" t="n">
        <f aca="false">F224+I224</f>
        <v>30.3190616810328</v>
      </c>
      <c r="K224" s="32" t="n">
        <f aca="false">F224</f>
        <v>0</v>
      </c>
      <c r="L224" s="32" t="n">
        <f aca="false">C224*1000000/dt_s+J224/2</f>
        <v>7706.50119750718</v>
      </c>
      <c r="M224" s="32" t="n">
        <f aca="false">C224*1000000/dt_s+K224/2</f>
        <v>7691.34166666666</v>
      </c>
    </row>
    <row r="225" customFormat="false" ht="15" hidden="false" customHeight="false" outlineLevel="0" collapsed="false">
      <c r="A225" s="24" t="n">
        <f aca="false">ROUND(A224+0.01,2)</f>
        <v>73.2</v>
      </c>
      <c r="B225" s="25" t="n">
        <f aca="false">INDEX(Bang_F,MATCH(A225,Bang_Z,1))+(A225-INDEX(Bang_Z,MATCH(A225,Bang_Z,1)))*(INDEX(Bang_F,MATCH(A225,Bang_Z,1)+1)-INDEX(Bang_F,MATCH(A225,Bang_Z,1)))</f>
        <v>5.32</v>
      </c>
      <c r="C225" s="25" t="n">
        <f aca="false">INDEX(Bang_W,MATCH(A225,Bang_Z,1))+(A225-INDEX(Bang_Z,MATCH(A225,Bang_Z,1)))*(INDEX(Bang_F,MATCH(A225,Bang_Z,1))+B225)/2</f>
        <v>27.742</v>
      </c>
      <c r="D225" s="26" t="n">
        <f aca="false">MAX(A225-TC_Z,0)</f>
        <v>0</v>
      </c>
      <c r="E225" s="27" t="n">
        <f aca="false">1-0.2*(TC_xmb+(TC_n-1)*TC_xmt)*D225/(TC_n*TC_b)</f>
        <v>1</v>
      </c>
      <c r="F225" s="28" t="n">
        <f aca="false">TC_s*E225*TC_m*TC_n*TC_b*SQRT(2*g_)*D225^1.5</f>
        <v>0</v>
      </c>
      <c r="G225" s="29" t="n">
        <f aca="false">MAX(A225-SC_Z,0)</f>
        <v>2.2</v>
      </c>
      <c r="H225" s="30" t="n">
        <f aca="false">1-0.2*(SC_xmb+(SC_n-1)*SC_xmt)*G225/(SC_n*SC_b)</f>
        <v>0.9384</v>
      </c>
      <c r="I225" s="31" t="n">
        <f aca="false">SC_s*H225*SC_m*SC_n*SC_b*SQRT(2*g_)*G225^1.5</f>
        <v>30.5178574421772</v>
      </c>
      <c r="J225" s="32" t="n">
        <f aca="false">F225+I225</f>
        <v>30.5178574421772</v>
      </c>
      <c r="K225" s="32" t="n">
        <f aca="false">F225</f>
        <v>0</v>
      </c>
      <c r="L225" s="32" t="n">
        <f aca="false">C225*1000000/dt_s+J225/2</f>
        <v>7721.3700398322</v>
      </c>
      <c r="M225" s="32" t="n">
        <f aca="false">C225*1000000/dt_s+K225/2</f>
        <v>7706.11111111112</v>
      </c>
    </row>
    <row r="226" customFormat="false" ht="15" hidden="false" customHeight="false" outlineLevel="0" collapsed="false">
      <c r="A226" s="24" t="n">
        <f aca="false">ROUND(A225+0.01,2)</f>
        <v>73.21</v>
      </c>
      <c r="B226" s="25" t="n">
        <f aca="false">INDEX(Bang_F,MATCH(A226,Bang_Z,1))+(A226-INDEX(Bang_Z,MATCH(A226,Bang_Z,1)))*(INDEX(Bang_F,MATCH(A226,Bang_Z,1)+1)-INDEX(Bang_F,MATCH(A226,Bang_Z,1)))</f>
        <v>5.326</v>
      </c>
      <c r="C226" s="25" t="n">
        <f aca="false">INDEX(Bang_W,MATCH(A226,Bang_Z,1))+(A226-INDEX(Bang_Z,MATCH(A226,Bang_Z,1)))*(INDEX(Bang_F,MATCH(A226,Bang_Z,1))+B226)/2</f>
        <v>27.79523</v>
      </c>
      <c r="D226" s="26" t="n">
        <f aca="false">MAX(A226-TC_Z,0)</f>
        <v>0</v>
      </c>
      <c r="E226" s="27" t="n">
        <f aca="false">1-0.2*(TC_xmb+(TC_n-1)*TC_xmt)*D226/(TC_n*TC_b)</f>
        <v>1</v>
      </c>
      <c r="F226" s="28" t="n">
        <f aca="false">TC_s*E226*TC_m*TC_n*TC_b*SQRT(2*g_)*D226^1.5</f>
        <v>0</v>
      </c>
      <c r="G226" s="29" t="n">
        <f aca="false">MAX(A226-SC_Z,0)</f>
        <v>2.20999999999999</v>
      </c>
      <c r="H226" s="30" t="n">
        <f aca="false">1-0.2*(SC_xmb+(SC_n-1)*SC_xmt)*G226/(SC_n*SC_b)</f>
        <v>0.93812</v>
      </c>
      <c r="I226" s="31" t="n">
        <f aca="false">SC_s*H226*SC_m*SC_n*SC_b*SQRT(2*g_)*G226^1.5</f>
        <v>30.7170019330171</v>
      </c>
      <c r="J226" s="32" t="n">
        <f aca="false">F226+I226</f>
        <v>30.7170019330171</v>
      </c>
      <c r="K226" s="32" t="n">
        <f aca="false">F226</f>
        <v>0</v>
      </c>
      <c r="L226" s="32" t="n">
        <f aca="false">C226*1000000/dt_s+J226/2</f>
        <v>7736.25572318872</v>
      </c>
      <c r="M226" s="32" t="n">
        <f aca="false">C226*1000000/dt_s+K226/2</f>
        <v>7720.89722222221</v>
      </c>
    </row>
    <row r="227" customFormat="false" ht="15" hidden="false" customHeight="false" outlineLevel="0" collapsed="false">
      <c r="A227" s="24" t="n">
        <f aca="false">ROUND(A226+0.01,2)</f>
        <v>73.22</v>
      </c>
      <c r="B227" s="25" t="n">
        <f aca="false">INDEX(Bang_F,MATCH(A227,Bang_Z,1))+(A227-INDEX(Bang_Z,MATCH(A227,Bang_Z,1)))*(INDEX(Bang_F,MATCH(A227,Bang_Z,1)+1)-INDEX(Bang_F,MATCH(A227,Bang_Z,1)))</f>
        <v>5.332</v>
      </c>
      <c r="C227" s="25" t="n">
        <f aca="false">INDEX(Bang_W,MATCH(A227,Bang_Z,1))+(A227-INDEX(Bang_Z,MATCH(A227,Bang_Z,1)))*(INDEX(Bang_F,MATCH(A227,Bang_Z,1))+B227)/2</f>
        <v>27.84852</v>
      </c>
      <c r="D227" s="26" t="n">
        <f aca="false">MAX(A227-TC_Z,0)</f>
        <v>0</v>
      </c>
      <c r="E227" s="27" t="n">
        <f aca="false">1-0.2*(TC_xmb+(TC_n-1)*TC_xmt)*D227/(TC_n*TC_b)</f>
        <v>1</v>
      </c>
      <c r="F227" s="28" t="n">
        <f aca="false">TC_s*E227*TC_m*TC_n*TC_b*SQRT(2*g_)*D227^1.5</f>
        <v>0</v>
      </c>
      <c r="G227" s="29" t="n">
        <f aca="false">MAX(A227-SC_Z,0)</f>
        <v>2.22</v>
      </c>
      <c r="H227" s="30" t="n">
        <f aca="false">1-0.2*(SC_xmb+(SC_n-1)*SC_xmt)*G227/(SC_n*SC_b)</f>
        <v>0.93784</v>
      </c>
      <c r="I227" s="31" t="n">
        <f aca="false">SC_s*H227*SC_m*SC_n*SC_b*SQRT(2*g_)*G227^1.5</f>
        <v>30.9164936597478</v>
      </c>
      <c r="J227" s="32" t="n">
        <f aca="false">F227+I227</f>
        <v>30.9164936597478</v>
      </c>
      <c r="K227" s="32" t="n">
        <f aca="false">F227</f>
        <v>0</v>
      </c>
      <c r="L227" s="32" t="n">
        <f aca="false">C227*1000000/dt_s+J227/2</f>
        <v>7751.15824682987</v>
      </c>
      <c r="M227" s="32" t="n">
        <f aca="false">C227*1000000/dt_s+K227/2</f>
        <v>7735.7</v>
      </c>
    </row>
    <row r="228" customFormat="false" ht="15" hidden="false" customHeight="false" outlineLevel="0" collapsed="false">
      <c r="A228" s="24" t="n">
        <f aca="false">ROUND(A227+0.01,2)</f>
        <v>73.23</v>
      </c>
      <c r="B228" s="25" t="n">
        <f aca="false">INDEX(Bang_F,MATCH(A228,Bang_Z,1))+(A228-INDEX(Bang_Z,MATCH(A228,Bang_Z,1)))*(INDEX(Bang_F,MATCH(A228,Bang_Z,1)+1)-INDEX(Bang_F,MATCH(A228,Bang_Z,1)))</f>
        <v>5.338</v>
      </c>
      <c r="C228" s="25" t="n">
        <f aca="false">INDEX(Bang_W,MATCH(A228,Bang_Z,1))+(A228-INDEX(Bang_Z,MATCH(A228,Bang_Z,1)))*(INDEX(Bang_F,MATCH(A228,Bang_Z,1))+B228)/2</f>
        <v>27.90187</v>
      </c>
      <c r="D228" s="26" t="n">
        <f aca="false">MAX(A228-TC_Z,0)</f>
        <v>0</v>
      </c>
      <c r="E228" s="27" t="n">
        <f aca="false">1-0.2*(TC_xmb+(TC_n-1)*TC_xmt)*D228/(TC_n*TC_b)</f>
        <v>1</v>
      </c>
      <c r="F228" s="28" t="n">
        <f aca="false">TC_s*E228*TC_m*TC_n*TC_b*SQRT(2*g_)*D228^1.5</f>
        <v>0</v>
      </c>
      <c r="G228" s="29" t="n">
        <f aca="false">MAX(A228-SC_Z,0)</f>
        <v>2.23</v>
      </c>
      <c r="H228" s="30" t="n">
        <f aca="false">1-0.2*(SC_xmb+(SC_n-1)*SC_xmt)*G228/(SC_n*SC_b)</f>
        <v>0.93756</v>
      </c>
      <c r="I228" s="31" t="n">
        <f aca="false">SC_s*H228*SC_m*SC_n*SC_b*SQRT(2*g_)*G228^1.5</f>
        <v>31.1163311370817</v>
      </c>
      <c r="J228" s="32" t="n">
        <f aca="false">F228+I228</f>
        <v>31.1163311370817</v>
      </c>
      <c r="K228" s="32" t="n">
        <f aca="false">F228</f>
        <v>0</v>
      </c>
      <c r="L228" s="32" t="n">
        <f aca="false">C228*1000000/dt_s+J228/2</f>
        <v>7766.07761001299</v>
      </c>
      <c r="M228" s="32" t="n">
        <f aca="false">C228*1000000/dt_s+K228/2</f>
        <v>7750.51944444445</v>
      </c>
    </row>
    <row r="229" customFormat="false" ht="15" hidden="false" customHeight="false" outlineLevel="0" collapsed="false">
      <c r="A229" s="24" t="n">
        <f aca="false">ROUND(A228+0.01,2)</f>
        <v>73.24</v>
      </c>
      <c r="B229" s="25" t="n">
        <f aca="false">INDEX(Bang_F,MATCH(A229,Bang_Z,1))+(A229-INDEX(Bang_Z,MATCH(A229,Bang_Z,1)))*(INDEX(Bang_F,MATCH(A229,Bang_Z,1)+1)-INDEX(Bang_F,MATCH(A229,Bang_Z,1)))</f>
        <v>5.344</v>
      </c>
      <c r="C229" s="25" t="n">
        <f aca="false">INDEX(Bang_W,MATCH(A229,Bang_Z,1))+(A229-INDEX(Bang_Z,MATCH(A229,Bang_Z,1)))*(INDEX(Bang_F,MATCH(A229,Bang_Z,1))+B229)/2</f>
        <v>27.95528</v>
      </c>
      <c r="D229" s="26" t="n">
        <f aca="false">MAX(A229-TC_Z,0)</f>
        <v>0</v>
      </c>
      <c r="E229" s="27" t="n">
        <f aca="false">1-0.2*(TC_xmb+(TC_n-1)*TC_xmt)*D229/(TC_n*TC_b)</f>
        <v>1</v>
      </c>
      <c r="F229" s="28" t="n">
        <f aca="false">TC_s*E229*TC_m*TC_n*TC_b*SQRT(2*g_)*D229^1.5</f>
        <v>0</v>
      </c>
      <c r="G229" s="29" t="n">
        <f aca="false">MAX(A229-SC_Z,0)</f>
        <v>2.24</v>
      </c>
      <c r="H229" s="30" t="n">
        <f aca="false">1-0.2*(SC_xmb+(SC_n-1)*SC_xmt)*G229/(SC_n*SC_b)</f>
        <v>0.93728</v>
      </c>
      <c r="I229" s="31" t="n">
        <f aca="false">SC_s*H229*SC_m*SC_n*SC_b*SQRT(2*g_)*G229^1.5</f>
        <v>31.3165128881567</v>
      </c>
      <c r="J229" s="32" t="n">
        <f aca="false">F229+I229</f>
        <v>31.3165128881567</v>
      </c>
      <c r="K229" s="32" t="n">
        <f aca="false">F229</f>
        <v>0</v>
      </c>
      <c r="L229" s="32" t="n">
        <f aca="false">C229*1000000/dt_s+J229/2</f>
        <v>7781.01381199963</v>
      </c>
      <c r="M229" s="32" t="n">
        <f aca="false">C229*1000000/dt_s+K229/2</f>
        <v>7765.35555555555</v>
      </c>
    </row>
    <row r="230" customFormat="false" ht="15" hidden="false" customHeight="false" outlineLevel="0" collapsed="false">
      <c r="A230" s="24" t="n">
        <f aca="false">ROUND(A229+0.01,2)</f>
        <v>73.25</v>
      </c>
      <c r="B230" s="25" t="n">
        <f aca="false">INDEX(Bang_F,MATCH(A230,Bang_Z,1))+(A230-INDEX(Bang_Z,MATCH(A230,Bang_Z,1)))*(INDEX(Bang_F,MATCH(A230,Bang_Z,1)+1)-INDEX(Bang_F,MATCH(A230,Bang_Z,1)))</f>
        <v>5.35</v>
      </c>
      <c r="C230" s="25" t="n">
        <f aca="false">INDEX(Bang_W,MATCH(A230,Bang_Z,1))+(A230-INDEX(Bang_Z,MATCH(A230,Bang_Z,1)))*(INDEX(Bang_F,MATCH(A230,Bang_Z,1))+B230)/2</f>
        <v>28.00875</v>
      </c>
      <c r="D230" s="26" t="n">
        <f aca="false">MAX(A230-TC_Z,0)</f>
        <v>0</v>
      </c>
      <c r="E230" s="27" t="n">
        <f aca="false">1-0.2*(TC_xmb+(TC_n-1)*TC_xmt)*D230/(TC_n*TC_b)</f>
        <v>1</v>
      </c>
      <c r="F230" s="28" t="n">
        <f aca="false">TC_s*E230*TC_m*TC_n*TC_b*SQRT(2*g_)*D230^1.5</f>
        <v>0</v>
      </c>
      <c r="G230" s="29" t="n">
        <f aca="false">MAX(A230-SC_Z,0)</f>
        <v>2.25</v>
      </c>
      <c r="H230" s="30" t="n">
        <f aca="false">1-0.2*(SC_xmb+(SC_n-1)*SC_xmt)*G230/(SC_n*SC_b)</f>
        <v>0.937</v>
      </c>
      <c r="I230" s="31" t="n">
        <f aca="false">SC_s*H230*SC_m*SC_n*SC_b*SQRT(2*g_)*G230^1.5</f>
        <v>31.5170374444463</v>
      </c>
      <c r="J230" s="32" t="n">
        <f aca="false">F230+I230</f>
        <v>31.5170374444463</v>
      </c>
      <c r="K230" s="32" t="n">
        <f aca="false">F230</f>
        <v>0</v>
      </c>
      <c r="L230" s="32" t="n">
        <f aca="false">C230*1000000/dt_s+J230/2</f>
        <v>7795.96685205556</v>
      </c>
      <c r="M230" s="32" t="n">
        <f aca="false">C230*1000000/dt_s+K230/2</f>
        <v>7780.20833333333</v>
      </c>
    </row>
    <row r="231" customFormat="false" ht="15" hidden="false" customHeight="false" outlineLevel="0" collapsed="false">
      <c r="A231" s="24" t="n">
        <f aca="false">ROUND(A230+0.01,2)</f>
        <v>73.26</v>
      </c>
      <c r="B231" s="25" t="n">
        <f aca="false">INDEX(Bang_F,MATCH(A231,Bang_Z,1))+(A231-INDEX(Bang_Z,MATCH(A231,Bang_Z,1)))*(INDEX(Bang_F,MATCH(A231,Bang_Z,1)+1)-INDEX(Bang_F,MATCH(A231,Bang_Z,1)))</f>
        <v>5.356</v>
      </c>
      <c r="C231" s="25" t="n">
        <f aca="false">INDEX(Bang_W,MATCH(A231,Bang_Z,1))+(A231-INDEX(Bang_Z,MATCH(A231,Bang_Z,1)))*(INDEX(Bang_F,MATCH(A231,Bang_Z,1))+B231)/2</f>
        <v>28.06228</v>
      </c>
      <c r="D231" s="26" t="n">
        <f aca="false">MAX(A231-TC_Z,0)</f>
        <v>0</v>
      </c>
      <c r="E231" s="27" t="n">
        <f aca="false">1-0.2*(TC_xmb+(TC_n-1)*TC_xmt)*D231/(TC_n*TC_b)</f>
        <v>1</v>
      </c>
      <c r="F231" s="28" t="n">
        <f aca="false">TC_s*E231*TC_m*TC_n*TC_b*SQRT(2*g_)*D231^1.5</f>
        <v>0</v>
      </c>
      <c r="G231" s="29" t="n">
        <f aca="false">MAX(A231-SC_Z,0)</f>
        <v>2.26000000000001</v>
      </c>
      <c r="H231" s="30" t="n">
        <f aca="false">1-0.2*(SC_xmb+(SC_n-1)*SC_xmt)*G231/(SC_n*SC_b)</f>
        <v>0.93672</v>
      </c>
      <c r="I231" s="31" t="n">
        <f aca="false">SC_s*H231*SC_m*SC_n*SC_b*SQRT(2*g_)*G231^1.5</f>
        <v>31.7179033456688</v>
      </c>
      <c r="J231" s="32" t="n">
        <f aca="false">F231+I231</f>
        <v>31.7179033456688</v>
      </c>
      <c r="K231" s="32" t="n">
        <f aca="false">F231</f>
        <v>0</v>
      </c>
      <c r="L231" s="32" t="n">
        <f aca="false">C231*1000000/dt_s+J231/2</f>
        <v>7810.93672945062</v>
      </c>
      <c r="M231" s="32" t="n">
        <f aca="false">C231*1000000/dt_s+K231/2</f>
        <v>7795.07777777779</v>
      </c>
    </row>
    <row r="232" customFormat="false" ht="15" hidden="false" customHeight="false" outlineLevel="0" collapsed="false">
      <c r="A232" s="24" t="n">
        <f aca="false">ROUND(A231+0.01,2)</f>
        <v>73.27</v>
      </c>
      <c r="B232" s="25" t="n">
        <f aca="false">INDEX(Bang_F,MATCH(A232,Bang_Z,1))+(A232-INDEX(Bang_Z,MATCH(A232,Bang_Z,1)))*(INDEX(Bang_F,MATCH(A232,Bang_Z,1)+1)-INDEX(Bang_F,MATCH(A232,Bang_Z,1)))</f>
        <v>5.362</v>
      </c>
      <c r="C232" s="25" t="n">
        <f aca="false">INDEX(Bang_W,MATCH(A232,Bang_Z,1))+(A232-INDEX(Bang_Z,MATCH(A232,Bang_Z,1)))*(INDEX(Bang_F,MATCH(A232,Bang_Z,1))+B232)/2</f>
        <v>28.11587</v>
      </c>
      <c r="D232" s="26" t="n">
        <f aca="false">MAX(A232-TC_Z,0)</f>
        <v>0</v>
      </c>
      <c r="E232" s="27" t="n">
        <f aca="false">1-0.2*(TC_xmb+(TC_n-1)*TC_xmt)*D232/(TC_n*TC_b)</f>
        <v>1</v>
      </c>
      <c r="F232" s="28" t="n">
        <f aca="false">TC_s*E232*TC_m*TC_n*TC_b*SQRT(2*g_)*D232^1.5</f>
        <v>0</v>
      </c>
      <c r="G232" s="29" t="n">
        <f aca="false">MAX(A232-SC_Z,0)</f>
        <v>2.27</v>
      </c>
      <c r="H232" s="30" t="n">
        <f aca="false">1-0.2*(SC_xmb+(SC_n-1)*SC_xmt)*G232/(SC_n*SC_b)</f>
        <v>0.93644</v>
      </c>
      <c r="I232" s="31" t="n">
        <f aca="false">SC_s*H232*SC_m*SC_n*SC_b*SQRT(2*g_)*G232^1.5</f>
        <v>31.9191091397003</v>
      </c>
      <c r="J232" s="32" t="n">
        <f aca="false">F232+I232</f>
        <v>31.9191091397003</v>
      </c>
      <c r="K232" s="32" t="n">
        <f aca="false">F232</f>
        <v>0</v>
      </c>
      <c r="L232" s="32" t="n">
        <f aca="false">C232*1000000/dt_s+J232/2</f>
        <v>7825.92344345873</v>
      </c>
      <c r="M232" s="32" t="n">
        <f aca="false">C232*1000000/dt_s+K232/2</f>
        <v>7809.96388888888</v>
      </c>
    </row>
    <row r="233" customFormat="false" ht="15" hidden="false" customHeight="false" outlineLevel="0" collapsed="false">
      <c r="A233" s="24" t="n">
        <f aca="false">ROUND(A232+0.01,2)</f>
        <v>73.28</v>
      </c>
      <c r="B233" s="25" t="n">
        <f aca="false">INDEX(Bang_F,MATCH(A233,Bang_Z,1))+(A233-INDEX(Bang_Z,MATCH(A233,Bang_Z,1)))*(INDEX(Bang_F,MATCH(A233,Bang_Z,1)+1)-INDEX(Bang_F,MATCH(A233,Bang_Z,1)))</f>
        <v>5.368</v>
      </c>
      <c r="C233" s="25" t="n">
        <f aca="false">INDEX(Bang_W,MATCH(A233,Bang_Z,1))+(A233-INDEX(Bang_Z,MATCH(A233,Bang_Z,1)))*(INDEX(Bang_F,MATCH(A233,Bang_Z,1))+B233)/2</f>
        <v>28.16952</v>
      </c>
      <c r="D233" s="26" t="n">
        <f aca="false">MAX(A233-TC_Z,0)</f>
        <v>0</v>
      </c>
      <c r="E233" s="27" t="n">
        <f aca="false">1-0.2*(TC_xmb+(TC_n-1)*TC_xmt)*D233/(TC_n*TC_b)</f>
        <v>1</v>
      </c>
      <c r="F233" s="28" t="n">
        <f aca="false">TC_s*E233*TC_m*TC_n*TC_b*SQRT(2*g_)*D233^1.5</f>
        <v>0</v>
      </c>
      <c r="G233" s="29" t="n">
        <f aca="false">MAX(A233-SC_Z,0)</f>
        <v>2.28</v>
      </c>
      <c r="H233" s="30" t="n">
        <f aca="false">1-0.2*(SC_xmb+(SC_n-1)*SC_xmt)*G233/(SC_n*SC_b)</f>
        <v>0.93616</v>
      </c>
      <c r="I233" s="31" t="n">
        <f aca="false">SC_s*H233*SC_m*SC_n*SC_b*SQRT(2*g_)*G233^1.5</f>
        <v>32.1206533824892</v>
      </c>
      <c r="J233" s="32" t="n">
        <f aca="false">F233+I233</f>
        <v>32.1206533824892</v>
      </c>
      <c r="K233" s="32" t="n">
        <f aca="false">F233</f>
        <v>0</v>
      </c>
      <c r="L233" s="32" t="n">
        <f aca="false">C233*1000000/dt_s+J233/2</f>
        <v>7840.92699335791</v>
      </c>
      <c r="M233" s="32" t="n">
        <f aca="false">C233*1000000/dt_s+K233/2</f>
        <v>7824.86666666667</v>
      </c>
    </row>
    <row r="234" customFormat="false" ht="15" hidden="false" customHeight="false" outlineLevel="0" collapsed="false">
      <c r="A234" s="24" t="n">
        <f aca="false">ROUND(A233+0.01,2)</f>
        <v>73.29</v>
      </c>
      <c r="B234" s="25" t="n">
        <f aca="false">INDEX(Bang_F,MATCH(A234,Bang_Z,1))+(A234-INDEX(Bang_Z,MATCH(A234,Bang_Z,1)))*(INDEX(Bang_F,MATCH(A234,Bang_Z,1)+1)-INDEX(Bang_F,MATCH(A234,Bang_Z,1)))</f>
        <v>5.374</v>
      </c>
      <c r="C234" s="25" t="n">
        <f aca="false">INDEX(Bang_W,MATCH(A234,Bang_Z,1))+(A234-INDEX(Bang_Z,MATCH(A234,Bang_Z,1)))*(INDEX(Bang_F,MATCH(A234,Bang_Z,1))+B234)/2</f>
        <v>28.22323</v>
      </c>
      <c r="D234" s="26" t="n">
        <f aca="false">MAX(A234-TC_Z,0)</f>
        <v>0</v>
      </c>
      <c r="E234" s="27" t="n">
        <f aca="false">1-0.2*(TC_xmb+(TC_n-1)*TC_xmt)*D234/(TC_n*TC_b)</f>
        <v>1</v>
      </c>
      <c r="F234" s="28" t="n">
        <f aca="false">TC_s*E234*TC_m*TC_n*TC_b*SQRT(2*g_)*D234^1.5</f>
        <v>0</v>
      </c>
      <c r="G234" s="29" t="n">
        <f aca="false">MAX(A234-SC_Z,0)</f>
        <v>2.29000000000001</v>
      </c>
      <c r="H234" s="30" t="n">
        <f aca="false">1-0.2*(SC_xmb+(SC_n-1)*SC_xmt)*G234/(SC_n*SC_b)</f>
        <v>0.93588</v>
      </c>
      <c r="I234" s="31" t="n">
        <f aca="false">SC_s*H234*SC_m*SC_n*SC_b*SQRT(2*g_)*G234^1.5</f>
        <v>32.3225346379687</v>
      </c>
      <c r="J234" s="32" t="n">
        <f aca="false">F234+I234</f>
        <v>32.3225346379687</v>
      </c>
      <c r="K234" s="32" t="n">
        <f aca="false">F234</f>
        <v>0</v>
      </c>
      <c r="L234" s="32" t="n">
        <f aca="false">C234*1000000/dt_s+J234/2</f>
        <v>7855.94737843011</v>
      </c>
      <c r="M234" s="32" t="n">
        <f aca="false">C234*1000000/dt_s+K234/2</f>
        <v>7839.78611111112</v>
      </c>
    </row>
    <row r="235" customFormat="false" ht="15" hidden="false" customHeight="false" outlineLevel="0" collapsed="false">
      <c r="A235" s="24" t="n">
        <f aca="false">ROUND(A234+0.01,2)</f>
        <v>73.3</v>
      </c>
      <c r="B235" s="25" t="n">
        <f aca="false">INDEX(Bang_F,MATCH(A235,Bang_Z,1))+(A235-INDEX(Bang_Z,MATCH(A235,Bang_Z,1)))*(INDEX(Bang_F,MATCH(A235,Bang_Z,1)+1)-INDEX(Bang_F,MATCH(A235,Bang_Z,1)))</f>
        <v>5.38</v>
      </c>
      <c r="C235" s="25" t="n">
        <f aca="false">INDEX(Bang_W,MATCH(A235,Bang_Z,1))+(A235-INDEX(Bang_Z,MATCH(A235,Bang_Z,1)))*(INDEX(Bang_F,MATCH(A235,Bang_Z,1))+B235)/2</f>
        <v>28.277</v>
      </c>
      <c r="D235" s="26" t="n">
        <f aca="false">MAX(A235-TC_Z,0)</f>
        <v>0</v>
      </c>
      <c r="E235" s="27" t="n">
        <f aca="false">1-0.2*(TC_xmb+(TC_n-1)*TC_xmt)*D235/(TC_n*TC_b)</f>
        <v>1</v>
      </c>
      <c r="F235" s="28" t="n">
        <f aca="false">TC_s*E235*TC_m*TC_n*TC_b*SQRT(2*g_)*D235^1.5</f>
        <v>0</v>
      </c>
      <c r="G235" s="29" t="n">
        <f aca="false">MAX(A235-SC_Z,0)</f>
        <v>2.3</v>
      </c>
      <c r="H235" s="30" t="n">
        <f aca="false">1-0.2*(SC_xmb+(SC_n-1)*SC_xmt)*G235/(SC_n*SC_b)</f>
        <v>0.9356</v>
      </c>
      <c r="I235" s="31" t="n">
        <f aca="false">SC_s*H235*SC_m*SC_n*SC_b*SQRT(2*g_)*G235^1.5</f>
        <v>32.5247514779745</v>
      </c>
      <c r="J235" s="32" t="n">
        <f aca="false">F235+I235</f>
        <v>32.5247514779745</v>
      </c>
      <c r="K235" s="32" t="n">
        <f aca="false">F235</f>
        <v>0</v>
      </c>
      <c r="L235" s="32" t="n">
        <f aca="false">C235*1000000/dt_s+J235/2</f>
        <v>7870.98459796121</v>
      </c>
      <c r="M235" s="32" t="n">
        <f aca="false">C235*1000000/dt_s+K235/2</f>
        <v>7854.72222222222</v>
      </c>
    </row>
    <row r="236" customFormat="false" ht="15" hidden="false" customHeight="false" outlineLevel="0" collapsed="false">
      <c r="A236" s="24" t="n">
        <f aca="false">ROUND(A235+0.01,2)</f>
        <v>73.31</v>
      </c>
      <c r="B236" s="25" t="n">
        <f aca="false">INDEX(Bang_F,MATCH(A236,Bang_Z,1))+(A236-INDEX(Bang_Z,MATCH(A236,Bang_Z,1)))*(INDEX(Bang_F,MATCH(A236,Bang_Z,1)+1)-INDEX(Bang_F,MATCH(A236,Bang_Z,1)))</f>
        <v>5.386</v>
      </c>
      <c r="C236" s="25" t="n">
        <f aca="false">INDEX(Bang_W,MATCH(A236,Bang_Z,1))+(A236-INDEX(Bang_Z,MATCH(A236,Bang_Z,1)))*(INDEX(Bang_F,MATCH(A236,Bang_Z,1))+B236)/2</f>
        <v>28.33083</v>
      </c>
      <c r="D236" s="26" t="n">
        <f aca="false">MAX(A236-TC_Z,0)</f>
        <v>0</v>
      </c>
      <c r="E236" s="27" t="n">
        <f aca="false">1-0.2*(TC_xmb+(TC_n-1)*TC_xmt)*D236/(TC_n*TC_b)</f>
        <v>1</v>
      </c>
      <c r="F236" s="28" t="n">
        <f aca="false">TC_s*E236*TC_m*TC_n*TC_b*SQRT(2*g_)*D236^1.5</f>
        <v>0</v>
      </c>
      <c r="G236" s="29" t="n">
        <f aca="false">MAX(A236-SC_Z,0)</f>
        <v>2.31</v>
      </c>
      <c r="H236" s="30" t="n">
        <f aca="false">1-0.2*(SC_xmb+(SC_n-1)*SC_xmt)*G236/(SC_n*SC_b)</f>
        <v>0.93532</v>
      </c>
      <c r="I236" s="31" t="n">
        <f aca="false">SC_s*H236*SC_m*SC_n*SC_b*SQRT(2*g_)*G236^1.5</f>
        <v>32.7273024821621</v>
      </c>
      <c r="J236" s="32" t="n">
        <f aca="false">F236+I236</f>
        <v>32.7273024821621</v>
      </c>
      <c r="K236" s="32" t="n">
        <f aca="false">F236</f>
        <v>0</v>
      </c>
      <c r="L236" s="32" t="n">
        <f aca="false">C236*1000000/dt_s+J236/2</f>
        <v>7886.03865124109</v>
      </c>
      <c r="M236" s="32" t="n">
        <f aca="false">C236*1000000/dt_s+K236/2</f>
        <v>7869.675</v>
      </c>
    </row>
    <row r="237" customFormat="false" ht="15" hidden="false" customHeight="false" outlineLevel="0" collapsed="false">
      <c r="A237" s="24" t="n">
        <f aca="false">ROUND(A236+0.01,2)</f>
        <v>73.32</v>
      </c>
      <c r="B237" s="25" t="n">
        <f aca="false">INDEX(Bang_F,MATCH(A237,Bang_Z,1))+(A237-INDEX(Bang_Z,MATCH(A237,Bang_Z,1)))*(INDEX(Bang_F,MATCH(A237,Bang_Z,1)+1)-INDEX(Bang_F,MATCH(A237,Bang_Z,1)))</f>
        <v>5.392</v>
      </c>
      <c r="C237" s="25" t="n">
        <f aca="false">INDEX(Bang_W,MATCH(A237,Bang_Z,1))+(A237-INDEX(Bang_Z,MATCH(A237,Bang_Z,1)))*(INDEX(Bang_F,MATCH(A237,Bang_Z,1))+B237)/2</f>
        <v>28.38472</v>
      </c>
      <c r="D237" s="26" t="n">
        <f aca="false">MAX(A237-TC_Z,0)</f>
        <v>0</v>
      </c>
      <c r="E237" s="27" t="n">
        <f aca="false">1-0.2*(TC_xmb+(TC_n-1)*TC_xmt)*D237/(TC_n*TC_b)</f>
        <v>1</v>
      </c>
      <c r="F237" s="28" t="n">
        <f aca="false">TC_s*E237*TC_m*TC_n*TC_b*SQRT(2*g_)*D237^1.5</f>
        <v>0</v>
      </c>
      <c r="G237" s="29" t="n">
        <f aca="false">MAX(A237-SC_Z,0)</f>
        <v>2.31999999999999</v>
      </c>
      <c r="H237" s="30" t="n">
        <f aca="false">1-0.2*(SC_xmb+(SC_n-1)*SC_xmt)*G237/(SC_n*SC_b)</f>
        <v>0.93504</v>
      </c>
      <c r="I237" s="31" t="n">
        <f aca="false">SC_s*H237*SC_m*SC_n*SC_b*SQRT(2*g_)*G237^1.5</f>
        <v>32.9301862379242</v>
      </c>
      <c r="J237" s="32" t="n">
        <f aca="false">F237+I237</f>
        <v>32.9301862379242</v>
      </c>
      <c r="K237" s="32" t="n">
        <f aca="false">F237</f>
        <v>0</v>
      </c>
      <c r="L237" s="32" t="n">
        <f aca="false">C237*1000000/dt_s+J237/2</f>
        <v>7901.1095375634</v>
      </c>
      <c r="M237" s="32" t="n">
        <f aca="false">C237*1000000/dt_s+K237/2</f>
        <v>7884.64444444444</v>
      </c>
    </row>
    <row r="238" customFormat="false" ht="15" hidden="false" customHeight="false" outlineLevel="0" collapsed="false">
      <c r="A238" s="24" t="n">
        <f aca="false">ROUND(A237+0.01,2)</f>
        <v>73.33</v>
      </c>
      <c r="B238" s="25" t="n">
        <f aca="false">INDEX(Bang_F,MATCH(A238,Bang_Z,1))+(A238-INDEX(Bang_Z,MATCH(A238,Bang_Z,1)))*(INDEX(Bang_F,MATCH(A238,Bang_Z,1)+1)-INDEX(Bang_F,MATCH(A238,Bang_Z,1)))</f>
        <v>5.398</v>
      </c>
      <c r="C238" s="25" t="n">
        <f aca="false">INDEX(Bang_W,MATCH(A238,Bang_Z,1))+(A238-INDEX(Bang_Z,MATCH(A238,Bang_Z,1)))*(INDEX(Bang_F,MATCH(A238,Bang_Z,1))+B238)/2</f>
        <v>28.43867</v>
      </c>
      <c r="D238" s="26" t="n">
        <f aca="false">MAX(A238-TC_Z,0)</f>
        <v>0</v>
      </c>
      <c r="E238" s="27" t="n">
        <f aca="false">1-0.2*(TC_xmb+(TC_n-1)*TC_xmt)*D238/(TC_n*TC_b)</f>
        <v>1</v>
      </c>
      <c r="F238" s="28" t="n">
        <f aca="false">TC_s*E238*TC_m*TC_n*TC_b*SQRT(2*g_)*D238^1.5</f>
        <v>0</v>
      </c>
      <c r="G238" s="29" t="n">
        <f aca="false">MAX(A238-SC_Z,0)</f>
        <v>2.33</v>
      </c>
      <c r="H238" s="30" t="n">
        <f aca="false">1-0.2*(SC_xmb+(SC_n-1)*SC_xmt)*G238/(SC_n*SC_b)</f>
        <v>0.93476</v>
      </c>
      <c r="I238" s="31" t="n">
        <f aca="false">SC_s*H238*SC_m*SC_n*SC_b*SQRT(2*g_)*G238^1.5</f>
        <v>33.133401340312</v>
      </c>
      <c r="J238" s="32" t="n">
        <f aca="false">F238+I238</f>
        <v>33.133401340312</v>
      </c>
      <c r="K238" s="32" t="n">
        <f aca="false">F238</f>
        <v>0</v>
      </c>
      <c r="L238" s="32" t="n">
        <f aca="false">C238*1000000/dt_s+J238/2</f>
        <v>7916.19725622571</v>
      </c>
      <c r="M238" s="32" t="n">
        <f aca="false">C238*1000000/dt_s+K238/2</f>
        <v>7899.63055555555</v>
      </c>
    </row>
    <row r="239" customFormat="false" ht="15" hidden="false" customHeight="false" outlineLevel="0" collapsed="false">
      <c r="A239" s="24" t="n">
        <f aca="false">ROUND(A238+0.01,2)</f>
        <v>73.34</v>
      </c>
      <c r="B239" s="25" t="n">
        <f aca="false">INDEX(Bang_F,MATCH(A239,Bang_Z,1))+(A239-INDEX(Bang_Z,MATCH(A239,Bang_Z,1)))*(INDEX(Bang_F,MATCH(A239,Bang_Z,1)+1)-INDEX(Bang_F,MATCH(A239,Bang_Z,1)))</f>
        <v>5.404</v>
      </c>
      <c r="C239" s="25" t="n">
        <f aca="false">INDEX(Bang_W,MATCH(A239,Bang_Z,1))+(A239-INDEX(Bang_Z,MATCH(A239,Bang_Z,1)))*(INDEX(Bang_F,MATCH(A239,Bang_Z,1))+B239)/2</f>
        <v>28.49268</v>
      </c>
      <c r="D239" s="26" t="n">
        <f aca="false">MAX(A239-TC_Z,0)</f>
        <v>0</v>
      </c>
      <c r="E239" s="27" t="n">
        <f aca="false">1-0.2*(TC_xmb+(TC_n-1)*TC_xmt)*D239/(TC_n*TC_b)</f>
        <v>1</v>
      </c>
      <c r="F239" s="28" t="n">
        <f aca="false">TC_s*E239*TC_m*TC_n*TC_b*SQRT(2*g_)*D239^1.5</f>
        <v>0</v>
      </c>
      <c r="G239" s="29" t="n">
        <f aca="false">MAX(A239-SC_Z,0)</f>
        <v>2.34</v>
      </c>
      <c r="H239" s="30" t="n">
        <f aca="false">1-0.2*(SC_xmb+(SC_n-1)*SC_xmt)*G239/(SC_n*SC_b)</f>
        <v>0.93448</v>
      </c>
      <c r="I239" s="31" t="n">
        <f aca="false">SC_s*H239*SC_m*SC_n*SC_b*SQRT(2*g_)*G239^1.5</f>
        <v>33.3369463919546</v>
      </c>
      <c r="J239" s="32" t="n">
        <f aca="false">F239+I239</f>
        <v>33.3369463919546</v>
      </c>
      <c r="K239" s="32" t="n">
        <f aca="false">F239</f>
        <v>0</v>
      </c>
      <c r="L239" s="32" t="n">
        <f aca="false">C239*1000000/dt_s+J239/2</f>
        <v>7931.30180652932</v>
      </c>
      <c r="M239" s="32" t="n">
        <f aca="false">C239*1000000/dt_s+K239/2</f>
        <v>7914.63333333334</v>
      </c>
    </row>
    <row r="240" customFormat="false" ht="15" hidden="false" customHeight="false" outlineLevel="0" collapsed="false">
      <c r="A240" s="24" t="n">
        <f aca="false">ROUND(A239+0.01,2)</f>
        <v>73.35</v>
      </c>
      <c r="B240" s="25" t="n">
        <f aca="false">INDEX(Bang_F,MATCH(A240,Bang_Z,1))+(A240-INDEX(Bang_Z,MATCH(A240,Bang_Z,1)))*(INDEX(Bang_F,MATCH(A240,Bang_Z,1)+1)-INDEX(Bang_F,MATCH(A240,Bang_Z,1)))</f>
        <v>5.41</v>
      </c>
      <c r="C240" s="25" t="n">
        <f aca="false">INDEX(Bang_W,MATCH(A240,Bang_Z,1))+(A240-INDEX(Bang_Z,MATCH(A240,Bang_Z,1)))*(INDEX(Bang_F,MATCH(A240,Bang_Z,1))+B240)/2</f>
        <v>28.54675</v>
      </c>
      <c r="D240" s="26" t="n">
        <f aca="false">MAX(A240-TC_Z,0)</f>
        <v>0</v>
      </c>
      <c r="E240" s="27" t="n">
        <f aca="false">1-0.2*(TC_xmb+(TC_n-1)*TC_xmt)*D240/(TC_n*TC_b)</f>
        <v>1</v>
      </c>
      <c r="F240" s="28" t="n">
        <f aca="false">TC_s*E240*TC_m*TC_n*TC_b*SQRT(2*g_)*D240^1.5</f>
        <v>0</v>
      </c>
      <c r="G240" s="29" t="n">
        <f aca="false">MAX(A240-SC_Z,0)</f>
        <v>2.34999999999999</v>
      </c>
      <c r="H240" s="30" t="n">
        <f aca="false">1-0.2*(SC_xmb+(SC_n-1)*SC_xmt)*G240/(SC_n*SC_b)</f>
        <v>0.9342</v>
      </c>
      <c r="I240" s="31" t="n">
        <f aca="false">SC_s*H240*SC_m*SC_n*SC_b*SQRT(2*g_)*G240^1.5</f>
        <v>33.5408200029819</v>
      </c>
      <c r="J240" s="32" t="n">
        <f aca="false">F240+I240</f>
        <v>33.5408200029819</v>
      </c>
      <c r="K240" s="32" t="n">
        <f aca="false">F240</f>
        <v>0</v>
      </c>
      <c r="L240" s="32" t="n">
        <f aca="false">C240*1000000/dt_s+J240/2</f>
        <v>7946.42318777926</v>
      </c>
      <c r="M240" s="32" t="n">
        <f aca="false">C240*1000000/dt_s+K240/2</f>
        <v>7929.65277777777</v>
      </c>
    </row>
    <row r="241" customFormat="false" ht="15" hidden="false" customHeight="false" outlineLevel="0" collapsed="false">
      <c r="A241" s="24" t="n">
        <f aca="false">ROUND(A240+0.01,2)</f>
        <v>73.36</v>
      </c>
      <c r="B241" s="25" t="n">
        <f aca="false">INDEX(Bang_F,MATCH(A241,Bang_Z,1))+(A241-INDEX(Bang_Z,MATCH(A241,Bang_Z,1)))*(INDEX(Bang_F,MATCH(A241,Bang_Z,1)+1)-INDEX(Bang_F,MATCH(A241,Bang_Z,1)))</f>
        <v>5.416</v>
      </c>
      <c r="C241" s="25" t="n">
        <f aca="false">INDEX(Bang_W,MATCH(A241,Bang_Z,1))+(A241-INDEX(Bang_Z,MATCH(A241,Bang_Z,1)))*(INDEX(Bang_F,MATCH(A241,Bang_Z,1))+B241)/2</f>
        <v>28.60088</v>
      </c>
      <c r="D241" s="26" t="n">
        <f aca="false">MAX(A241-TC_Z,0)</f>
        <v>0</v>
      </c>
      <c r="E241" s="27" t="n">
        <f aca="false">1-0.2*(TC_xmb+(TC_n-1)*TC_xmt)*D241/(TC_n*TC_b)</f>
        <v>1</v>
      </c>
      <c r="F241" s="28" t="n">
        <f aca="false">TC_s*E241*TC_m*TC_n*TC_b*SQRT(2*g_)*D241^1.5</f>
        <v>0</v>
      </c>
      <c r="G241" s="29" t="n">
        <f aca="false">MAX(A241-SC_Z,0)</f>
        <v>2.36</v>
      </c>
      <c r="H241" s="30" t="n">
        <f aca="false">1-0.2*(SC_xmb+(SC_n-1)*SC_xmt)*G241/(SC_n*SC_b)</f>
        <v>0.93392</v>
      </c>
      <c r="I241" s="31" t="n">
        <f aca="false">SC_s*H241*SC_m*SC_n*SC_b*SQRT(2*g_)*G241^1.5</f>
        <v>33.7450207909484</v>
      </c>
      <c r="J241" s="32" t="n">
        <f aca="false">F241+I241</f>
        <v>33.7450207909484</v>
      </c>
      <c r="K241" s="32" t="n">
        <f aca="false">F241</f>
        <v>0</v>
      </c>
      <c r="L241" s="32" t="n">
        <f aca="false">C241*1000000/dt_s+J241/2</f>
        <v>7961.56139928436</v>
      </c>
      <c r="M241" s="32" t="n">
        <f aca="false">C241*1000000/dt_s+K241/2</f>
        <v>7944.68888888889</v>
      </c>
    </row>
    <row r="242" customFormat="false" ht="15" hidden="false" customHeight="false" outlineLevel="0" collapsed="false">
      <c r="A242" s="24" t="n">
        <f aca="false">ROUND(A241+0.01,2)</f>
        <v>73.37</v>
      </c>
      <c r="B242" s="25" t="n">
        <f aca="false">INDEX(Bang_F,MATCH(A242,Bang_Z,1))+(A242-INDEX(Bang_Z,MATCH(A242,Bang_Z,1)))*(INDEX(Bang_F,MATCH(A242,Bang_Z,1)+1)-INDEX(Bang_F,MATCH(A242,Bang_Z,1)))</f>
        <v>5.422</v>
      </c>
      <c r="C242" s="25" t="n">
        <f aca="false">INDEX(Bang_W,MATCH(A242,Bang_Z,1))+(A242-INDEX(Bang_Z,MATCH(A242,Bang_Z,1)))*(INDEX(Bang_F,MATCH(A242,Bang_Z,1))+B242)/2</f>
        <v>28.65507</v>
      </c>
      <c r="D242" s="26" t="n">
        <f aca="false">MAX(A242-TC_Z,0)</f>
        <v>0</v>
      </c>
      <c r="E242" s="27" t="n">
        <f aca="false">1-0.2*(TC_xmb+(TC_n-1)*TC_xmt)*D242/(TC_n*TC_b)</f>
        <v>1</v>
      </c>
      <c r="F242" s="28" t="n">
        <f aca="false">TC_s*E242*TC_m*TC_n*TC_b*SQRT(2*g_)*D242^1.5</f>
        <v>0</v>
      </c>
      <c r="G242" s="29" t="n">
        <f aca="false">MAX(A242-SC_Z,0)</f>
        <v>2.37</v>
      </c>
      <c r="H242" s="30" t="n">
        <f aca="false">1-0.2*(SC_xmb+(SC_n-1)*SC_xmt)*G242/(SC_n*SC_b)</f>
        <v>0.93364</v>
      </c>
      <c r="I242" s="31" t="n">
        <f aca="false">SC_s*H242*SC_m*SC_n*SC_b*SQRT(2*g_)*G242^1.5</f>
        <v>33.9495473807563</v>
      </c>
      <c r="J242" s="32" t="n">
        <f aca="false">F242+I242</f>
        <v>33.9495473807563</v>
      </c>
      <c r="K242" s="32" t="n">
        <f aca="false">F242</f>
        <v>0</v>
      </c>
      <c r="L242" s="32" t="n">
        <f aca="false">C242*1000000/dt_s+J242/2</f>
        <v>7976.71644035705</v>
      </c>
      <c r="M242" s="32" t="n">
        <f aca="false">C242*1000000/dt_s+K242/2</f>
        <v>7959.74166666667</v>
      </c>
    </row>
    <row r="243" customFormat="false" ht="15" hidden="false" customHeight="false" outlineLevel="0" collapsed="false">
      <c r="A243" s="24" t="n">
        <f aca="false">ROUND(A242+0.01,2)</f>
        <v>73.38</v>
      </c>
      <c r="B243" s="25" t="n">
        <f aca="false">INDEX(Bang_F,MATCH(A243,Bang_Z,1))+(A243-INDEX(Bang_Z,MATCH(A243,Bang_Z,1)))*(INDEX(Bang_F,MATCH(A243,Bang_Z,1)+1)-INDEX(Bang_F,MATCH(A243,Bang_Z,1)))</f>
        <v>5.428</v>
      </c>
      <c r="C243" s="25" t="n">
        <f aca="false">INDEX(Bang_W,MATCH(A243,Bang_Z,1))+(A243-INDEX(Bang_Z,MATCH(A243,Bang_Z,1)))*(INDEX(Bang_F,MATCH(A243,Bang_Z,1))+B243)/2</f>
        <v>28.70932</v>
      </c>
      <c r="D243" s="26" t="n">
        <f aca="false">MAX(A243-TC_Z,0)</f>
        <v>0</v>
      </c>
      <c r="E243" s="27" t="n">
        <f aca="false">1-0.2*(TC_xmb+(TC_n-1)*TC_xmt)*D243/(TC_n*TC_b)</f>
        <v>1</v>
      </c>
      <c r="F243" s="28" t="n">
        <f aca="false">TC_s*E243*TC_m*TC_n*TC_b*SQRT(2*g_)*D243^1.5</f>
        <v>0</v>
      </c>
      <c r="G243" s="29" t="n">
        <f aca="false">MAX(A243-SC_Z,0)</f>
        <v>2.38</v>
      </c>
      <c r="H243" s="30" t="n">
        <f aca="false">1-0.2*(SC_xmb+(SC_n-1)*SC_xmt)*G243/(SC_n*SC_b)</f>
        <v>0.93336</v>
      </c>
      <c r="I243" s="31" t="n">
        <f aca="false">SC_s*H243*SC_m*SC_n*SC_b*SQRT(2*g_)*G243^1.5</f>
        <v>34.1543984045815</v>
      </c>
      <c r="J243" s="32" t="n">
        <f aca="false">F243+I243</f>
        <v>34.1543984045815</v>
      </c>
      <c r="K243" s="32" t="n">
        <f aca="false">F243</f>
        <v>0</v>
      </c>
      <c r="L243" s="32" t="n">
        <f aca="false">C243*1000000/dt_s+J243/2</f>
        <v>7991.8883103134</v>
      </c>
      <c r="M243" s="32" t="n">
        <f aca="false">C243*1000000/dt_s+K243/2</f>
        <v>7974.81111111111</v>
      </c>
    </row>
    <row r="244" customFormat="false" ht="15" hidden="false" customHeight="false" outlineLevel="0" collapsed="false">
      <c r="A244" s="24" t="n">
        <f aca="false">ROUND(A243+0.01,2)</f>
        <v>73.39</v>
      </c>
      <c r="B244" s="25" t="n">
        <f aca="false">INDEX(Bang_F,MATCH(A244,Bang_Z,1))+(A244-INDEX(Bang_Z,MATCH(A244,Bang_Z,1)))*(INDEX(Bang_F,MATCH(A244,Bang_Z,1)+1)-INDEX(Bang_F,MATCH(A244,Bang_Z,1)))</f>
        <v>5.434</v>
      </c>
      <c r="C244" s="25" t="n">
        <f aca="false">INDEX(Bang_W,MATCH(A244,Bang_Z,1))+(A244-INDEX(Bang_Z,MATCH(A244,Bang_Z,1)))*(INDEX(Bang_F,MATCH(A244,Bang_Z,1))+B244)/2</f>
        <v>28.76363</v>
      </c>
      <c r="D244" s="26" t="n">
        <f aca="false">MAX(A244-TC_Z,0)</f>
        <v>0</v>
      </c>
      <c r="E244" s="27" t="n">
        <f aca="false">1-0.2*(TC_xmb+(TC_n-1)*TC_xmt)*D244/(TC_n*TC_b)</f>
        <v>1</v>
      </c>
      <c r="F244" s="28" t="n">
        <f aca="false">TC_s*E244*TC_m*TC_n*TC_b*SQRT(2*g_)*D244^1.5</f>
        <v>0</v>
      </c>
      <c r="G244" s="29" t="n">
        <f aca="false">MAX(A244-SC_Z,0)</f>
        <v>2.39</v>
      </c>
      <c r="H244" s="30" t="n">
        <f aca="false">1-0.2*(SC_xmb+(SC_n-1)*SC_xmt)*G244/(SC_n*SC_b)</f>
        <v>0.93308</v>
      </c>
      <c r="I244" s="31" t="n">
        <f aca="false">SC_s*H244*SC_m*SC_n*SC_b*SQRT(2*g_)*G244^1.5</f>
        <v>34.3595725018009</v>
      </c>
      <c r="J244" s="32" t="n">
        <f aca="false">F244+I244</f>
        <v>34.3595725018009</v>
      </c>
      <c r="K244" s="32" t="n">
        <f aca="false">F244</f>
        <v>0</v>
      </c>
      <c r="L244" s="32" t="n">
        <f aca="false">C244*1000000/dt_s+J244/2</f>
        <v>8007.07700847313</v>
      </c>
      <c r="M244" s="32" t="n">
        <f aca="false">C244*1000000/dt_s+K244/2</f>
        <v>7989.89722222223</v>
      </c>
    </row>
    <row r="245" customFormat="false" ht="15" hidden="false" customHeight="false" outlineLevel="0" collapsed="false">
      <c r="A245" s="24" t="n">
        <f aca="false">ROUND(A244+0.01,2)</f>
        <v>73.4</v>
      </c>
      <c r="B245" s="25" t="n">
        <f aca="false">INDEX(Bang_F,MATCH(A245,Bang_Z,1))+(A245-INDEX(Bang_Z,MATCH(A245,Bang_Z,1)))*(INDEX(Bang_F,MATCH(A245,Bang_Z,1)+1)-INDEX(Bang_F,MATCH(A245,Bang_Z,1)))</f>
        <v>5.44</v>
      </c>
      <c r="C245" s="25" t="n">
        <f aca="false">INDEX(Bang_W,MATCH(A245,Bang_Z,1))+(A245-INDEX(Bang_Z,MATCH(A245,Bang_Z,1)))*(INDEX(Bang_F,MATCH(A245,Bang_Z,1))+B245)/2</f>
        <v>28.818</v>
      </c>
      <c r="D245" s="26" t="n">
        <f aca="false">MAX(A245-TC_Z,0)</f>
        <v>0</v>
      </c>
      <c r="E245" s="27" t="n">
        <f aca="false">1-0.2*(TC_xmb+(TC_n-1)*TC_xmt)*D245/(TC_n*TC_b)</f>
        <v>1</v>
      </c>
      <c r="F245" s="28" t="n">
        <f aca="false">TC_s*E245*TC_m*TC_n*TC_b*SQRT(2*g_)*D245^1.5</f>
        <v>0</v>
      </c>
      <c r="G245" s="29" t="n">
        <f aca="false">MAX(A245-SC_Z,0)</f>
        <v>2.40000000000001</v>
      </c>
      <c r="H245" s="30" t="n">
        <f aca="false">1-0.2*(SC_xmb+(SC_n-1)*SC_xmt)*G245/(SC_n*SC_b)</f>
        <v>0.9328</v>
      </c>
      <c r="I245" s="31" t="n">
        <f aca="false">SC_s*H245*SC_m*SC_n*SC_b*SQRT(2*g_)*G245^1.5</f>
        <v>34.5650683189187</v>
      </c>
      <c r="J245" s="32" t="n">
        <f aca="false">F245+I245</f>
        <v>34.5650683189187</v>
      </c>
      <c r="K245" s="32" t="n">
        <f aca="false">F245</f>
        <v>0</v>
      </c>
      <c r="L245" s="32" t="n">
        <f aca="false">C245*1000000/dt_s+J245/2</f>
        <v>8022.28253415947</v>
      </c>
      <c r="M245" s="32" t="n">
        <f aca="false">C245*1000000/dt_s+K245/2</f>
        <v>8005.00000000001</v>
      </c>
    </row>
    <row r="246" customFormat="false" ht="15" hidden="false" customHeight="false" outlineLevel="0" collapsed="false">
      <c r="A246" s="24" t="n">
        <f aca="false">ROUND(A245+0.01,2)</f>
        <v>73.41</v>
      </c>
      <c r="B246" s="25" t="n">
        <f aca="false">INDEX(Bang_F,MATCH(A246,Bang_Z,1))+(A246-INDEX(Bang_Z,MATCH(A246,Bang_Z,1)))*(INDEX(Bang_F,MATCH(A246,Bang_Z,1)+1)-INDEX(Bang_F,MATCH(A246,Bang_Z,1)))</f>
        <v>5.446</v>
      </c>
      <c r="C246" s="25" t="n">
        <f aca="false">INDEX(Bang_W,MATCH(A246,Bang_Z,1))+(A246-INDEX(Bang_Z,MATCH(A246,Bang_Z,1)))*(INDEX(Bang_F,MATCH(A246,Bang_Z,1))+B246)/2</f>
        <v>28.87243</v>
      </c>
      <c r="D246" s="26" t="n">
        <f aca="false">MAX(A246-TC_Z,0)</f>
        <v>0</v>
      </c>
      <c r="E246" s="27" t="n">
        <f aca="false">1-0.2*(TC_xmb+(TC_n-1)*TC_xmt)*D246/(TC_n*TC_b)</f>
        <v>1</v>
      </c>
      <c r="F246" s="28" t="n">
        <f aca="false">TC_s*E246*TC_m*TC_n*TC_b*SQRT(2*g_)*D246^1.5</f>
        <v>0</v>
      </c>
      <c r="G246" s="29" t="n">
        <f aca="false">MAX(A246-SC_Z,0)</f>
        <v>2.41</v>
      </c>
      <c r="H246" s="30" t="n">
        <f aca="false">1-0.2*(SC_xmb+(SC_n-1)*SC_xmt)*G246/(SC_n*SC_b)</f>
        <v>0.93252</v>
      </c>
      <c r="I246" s="31" t="n">
        <f aca="false">SC_s*H246*SC_m*SC_n*SC_b*SQRT(2*g_)*G246^1.5</f>
        <v>34.7708845094956</v>
      </c>
      <c r="J246" s="32" t="n">
        <f aca="false">F246+I246</f>
        <v>34.7708845094956</v>
      </c>
      <c r="K246" s="32" t="n">
        <f aca="false">F246</f>
        <v>0</v>
      </c>
      <c r="L246" s="32" t="n">
        <f aca="false">C246*1000000/dt_s+J246/2</f>
        <v>8037.50488669919</v>
      </c>
      <c r="M246" s="32" t="n">
        <f aca="false">C246*1000000/dt_s+K246/2</f>
        <v>8020.11944444444</v>
      </c>
    </row>
    <row r="247" customFormat="false" ht="15" hidden="false" customHeight="false" outlineLevel="0" collapsed="false">
      <c r="A247" s="24" t="n">
        <f aca="false">ROUND(A246+0.01,2)</f>
        <v>73.42</v>
      </c>
      <c r="B247" s="25" t="n">
        <f aca="false">INDEX(Bang_F,MATCH(A247,Bang_Z,1))+(A247-INDEX(Bang_Z,MATCH(A247,Bang_Z,1)))*(INDEX(Bang_F,MATCH(A247,Bang_Z,1)+1)-INDEX(Bang_F,MATCH(A247,Bang_Z,1)))</f>
        <v>5.452</v>
      </c>
      <c r="C247" s="25" t="n">
        <f aca="false">INDEX(Bang_W,MATCH(A247,Bang_Z,1))+(A247-INDEX(Bang_Z,MATCH(A247,Bang_Z,1)))*(INDEX(Bang_F,MATCH(A247,Bang_Z,1))+B247)/2</f>
        <v>28.92692</v>
      </c>
      <c r="D247" s="26" t="n">
        <f aca="false">MAX(A247-TC_Z,0)</f>
        <v>0</v>
      </c>
      <c r="E247" s="27" t="n">
        <f aca="false">1-0.2*(TC_xmb+(TC_n-1)*TC_xmt)*D247/(TC_n*TC_b)</f>
        <v>1</v>
      </c>
      <c r="F247" s="28" t="n">
        <f aca="false">TC_s*E247*TC_m*TC_n*TC_b*SQRT(2*g_)*D247^1.5</f>
        <v>0</v>
      </c>
      <c r="G247" s="29" t="n">
        <f aca="false">MAX(A247-SC_Z,0)</f>
        <v>2.42</v>
      </c>
      <c r="H247" s="30" t="n">
        <f aca="false">1-0.2*(SC_xmb+(SC_n-1)*SC_xmt)*G247/(SC_n*SC_b)</f>
        <v>0.93224</v>
      </c>
      <c r="I247" s="31" t="n">
        <f aca="false">SC_s*H247*SC_m*SC_n*SC_b*SQRT(2*g_)*G247^1.5</f>
        <v>34.9770197340793</v>
      </c>
      <c r="J247" s="32" t="n">
        <f aca="false">F247+I247</f>
        <v>34.9770197340793</v>
      </c>
      <c r="K247" s="32" t="n">
        <f aca="false">F247</f>
        <v>0</v>
      </c>
      <c r="L247" s="32" t="n">
        <f aca="false">C247*1000000/dt_s+J247/2</f>
        <v>8052.7440654226</v>
      </c>
      <c r="M247" s="32" t="n">
        <f aca="false">C247*1000000/dt_s+K247/2</f>
        <v>8035.25555555556</v>
      </c>
    </row>
    <row r="248" customFormat="false" ht="15" hidden="false" customHeight="false" outlineLevel="0" collapsed="false">
      <c r="A248" s="24" t="n">
        <f aca="false">ROUND(A247+0.01,2)</f>
        <v>73.43</v>
      </c>
      <c r="B248" s="25" t="n">
        <f aca="false">INDEX(Bang_F,MATCH(A248,Bang_Z,1))+(A248-INDEX(Bang_Z,MATCH(A248,Bang_Z,1)))*(INDEX(Bang_F,MATCH(A248,Bang_Z,1)+1)-INDEX(Bang_F,MATCH(A248,Bang_Z,1)))</f>
        <v>5.458</v>
      </c>
      <c r="C248" s="25" t="n">
        <f aca="false">INDEX(Bang_W,MATCH(A248,Bang_Z,1))+(A248-INDEX(Bang_Z,MATCH(A248,Bang_Z,1)))*(INDEX(Bang_F,MATCH(A248,Bang_Z,1))+B248)/2</f>
        <v>28.98147</v>
      </c>
      <c r="D248" s="26" t="n">
        <f aca="false">MAX(A248-TC_Z,0)</f>
        <v>0</v>
      </c>
      <c r="E248" s="27" t="n">
        <f aca="false">1-0.2*(TC_xmb+(TC_n-1)*TC_xmt)*D248/(TC_n*TC_b)</f>
        <v>1</v>
      </c>
      <c r="F248" s="28" t="n">
        <f aca="false">TC_s*E248*TC_m*TC_n*TC_b*SQRT(2*g_)*D248^1.5</f>
        <v>0</v>
      </c>
      <c r="G248" s="29" t="n">
        <f aca="false">MAX(A248-SC_Z,0)</f>
        <v>2.43000000000001</v>
      </c>
      <c r="H248" s="30" t="n">
        <f aca="false">1-0.2*(SC_xmb+(SC_n-1)*SC_xmt)*G248/(SC_n*SC_b)</f>
        <v>0.93196</v>
      </c>
      <c r="I248" s="31" t="n">
        <f aca="false">SC_s*H248*SC_m*SC_n*SC_b*SQRT(2*g_)*G248^1.5</f>
        <v>35.1834726601335</v>
      </c>
      <c r="J248" s="32" t="n">
        <f aca="false">F248+I248</f>
        <v>35.1834726601335</v>
      </c>
      <c r="K248" s="32" t="n">
        <f aca="false">F248</f>
        <v>0</v>
      </c>
      <c r="L248" s="32" t="n">
        <f aca="false">C248*1000000/dt_s+J248/2</f>
        <v>8068.00006966341</v>
      </c>
      <c r="M248" s="32" t="n">
        <f aca="false">C248*1000000/dt_s+K248/2</f>
        <v>8050.40833333334</v>
      </c>
    </row>
    <row r="249" customFormat="false" ht="15" hidden="false" customHeight="false" outlineLevel="0" collapsed="false">
      <c r="A249" s="24" t="n">
        <f aca="false">ROUND(A248+0.01,2)</f>
        <v>73.44</v>
      </c>
      <c r="B249" s="25" t="n">
        <f aca="false">INDEX(Bang_F,MATCH(A249,Bang_Z,1))+(A249-INDEX(Bang_Z,MATCH(A249,Bang_Z,1)))*(INDEX(Bang_F,MATCH(A249,Bang_Z,1)+1)-INDEX(Bang_F,MATCH(A249,Bang_Z,1)))</f>
        <v>5.464</v>
      </c>
      <c r="C249" s="25" t="n">
        <f aca="false">INDEX(Bang_W,MATCH(A249,Bang_Z,1))+(A249-INDEX(Bang_Z,MATCH(A249,Bang_Z,1)))*(INDEX(Bang_F,MATCH(A249,Bang_Z,1))+B249)/2</f>
        <v>29.03608</v>
      </c>
      <c r="D249" s="26" t="n">
        <f aca="false">MAX(A249-TC_Z,0)</f>
        <v>0</v>
      </c>
      <c r="E249" s="27" t="n">
        <f aca="false">1-0.2*(TC_xmb+(TC_n-1)*TC_xmt)*D249/(TC_n*TC_b)</f>
        <v>1</v>
      </c>
      <c r="F249" s="28" t="n">
        <f aca="false">TC_s*E249*TC_m*TC_n*TC_b*SQRT(2*g_)*D249^1.5</f>
        <v>0</v>
      </c>
      <c r="G249" s="29" t="n">
        <f aca="false">MAX(A249-SC_Z,0)</f>
        <v>2.44</v>
      </c>
      <c r="H249" s="30" t="n">
        <f aca="false">1-0.2*(SC_xmb+(SC_n-1)*SC_xmt)*G249/(SC_n*SC_b)</f>
        <v>0.93168</v>
      </c>
      <c r="I249" s="31" t="n">
        <f aca="false">SC_s*H249*SC_m*SC_n*SC_b*SQRT(2*g_)*G249^1.5</f>
        <v>35.3902419619706</v>
      </c>
      <c r="J249" s="32" t="n">
        <f aca="false">F249+I249</f>
        <v>35.3902419619706</v>
      </c>
      <c r="K249" s="32" t="n">
        <f aca="false">F249</f>
        <v>0</v>
      </c>
      <c r="L249" s="32" t="n">
        <f aca="false">C249*1000000/dt_s+J249/2</f>
        <v>8083.27289875876</v>
      </c>
      <c r="M249" s="32" t="n">
        <f aca="false">C249*1000000/dt_s+K249/2</f>
        <v>8065.57777777778</v>
      </c>
    </row>
    <row r="250" customFormat="false" ht="15" hidden="false" customHeight="false" outlineLevel="0" collapsed="false">
      <c r="A250" s="24" t="n">
        <f aca="false">ROUND(A249+0.01,2)</f>
        <v>73.45</v>
      </c>
      <c r="B250" s="25" t="n">
        <f aca="false">INDEX(Bang_F,MATCH(A250,Bang_Z,1))+(A250-INDEX(Bang_Z,MATCH(A250,Bang_Z,1)))*(INDEX(Bang_F,MATCH(A250,Bang_Z,1)+1)-INDEX(Bang_F,MATCH(A250,Bang_Z,1)))</f>
        <v>5.47</v>
      </c>
      <c r="C250" s="25" t="n">
        <f aca="false">INDEX(Bang_W,MATCH(A250,Bang_Z,1))+(A250-INDEX(Bang_Z,MATCH(A250,Bang_Z,1)))*(INDEX(Bang_F,MATCH(A250,Bang_Z,1))+B250)/2</f>
        <v>29.09075</v>
      </c>
      <c r="D250" s="26" t="n">
        <f aca="false">MAX(A250-TC_Z,0)</f>
        <v>0</v>
      </c>
      <c r="E250" s="27" t="n">
        <f aca="false">1-0.2*(TC_xmb+(TC_n-1)*TC_xmt)*D250/(TC_n*TC_b)</f>
        <v>1</v>
      </c>
      <c r="F250" s="28" t="n">
        <f aca="false">TC_s*E250*TC_m*TC_n*TC_b*SQRT(2*g_)*D250^1.5</f>
        <v>0</v>
      </c>
      <c r="G250" s="29" t="n">
        <f aca="false">MAX(A250-SC_Z,0)</f>
        <v>2.45</v>
      </c>
      <c r="H250" s="30" t="n">
        <f aca="false">1-0.2*(SC_xmb+(SC_n-1)*SC_xmt)*G250/(SC_n*SC_b)</f>
        <v>0.9314</v>
      </c>
      <c r="I250" s="31" t="n">
        <f aca="false">SC_s*H250*SC_m*SC_n*SC_b*SQRT(2*g_)*G250^1.5</f>
        <v>35.5973263206847</v>
      </c>
      <c r="J250" s="32" t="n">
        <f aca="false">F250+I250</f>
        <v>35.5973263206847</v>
      </c>
      <c r="K250" s="32" t="n">
        <f aca="false">F250</f>
        <v>0</v>
      </c>
      <c r="L250" s="32" t="n">
        <f aca="false">C250*1000000/dt_s+J250/2</f>
        <v>8098.56255204924</v>
      </c>
      <c r="M250" s="32" t="n">
        <f aca="false">C250*1000000/dt_s+K250/2</f>
        <v>8080.76388888889</v>
      </c>
    </row>
    <row r="251" customFormat="false" ht="15" hidden="false" customHeight="false" outlineLevel="0" collapsed="false">
      <c r="A251" s="24" t="n">
        <f aca="false">ROUND(A250+0.01,2)</f>
        <v>73.46</v>
      </c>
      <c r="B251" s="25" t="n">
        <f aca="false">INDEX(Bang_F,MATCH(A251,Bang_Z,1))+(A251-INDEX(Bang_Z,MATCH(A251,Bang_Z,1)))*(INDEX(Bang_F,MATCH(A251,Bang_Z,1)+1)-INDEX(Bang_F,MATCH(A251,Bang_Z,1)))</f>
        <v>5.476</v>
      </c>
      <c r="C251" s="25" t="n">
        <f aca="false">INDEX(Bang_W,MATCH(A251,Bang_Z,1))+(A251-INDEX(Bang_Z,MATCH(A251,Bang_Z,1)))*(INDEX(Bang_F,MATCH(A251,Bang_Z,1))+B251)/2</f>
        <v>29.14548</v>
      </c>
      <c r="D251" s="26" t="n">
        <f aca="false">MAX(A251-TC_Z,0)</f>
        <v>0</v>
      </c>
      <c r="E251" s="27" t="n">
        <f aca="false">1-0.2*(TC_xmb+(TC_n-1)*TC_xmt)*D251/(TC_n*TC_b)</f>
        <v>1</v>
      </c>
      <c r="F251" s="28" t="n">
        <f aca="false">TC_s*E251*TC_m*TC_n*TC_b*SQRT(2*g_)*D251^1.5</f>
        <v>0</v>
      </c>
      <c r="G251" s="29" t="n">
        <f aca="false">MAX(A251-SC_Z,0)</f>
        <v>2.45999999999999</v>
      </c>
      <c r="H251" s="30" t="n">
        <f aca="false">1-0.2*(SC_xmb+(SC_n-1)*SC_xmt)*G251/(SC_n*SC_b)</f>
        <v>0.93112</v>
      </c>
      <c r="I251" s="31" t="n">
        <f aca="false">SC_s*H251*SC_m*SC_n*SC_b*SQRT(2*g_)*G251^1.5</f>
        <v>35.8047244240834</v>
      </c>
      <c r="J251" s="32" t="n">
        <f aca="false">F251+I251</f>
        <v>35.8047244240834</v>
      </c>
      <c r="K251" s="32" t="n">
        <f aca="false">F251</f>
        <v>0</v>
      </c>
      <c r="L251" s="32" t="n">
        <f aca="false">C251*1000000/dt_s+J251/2</f>
        <v>8113.8690288787</v>
      </c>
      <c r="M251" s="32" t="n">
        <f aca="false">C251*1000000/dt_s+K251/2</f>
        <v>8095.96666666666</v>
      </c>
    </row>
    <row r="252" customFormat="false" ht="15" hidden="false" customHeight="false" outlineLevel="0" collapsed="false">
      <c r="A252" s="24" t="n">
        <f aca="false">ROUND(A251+0.01,2)</f>
        <v>73.47</v>
      </c>
      <c r="B252" s="25" t="n">
        <f aca="false">INDEX(Bang_F,MATCH(A252,Bang_Z,1))+(A252-INDEX(Bang_Z,MATCH(A252,Bang_Z,1)))*(INDEX(Bang_F,MATCH(A252,Bang_Z,1)+1)-INDEX(Bang_F,MATCH(A252,Bang_Z,1)))</f>
        <v>5.482</v>
      </c>
      <c r="C252" s="25" t="n">
        <f aca="false">INDEX(Bang_W,MATCH(A252,Bang_Z,1))+(A252-INDEX(Bang_Z,MATCH(A252,Bang_Z,1)))*(INDEX(Bang_F,MATCH(A252,Bang_Z,1))+B252)/2</f>
        <v>29.20027</v>
      </c>
      <c r="D252" s="26" t="n">
        <f aca="false">MAX(A252-TC_Z,0)</f>
        <v>0</v>
      </c>
      <c r="E252" s="27" t="n">
        <f aca="false">1-0.2*(TC_xmb+(TC_n-1)*TC_xmt)*D252/(TC_n*TC_b)</f>
        <v>1</v>
      </c>
      <c r="F252" s="28" t="n">
        <f aca="false">TC_s*E252*TC_m*TC_n*TC_b*SQRT(2*g_)*D252^1.5</f>
        <v>0</v>
      </c>
      <c r="G252" s="29" t="n">
        <f aca="false">MAX(A252-SC_Z,0)</f>
        <v>2.47</v>
      </c>
      <c r="H252" s="30" t="n">
        <f aca="false">1-0.2*(SC_xmb+(SC_n-1)*SC_xmt)*G252/(SC_n*SC_b)</f>
        <v>0.93084</v>
      </c>
      <c r="I252" s="31" t="n">
        <f aca="false">SC_s*H252*SC_m*SC_n*SC_b*SQRT(2*g_)*G252^1.5</f>
        <v>36.0124349666249</v>
      </c>
      <c r="J252" s="32" t="n">
        <f aca="false">F252+I252</f>
        <v>36.0124349666249</v>
      </c>
      <c r="K252" s="32" t="n">
        <f aca="false">F252</f>
        <v>0</v>
      </c>
      <c r="L252" s="32" t="n">
        <f aca="false">C252*1000000/dt_s+J252/2</f>
        <v>8129.19232859442</v>
      </c>
      <c r="M252" s="32" t="n">
        <f aca="false">C252*1000000/dt_s+K252/2</f>
        <v>8111.18611111111</v>
      </c>
    </row>
    <row r="253" customFormat="false" ht="15" hidden="false" customHeight="false" outlineLevel="0" collapsed="false">
      <c r="A253" s="24" t="n">
        <f aca="false">ROUND(A252+0.01,2)</f>
        <v>73.48</v>
      </c>
      <c r="B253" s="25" t="n">
        <f aca="false">INDEX(Bang_F,MATCH(A253,Bang_Z,1))+(A253-INDEX(Bang_Z,MATCH(A253,Bang_Z,1)))*(INDEX(Bang_F,MATCH(A253,Bang_Z,1)+1)-INDEX(Bang_F,MATCH(A253,Bang_Z,1)))</f>
        <v>5.488</v>
      </c>
      <c r="C253" s="25" t="n">
        <f aca="false">INDEX(Bang_W,MATCH(A253,Bang_Z,1))+(A253-INDEX(Bang_Z,MATCH(A253,Bang_Z,1)))*(INDEX(Bang_F,MATCH(A253,Bang_Z,1))+B253)/2</f>
        <v>29.25512</v>
      </c>
      <c r="D253" s="26" t="n">
        <f aca="false">MAX(A253-TC_Z,0)</f>
        <v>0</v>
      </c>
      <c r="E253" s="27" t="n">
        <f aca="false">1-0.2*(TC_xmb+(TC_n-1)*TC_xmt)*D253/(TC_n*TC_b)</f>
        <v>1</v>
      </c>
      <c r="F253" s="28" t="n">
        <f aca="false">TC_s*E253*TC_m*TC_n*TC_b*SQRT(2*g_)*D253^1.5</f>
        <v>0</v>
      </c>
      <c r="G253" s="29" t="n">
        <f aca="false">MAX(A253-SC_Z,0)</f>
        <v>2.48</v>
      </c>
      <c r="H253" s="30" t="n">
        <f aca="false">1-0.2*(SC_xmb+(SC_n-1)*SC_xmt)*G253/(SC_n*SC_b)</f>
        <v>0.93056</v>
      </c>
      <c r="I253" s="31" t="n">
        <f aca="false">SC_s*H253*SC_m*SC_n*SC_b*SQRT(2*g_)*G253^1.5</f>
        <v>36.2204566493508</v>
      </c>
      <c r="J253" s="32" t="n">
        <f aca="false">F253+I253</f>
        <v>36.2204566493508</v>
      </c>
      <c r="K253" s="32" t="n">
        <f aca="false">F253</f>
        <v>0</v>
      </c>
      <c r="L253" s="32" t="n">
        <f aca="false">C253*1000000/dt_s+J253/2</f>
        <v>8144.5324505469</v>
      </c>
      <c r="M253" s="32" t="n">
        <f aca="false">C253*1000000/dt_s+K253/2</f>
        <v>8126.42222222223</v>
      </c>
    </row>
    <row r="254" customFormat="false" ht="15" hidden="false" customHeight="false" outlineLevel="0" collapsed="false">
      <c r="A254" s="24" t="n">
        <f aca="false">ROUND(A253+0.01,2)</f>
        <v>73.49</v>
      </c>
      <c r="B254" s="25" t="n">
        <f aca="false">INDEX(Bang_F,MATCH(A254,Bang_Z,1))+(A254-INDEX(Bang_Z,MATCH(A254,Bang_Z,1)))*(INDEX(Bang_F,MATCH(A254,Bang_Z,1)+1)-INDEX(Bang_F,MATCH(A254,Bang_Z,1)))</f>
        <v>5.494</v>
      </c>
      <c r="C254" s="25" t="n">
        <f aca="false">INDEX(Bang_W,MATCH(A254,Bang_Z,1))+(A254-INDEX(Bang_Z,MATCH(A254,Bang_Z,1)))*(INDEX(Bang_F,MATCH(A254,Bang_Z,1))+B254)/2</f>
        <v>29.31003</v>
      </c>
      <c r="D254" s="26" t="n">
        <f aca="false">MAX(A254-TC_Z,0)</f>
        <v>0</v>
      </c>
      <c r="E254" s="27" t="n">
        <f aca="false">1-0.2*(TC_xmb+(TC_n-1)*TC_xmt)*D254/(TC_n*TC_b)</f>
        <v>1</v>
      </c>
      <c r="F254" s="28" t="n">
        <f aca="false">TC_s*E254*TC_m*TC_n*TC_b*SQRT(2*g_)*D254^1.5</f>
        <v>0</v>
      </c>
      <c r="G254" s="29" t="n">
        <f aca="false">MAX(A254-SC_Z,0)</f>
        <v>2.49</v>
      </c>
      <c r="H254" s="30" t="n">
        <f aca="false">1-0.2*(SC_xmb+(SC_n-1)*SC_xmt)*G254/(SC_n*SC_b)</f>
        <v>0.93028</v>
      </c>
      <c r="I254" s="31" t="n">
        <f aca="false">SC_s*H254*SC_m*SC_n*SC_b*SQRT(2*g_)*G254^1.5</f>
        <v>36.4287881798233</v>
      </c>
      <c r="J254" s="32" t="n">
        <f aca="false">F254+I254</f>
        <v>36.4287881798233</v>
      </c>
      <c r="K254" s="32" t="n">
        <f aca="false">F254</f>
        <v>0</v>
      </c>
      <c r="L254" s="32" t="n">
        <f aca="false">C254*1000000/dt_s+J254/2</f>
        <v>8159.8893940899</v>
      </c>
      <c r="M254" s="32" t="n">
        <f aca="false">C254*1000000/dt_s+K254/2</f>
        <v>8141.67499999999</v>
      </c>
    </row>
    <row r="255" customFormat="false" ht="15" hidden="false" customHeight="false" outlineLevel="0" collapsed="false">
      <c r="A255" s="24" t="n">
        <f aca="false">ROUND(A254+0.01,2)</f>
        <v>73.5</v>
      </c>
      <c r="B255" s="25" t="n">
        <f aca="false">INDEX(Bang_F,MATCH(A255,Bang_Z,1))+(A255-INDEX(Bang_Z,MATCH(A255,Bang_Z,1)))*(INDEX(Bang_F,MATCH(A255,Bang_Z,1)+1)-INDEX(Bang_F,MATCH(A255,Bang_Z,1)))</f>
        <v>5.5</v>
      </c>
      <c r="C255" s="25" t="n">
        <f aca="false">INDEX(Bang_W,MATCH(A255,Bang_Z,1))+(A255-INDEX(Bang_Z,MATCH(A255,Bang_Z,1)))*(INDEX(Bang_F,MATCH(A255,Bang_Z,1))+B255)/2</f>
        <v>29.365</v>
      </c>
      <c r="D255" s="26" t="n">
        <f aca="false">MAX(A255-TC_Z,0)</f>
        <v>0</v>
      </c>
      <c r="E255" s="27" t="n">
        <f aca="false">1-0.2*(TC_xmb+(TC_n-1)*TC_xmt)*D255/(TC_n*TC_b)</f>
        <v>1</v>
      </c>
      <c r="F255" s="28" t="n">
        <f aca="false">TC_s*E255*TC_m*TC_n*TC_b*SQRT(2*g_)*D255^1.5</f>
        <v>0</v>
      </c>
      <c r="G255" s="29" t="n">
        <f aca="false">MAX(A255-SC_Z,0)</f>
        <v>2.5</v>
      </c>
      <c r="H255" s="30" t="n">
        <f aca="false">1-0.2*(SC_xmb+(SC_n-1)*SC_xmt)*G255/(SC_n*SC_b)</f>
        <v>0.93</v>
      </c>
      <c r="I255" s="31" t="n">
        <f aca="false">SC_s*H255*SC_m*SC_n*SC_b*SQRT(2*g_)*G255^1.5</f>
        <v>36.6374282720639</v>
      </c>
      <c r="J255" s="32" t="n">
        <f aca="false">F255+I255</f>
        <v>36.6374282720639</v>
      </c>
      <c r="K255" s="32" t="n">
        <f aca="false">F255</f>
        <v>0</v>
      </c>
      <c r="L255" s="32" t="n">
        <f aca="false">C255*1000000/dt_s+J255/2</f>
        <v>8175.26315858048</v>
      </c>
      <c r="M255" s="32" t="n">
        <f aca="false">C255*1000000/dt_s+K255/2</f>
        <v>8156.94444444445</v>
      </c>
    </row>
    <row r="256" customFormat="false" ht="15" hidden="false" customHeight="false" outlineLevel="0" collapsed="false">
      <c r="A256" s="24" t="n">
        <f aca="false">ROUND(A255+0.01,2)</f>
        <v>73.51</v>
      </c>
      <c r="B256" s="25" t="n">
        <f aca="false">INDEX(Bang_F,MATCH(A256,Bang_Z,1))+(A256-INDEX(Bang_Z,MATCH(A256,Bang_Z,1)))*(INDEX(Bang_F,MATCH(A256,Bang_Z,1)+1)-INDEX(Bang_F,MATCH(A256,Bang_Z,1)))</f>
        <v>5.506</v>
      </c>
      <c r="C256" s="25" t="n">
        <f aca="false">INDEX(Bang_W,MATCH(A256,Bang_Z,1))+(A256-INDEX(Bang_Z,MATCH(A256,Bang_Z,1)))*(INDEX(Bang_F,MATCH(A256,Bang_Z,1))+B256)/2</f>
        <v>29.42003</v>
      </c>
      <c r="D256" s="26" t="n">
        <f aca="false">MAX(A256-TC_Z,0)</f>
        <v>0</v>
      </c>
      <c r="E256" s="27" t="n">
        <f aca="false">1-0.2*(TC_xmb+(TC_n-1)*TC_xmt)*D256/(TC_n*TC_b)</f>
        <v>1</v>
      </c>
      <c r="F256" s="28" t="n">
        <f aca="false">TC_s*E256*TC_m*TC_n*TC_b*SQRT(2*g_)*D256^1.5</f>
        <v>0</v>
      </c>
      <c r="G256" s="29" t="n">
        <f aca="false">MAX(A256-SC_Z,0)</f>
        <v>2.51000000000001</v>
      </c>
      <c r="H256" s="30" t="n">
        <f aca="false">1-0.2*(SC_xmb+(SC_n-1)*SC_xmt)*G256/(SC_n*SC_b)</f>
        <v>0.92972</v>
      </c>
      <c r="I256" s="31" t="n">
        <f aca="false">SC_s*H256*SC_m*SC_n*SC_b*SQRT(2*g_)*G256^1.5</f>
        <v>36.8463756464888</v>
      </c>
      <c r="J256" s="32" t="n">
        <f aca="false">F256+I256</f>
        <v>36.8463756464888</v>
      </c>
      <c r="K256" s="32" t="n">
        <f aca="false">F256</f>
        <v>0</v>
      </c>
      <c r="L256" s="32" t="n">
        <f aca="false">C256*1000000/dt_s+J256/2</f>
        <v>8190.65374337881</v>
      </c>
      <c r="M256" s="32" t="n">
        <f aca="false">C256*1000000/dt_s+K256/2</f>
        <v>8172.23055555556</v>
      </c>
    </row>
    <row r="257" customFormat="false" ht="15" hidden="false" customHeight="false" outlineLevel="0" collapsed="false">
      <c r="A257" s="24" t="n">
        <f aca="false">ROUND(A256+0.01,2)</f>
        <v>73.52</v>
      </c>
      <c r="B257" s="25" t="n">
        <f aca="false">INDEX(Bang_F,MATCH(A257,Bang_Z,1))+(A257-INDEX(Bang_Z,MATCH(A257,Bang_Z,1)))*(INDEX(Bang_F,MATCH(A257,Bang_Z,1)+1)-INDEX(Bang_F,MATCH(A257,Bang_Z,1)))</f>
        <v>5.512</v>
      </c>
      <c r="C257" s="25" t="n">
        <f aca="false">INDEX(Bang_W,MATCH(A257,Bang_Z,1))+(A257-INDEX(Bang_Z,MATCH(A257,Bang_Z,1)))*(INDEX(Bang_F,MATCH(A257,Bang_Z,1))+B257)/2</f>
        <v>29.47512</v>
      </c>
      <c r="D257" s="26" t="n">
        <f aca="false">MAX(A257-TC_Z,0)</f>
        <v>0</v>
      </c>
      <c r="E257" s="27" t="n">
        <f aca="false">1-0.2*(TC_xmb+(TC_n-1)*TC_xmt)*D257/(TC_n*TC_b)</f>
        <v>1</v>
      </c>
      <c r="F257" s="28" t="n">
        <f aca="false">TC_s*E257*TC_m*TC_n*TC_b*SQRT(2*g_)*D257^1.5</f>
        <v>0</v>
      </c>
      <c r="G257" s="29" t="n">
        <f aca="false">MAX(A257-SC_Z,0)</f>
        <v>2.52</v>
      </c>
      <c r="H257" s="30" t="n">
        <f aca="false">1-0.2*(SC_xmb+(SC_n-1)*SC_xmt)*G257/(SC_n*SC_b)</f>
        <v>0.92944</v>
      </c>
      <c r="I257" s="31" t="n">
        <f aca="false">SC_s*H257*SC_m*SC_n*SC_b*SQRT(2*g_)*G257^1.5</f>
        <v>37.0556290298493</v>
      </c>
      <c r="J257" s="32" t="n">
        <f aca="false">F257+I257</f>
        <v>37.0556290298493</v>
      </c>
      <c r="K257" s="32" t="n">
        <f aca="false">F257</f>
        <v>0</v>
      </c>
      <c r="L257" s="32" t="n">
        <f aca="false">C257*1000000/dt_s+J257/2</f>
        <v>8206.06114784825</v>
      </c>
      <c r="M257" s="32" t="n">
        <f aca="false">C257*1000000/dt_s+K257/2</f>
        <v>8187.53333333333</v>
      </c>
    </row>
    <row r="258" customFormat="false" ht="15" hidden="false" customHeight="false" outlineLevel="0" collapsed="false">
      <c r="A258" s="24" t="n">
        <f aca="false">ROUND(A257+0.01,2)</f>
        <v>73.53</v>
      </c>
      <c r="B258" s="25" t="n">
        <f aca="false">INDEX(Bang_F,MATCH(A258,Bang_Z,1))+(A258-INDEX(Bang_Z,MATCH(A258,Bang_Z,1)))*(INDEX(Bang_F,MATCH(A258,Bang_Z,1)+1)-INDEX(Bang_F,MATCH(A258,Bang_Z,1)))</f>
        <v>5.518</v>
      </c>
      <c r="C258" s="25" t="n">
        <f aca="false">INDEX(Bang_W,MATCH(A258,Bang_Z,1))+(A258-INDEX(Bang_Z,MATCH(A258,Bang_Z,1)))*(INDEX(Bang_F,MATCH(A258,Bang_Z,1))+B258)/2</f>
        <v>29.53027</v>
      </c>
      <c r="D258" s="26" t="n">
        <f aca="false">MAX(A258-TC_Z,0)</f>
        <v>0</v>
      </c>
      <c r="E258" s="27" t="n">
        <f aca="false">1-0.2*(TC_xmb+(TC_n-1)*TC_xmt)*D258/(TC_n*TC_b)</f>
        <v>1</v>
      </c>
      <c r="F258" s="28" t="n">
        <f aca="false">TC_s*E258*TC_m*TC_n*TC_b*SQRT(2*g_)*D258^1.5</f>
        <v>0</v>
      </c>
      <c r="G258" s="29" t="n">
        <f aca="false">MAX(A258-SC_Z,0)</f>
        <v>2.53</v>
      </c>
      <c r="H258" s="30" t="n">
        <f aca="false">1-0.2*(SC_xmb+(SC_n-1)*SC_xmt)*G258/(SC_n*SC_b)</f>
        <v>0.92916</v>
      </c>
      <c r="I258" s="31" t="n">
        <f aca="false">SC_s*H258*SC_m*SC_n*SC_b*SQRT(2*g_)*G258^1.5</f>
        <v>37.2651871551722</v>
      </c>
      <c r="J258" s="32" t="n">
        <f aca="false">F258+I258</f>
        <v>37.2651871551722</v>
      </c>
      <c r="K258" s="32" t="n">
        <f aca="false">F258</f>
        <v>0</v>
      </c>
      <c r="L258" s="32" t="n">
        <f aca="false">C258*1000000/dt_s+J258/2</f>
        <v>8221.48537135537</v>
      </c>
      <c r="M258" s="32" t="n">
        <f aca="false">C258*1000000/dt_s+K258/2</f>
        <v>8202.85277777778</v>
      </c>
    </row>
    <row r="259" customFormat="false" ht="15" hidden="false" customHeight="false" outlineLevel="0" collapsed="false">
      <c r="A259" s="24" t="n">
        <f aca="false">ROUND(A258+0.01,2)</f>
        <v>73.54</v>
      </c>
      <c r="B259" s="25" t="n">
        <f aca="false">INDEX(Bang_F,MATCH(A259,Bang_Z,1))+(A259-INDEX(Bang_Z,MATCH(A259,Bang_Z,1)))*(INDEX(Bang_F,MATCH(A259,Bang_Z,1)+1)-INDEX(Bang_F,MATCH(A259,Bang_Z,1)))</f>
        <v>5.524</v>
      </c>
      <c r="C259" s="25" t="n">
        <f aca="false">INDEX(Bang_W,MATCH(A259,Bang_Z,1))+(A259-INDEX(Bang_Z,MATCH(A259,Bang_Z,1)))*(INDEX(Bang_F,MATCH(A259,Bang_Z,1))+B259)/2</f>
        <v>29.58548</v>
      </c>
      <c r="D259" s="26" t="n">
        <f aca="false">MAX(A259-TC_Z,0)</f>
        <v>0</v>
      </c>
      <c r="E259" s="27" t="n">
        <f aca="false">1-0.2*(TC_xmb+(TC_n-1)*TC_xmt)*D259/(TC_n*TC_b)</f>
        <v>1</v>
      </c>
      <c r="F259" s="28" t="n">
        <f aca="false">TC_s*E259*TC_m*TC_n*TC_b*SQRT(2*g_)*D259^1.5</f>
        <v>0</v>
      </c>
      <c r="G259" s="29" t="n">
        <f aca="false">MAX(A259-SC_Z,0)</f>
        <v>2.54000000000001</v>
      </c>
      <c r="H259" s="30" t="n">
        <f aca="false">1-0.2*(SC_xmb+(SC_n-1)*SC_xmt)*G259/(SC_n*SC_b)</f>
        <v>0.92888</v>
      </c>
      <c r="I259" s="31" t="n">
        <f aca="false">SC_s*H259*SC_m*SC_n*SC_b*SQRT(2*g_)*G259^1.5</f>
        <v>37.4750487616983</v>
      </c>
      <c r="J259" s="32" t="n">
        <f aca="false">F259+I259</f>
        <v>37.4750487616983</v>
      </c>
      <c r="K259" s="32" t="n">
        <f aca="false">F259</f>
        <v>0</v>
      </c>
      <c r="L259" s="32" t="n">
        <f aca="false">C259*1000000/dt_s+J259/2</f>
        <v>8236.92641326975</v>
      </c>
      <c r="M259" s="32" t="n">
        <f aca="false">C259*1000000/dt_s+K259/2</f>
        <v>8218.1888888889</v>
      </c>
    </row>
    <row r="260" customFormat="false" ht="15" hidden="false" customHeight="false" outlineLevel="0" collapsed="false">
      <c r="A260" s="24" t="n">
        <f aca="false">ROUND(A259+0.01,2)</f>
        <v>73.55</v>
      </c>
      <c r="B260" s="25" t="n">
        <f aca="false">INDEX(Bang_F,MATCH(A260,Bang_Z,1))+(A260-INDEX(Bang_Z,MATCH(A260,Bang_Z,1)))*(INDEX(Bang_F,MATCH(A260,Bang_Z,1)+1)-INDEX(Bang_F,MATCH(A260,Bang_Z,1)))</f>
        <v>5.53</v>
      </c>
      <c r="C260" s="25" t="n">
        <f aca="false">INDEX(Bang_W,MATCH(A260,Bang_Z,1))+(A260-INDEX(Bang_Z,MATCH(A260,Bang_Z,1)))*(INDEX(Bang_F,MATCH(A260,Bang_Z,1))+B260)/2</f>
        <v>29.64075</v>
      </c>
      <c r="D260" s="26" t="n">
        <f aca="false">MAX(A260-TC_Z,0)</f>
        <v>0</v>
      </c>
      <c r="E260" s="27" t="n">
        <f aca="false">1-0.2*(TC_xmb+(TC_n-1)*TC_xmt)*D260/(TC_n*TC_b)</f>
        <v>1</v>
      </c>
      <c r="F260" s="28" t="n">
        <f aca="false">TC_s*E260*TC_m*TC_n*TC_b*SQRT(2*g_)*D260^1.5</f>
        <v>0</v>
      </c>
      <c r="G260" s="29" t="n">
        <f aca="false">MAX(A260-SC_Z,0)</f>
        <v>2.55</v>
      </c>
      <c r="H260" s="30" t="n">
        <f aca="false">1-0.2*(SC_xmb+(SC_n-1)*SC_xmt)*G260/(SC_n*SC_b)</f>
        <v>0.9286</v>
      </c>
      <c r="I260" s="31" t="n">
        <f aca="false">SC_s*H260*SC_m*SC_n*SC_b*SQRT(2*g_)*G260^1.5</f>
        <v>37.685212594825</v>
      </c>
      <c r="J260" s="32" t="n">
        <f aca="false">F260+I260</f>
        <v>37.685212594825</v>
      </c>
      <c r="K260" s="32" t="n">
        <f aca="false">F260</f>
        <v>0</v>
      </c>
      <c r="L260" s="32" t="n">
        <f aca="false">C260*1000000/dt_s+J260/2</f>
        <v>8252.38427296408</v>
      </c>
      <c r="M260" s="32" t="n">
        <f aca="false">C260*1000000/dt_s+K260/2</f>
        <v>8233.54166666666</v>
      </c>
    </row>
    <row r="261" customFormat="false" ht="15" hidden="false" customHeight="false" outlineLevel="0" collapsed="false">
      <c r="A261" s="24" t="n">
        <f aca="false">ROUND(A260+0.01,2)</f>
        <v>73.56</v>
      </c>
      <c r="B261" s="25" t="n">
        <f aca="false">INDEX(Bang_F,MATCH(A261,Bang_Z,1))+(A261-INDEX(Bang_Z,MATCH(A261,Bang_Z,1)))*(INDEX(Bang_F,MATCH(A261,Bang_Z,1)+1)-INDEX(Bang_F,MATCH(A261,Bang_Z,1)))</f>
        <v>5.536</v>
      </c>
      <c r="C261" s="25" t="n">
        <f aca="false">INDEX(Bang_W,MATCH(A261,Bang_Z,1))+(A261-INDEX(Bang_Z,MATCH(A261,Bang_Z,1)))*(INDEX(Bang_F,MATCH(A261,Bang_Z,1))+B261)/2</f>
        <v>29.69608</v>
      </c>
      <c r="D261" s="26" t="n">
        <f aca="false">MAX(A261-TC_Z,0)</f>
        <v>0</v>
      </c>
      <c r="E261" s="27" t="n">
        <f aca="false">1-0.2*(TC_xmb+(TC_n-1)*TC_xmt)*D261/(TC_n*TC_b)</f>
        <v>1</v>
      </c>
      <c r="F261" s="28" t="n">
        <f aca="false">TC_s*E261*TC_m*TC_n*TC_b*SQRT(2*g_)*D261^1.5</f>
        <v>0</v>
      </c>
      <c r="G261" s="29" t="n">
        <f aca="false">MAX(A261-SC_Z,0)</f>
        <v>2.56</v>
      </c>
      <c r="H261" s="30" t="n">
        <f aca="false">1-0.2*(SC_xmb+(SC_n-1)*SC_xmt)*G261/(SC_n*SC_b)</f>
        <v>0.92832</v>
      </c>
      <c r="I261" s="31" t="n">
        <f aca="false">SC_s*H261*SC_m*SC_n*SC_b*SQRT(2*g_)*G261^1.5</f>
        <v>37.8956774060492</v>
      </c>
      <c r="J261" s="32" t="n">
        <f aca="false">F261+I261</f>
        <v>37.8956774060492</v>
      </c>
      <c r="K261" s="32" t="n">
        <f aca="false">F261</f>
        <v>0</v>
      </c>
      <c r="L261" s="32" t="n">
        <f aca="false">C261*1000000/dt_s+J261/2</f>
        <v>8267.85894981414</v>
      </c>
      <c r="M261" s="32" t="n">
        <f aca="false">C261*1000000/dt_s+K261/2</f>
        <v>8248.91111111111</v>
      </c>
    </row>
    <row r="262" customFormat="false" ht="15" hidden="false" customHeight="false" outlineLevel="0" collapsed="false">
      <c r="A262" s="24" t="n">
        <f aca="false">ROUND(A261+0.01,2)</f>
        <v>73.57</v>
      </c>
      <c r="B262" s="25" t="n">
        <f aca="false">INDEX(Bang_F,MATCH(A262,Bang_Z,1))+(A262-INDEX(Bang_Z,MATCH(A262,Bang_Z,1)))*(INDEX(Bang_F,MATCH(A262,Bang_Z,1)+1)-INDEX(Bang_F,MATCH(A262,Bang_Z,1)))</f>
        <v>5.542</v>
      </c>
      <c r="C262" s="25" t="n">
        <f aca="false">INDEX(Bang_W,MATCH(A262,Bang_Z,1))+(A262-INDEX(Bang_Z,MATCH(A262,Bang_Z,1)))*(INDEX(Bang_F,MATCH(A262,Bang_Z,1))+B262)/2</f>
        <v>29.75147</v>
      </c>
      <c r="D262" s="26" t="n">
        <f aca="false">MAX(A262-TC_Z,0)</f>
        <v>0</v>
      </c>
      <c r="E262" s="27" t="n">
        <f aca="false">1-0.2*(TC_xmb+(TC_n-1)*TC_xmt)*D262/(TC_n*TC_b)</f>
        <v>1</v>
      </c>
      <c r="F262" s="28" t="n">
        <f aca="false">TC_s*E262*TC_m*TC_n*TC_b*SQRT(2*g_)*D262^1.5</f>
        <v>0</v>
      </c>
      <c r="G262" s="29" t="n">
        <f aca="false">MAX(A262-SC_Z,0)</f>
        <v>2.56999999999999</v>
      </c>
      <c r="H262" s="30" t="n">
        <f aca="false">1-0.2*(SC_xmb+(SC_n-1)*SC_xmt)*G262/(SC_n*SC_b)</f>
        <v>0.92804</v>
      </c>
      <c r="I262" s="31" t="n">
        <f aca="false">SC_s*H262*SC_m*SC_n*SC_b*SQRT(2*g_)*G262^1.5</f>
        <v>38.1064419529079</v>
      </c>
      <c r="J262" s="32" t="n">
        <f aca="false">F262+I262</f>
        <v>38.1064419529079</v>
      </c>
      <c r="K262" s="32" t="n">
        <f aca="false">F262</f>
        <v>0</v>
      </c>
      <c r="L262" s="32" t="n">
        <f aca="false">C262*1000000/dt_s+J262/2</f>
        <v>8283.35044319867</v>
      </c>
      <c r="M262" s="32" t="n">
        <f aca="false">C262*1000000/dt_s+K262/2</f>
        <v>8264.29722222221</v>
      </c>
    </row>
    <row r="263" customFormat="false" ht="15" hidden="false" customHeight="false" outlineLevel="0" collapsed="false">
      <c r="A263" s="24" t="n">
        <f aca="false">ROUND(A262+0.01,2)</f>
        <v>73.58</v>
      </c>
      <c r="B263" s="25" t="n">
        <f aca="false">INDEX(Bang_F,MATCH(A263,Bang_Z,1))+(A263-INDEX(Bang_Z,MATCH(A263,Bang_Z,1)))*(INDEX(Bang_F,MATCH(A263,Bang_Z,1)+1)-INDEX(Bang_F,MATCH(A263,Bang_Z,1)))</f>
        <v>5.548</v>
      </c>
      <c r="C263" s="25" t="n">
        <f aca="false">INDEX(Bang_W,MATCH(A263,Bang_Z,1))+(A263-INDEX(Bang_Z,MATCH(A263,Bang_Z,1)))*(INDEX(Bang_F,MATCH(A263,Bang_Z,1))+B263)/2</f>
        <v>29.80692</v>
      </c>
      <c r="D263" s="26" t="n">
        <f aca="false">MAX(A263-TC_Z,0)</f>
        <v>0</v>
      </c>
      <c r="E263" s="27" t="n">
        <f aca="false">1-0.2*(TC_xmb+(TC_n-1)*TC_xmt)*D263/(TC_n*TC_b)</f>
        <v>1</v>
      </c>
      <c r="F263" s="28" t="n">
        <f aca="false">TC_s*E263*TC_m*TC_n*TC_b*SQRT(2*g_)*D263^1.5</f>
        <v>0</v>
      </c>
      <c r="G263" s="29" t="n">
        <f aca="false">MAX(A263-SC_Z,0)</f>
        <v>2.58</v>
      </c>
      <c r="H263" s="30" t="n">
        <f aca="false">1-0.2*(SC_xmb+(SC_n-1)*SC_xmt)*G263/(SC_n*SC_b)</f>
        <v>0.92776</v>
      </c>
      <c r="I263" s="31" t="n">
        <f aca="false">SC_s*H263*SC_m*SC_n*SC_b*SQRT(2*g_)*G263^1.5</f>
        <v>38.3175049989248</v>
      </c>
      <c r="J263" s="32" t="n">
        <f aca="false">F263+I263</f>
        <v>38.3175049989248</v>
      </c>
      <c r="K263" s="32" t="n">
        <f aca="false">F263</f>
        <v>0</v>
      </c>
      <c r="L263" s="32" t="n">
        <f aca="false">C263*1000000/dt_s+J263/2</f>
        <v>8298.85875249946</v>
      </c>
      <c r="M263" s="32" t="n">
        <f aca="false">C263*1000000/dt_s+K263/2</f>
        <v>8279.7</v>
      </c>
    </row>
    <row r="264" customFormat="false" ht="15" hidden="false" customHeight="false" outlineLevel="0" collapsed="false">
      <c r="A264" s="24" t="n">
        <f aca="false">ROUND(A263+0.01,2)</f>
        <v>73.59</v>
      </c>
      <c r="B264" s="25" t="n">
        <f aca="false">INDEX(Bang_F,MATCH(A264,Bang_Z,1))+(A264-INDEX(Bang_Z,MATCH(A264,Bang_Z,1)))*(INDEX(Bang_F,MATCH(A264,Bang_Z,1)+1)-INDEX(Bang_F,MATCH(A264,Bang_Z,1)))</f>
        <v>5.554</v>
      </c>
      <c r="C264" s="25" t="n">
        <f aca="false">INDEX(Bang_W,MATCH(A264,Bang_Z,1))+(A264-INDEX(Bang_Z,MATCH(A264,Bang_Z,1)))*(INDEX(Bang_F,MATCH(A264,Bang_Z,1))+B264)/2</f>
        <v>29.86243</v>
      </c>
      <c r="D264" s="26" t="n">
        <f aca="false">MAX(A264-TC_Z,0)</f>
        <v>0</v>
      </c>
      <c r="E264" s="27" t="n">
        <f aca="false">1-0.2*(TC_xmb+(TC_n-1)*TC_xmt)*D264/(TC_n*TC_b)</f>
        <v>1</v>
      </c>
      <c r="F264" s="28" t="n">
        <f aca="false">TC_s*E264*TC_m*TC_n*TC_b*SQRT(2*g_)*D264^1.5</f>
        <v>0</v>
      </c>
      <c r="G264" s="29" t="n">
        <f aca="false">MAX(A264-SC_Z,0)</f>
        <v>2.59</v>
      </c>
      <c r="H264" s="30" t="n">
        <f aca="false">1-0.2*(SC_xmb+(SC_n-1)*SC_xmt)*G264/(SC_n*SC_b)</f>
        <v>0.92748</v>
      </c>
      <c r="I264" s="31" t="n">
        <f aca="false">SC_s*H264*SC_m*SC_n*SC_b*SQRT(2*g_)*G264^1.5</f>
        <v>38.5288653135518</v>
      </c>
      <c r="J264" s="32" t="n">
        <f aca="false">F264+I264</f>
        <v>38.5288653135518</v>
      </c>
      <c r="K264" s="32" t="n">
        <f aca="false">F264</f>
        <v>0</v>
      </c>
      <c r="L264" s="32" t="n">
        <f aca="false">C264*1000000/dt_s+J264/2</f>
        <v>8314.38387710123</v>
      </c>
      <c r="M264" s="32" t="n">
        <f aca="false">C264*1000000/dt_s+K264/2</f>
        <v>8295.11944444445</v>
      </c>
    </row>
    <row r="265" customFormat="false" ht="15" hidden="false" customHeight="false" outlineLevel="0" collapsed="false">
      <c r="A265" s="24" t="n">
        <f aca="false">ROUND(A264+0.01,2)</f>
        <v>73.6</v>
      </c>
      <c r="B265" s="25" t="n">
        <f aca="false">INDEX(Bang_F,MATCH(A265,Bang_Z,1))+(A265-INDEX(Bang_Z,MATCH(A265,Bang_Z,1)))*(INDEX(Bang_F,MATCH(A265,Bang_Z,1)+1)-INDEX(Bang_F,MATCH(A265,Bang_Z,1)))</f>
        <v>5.56</v>
      </c>
      <c r="C265" s="25" t="n">
        <f aca="false">INDEX(Bang_W,MATCH(A265,Bang_Z,1))+(A265-INDEX(Bang_Z,MATCH(A265,Bang_Z,1)))*(INDEX(Bang_F,MATCH(A265,Bang_Z,1))+B265)/2</f>
        <v>29.918</v>
      </c>
      <c r="D265" s="26" t="n">
        <f aca="false">MAX(A265-TC_Z,0)</f>
        <v>0</v>
      </c>
      <c r="E265" s="27" t="n">
        <f aca="false">1-0.2*(TC_xmb+(TC_n-1)*TC_xmt)*D265/(TC_n*TC_b)</f>
        <v>1</v>
      </c>
      <c r="F265" s="28" t="n">
        <f aca="false">TC_s*E265*TC_m*TC_n*TC_b*SQRT(2*g_)*D265^1.5</f>
        <v>0</v>
      </c>
      <c r="G265" s="29" t="n">
        <f aca="false">MAX(A265-SC_Z,0)</f>
        <v>2.59999999999999</v>
      </c>
      <c r="H265" s="30" t="n">
        <f aca="false">1-0.2*(SC_xmb+(SC_n-1)*SC_xmt)*G265/(SC_n*SC_b)</f>
        <v>0.9272</v>
      </c>
      <c r="I265" s="31" t="n">
        <f aca="false">SC_s*H265*SC_m*SC_n*SC_b*SQRT(2*g_)*G265^1.5</f>
        <v>38.7405216721159</v>
      </c>
      <c r="J265" s="32" t="n">
        <f aca="false">F265+I265</f>
        <v>38.7405216721159</v>
      </c>
      <c r="K265" s="32" t="n">
        <f aca="false">F265</f>
        <v>0</v>
      </c>
      <c r="L265" s="32" t="n">
        <f aca="false">C265*1000000/dt_s+J265/2</f>
        <v>8329.92581639161</v>
      </c>
      <c r="M265" s="32" t="n">
        <f aca="false">C265*1000000/dt_s+K265/2</f>
        <v>8310.55555555555</v>
      </c>
    </row>
    <row r="266" customFormat="false" ht="15" hidden="false" customHeight="false" outlineLevel="0" collapsed="false">
      <c r="A266" s="24" t="n">
        <f aca="false">ROUND(A265+0.01,2)</f>
        <v>73.61</v>
      </c>
      <c r="B266" s="25" t="n">
        <f aca="false">INDEX(Bang_F,MATCH(A266,Bang_Z,1))+(A266-INDEX(Bang_Z,MATCH(A266,Bang_Z,1)))*(INDEX(Bang_F,MATCH(A266,Bang_Z,1)+1)-INDEX(Bang_F,MATCH(A266,Bang_Z,1)))</f>
        <v>5.566</v>
      </c>
      <c r="C266" s="25" t="n">
        <f aca="false">INDEX(Bang_W,MATCH(A266,Bang_Z,1))+(A266-INDEX(Bang_Z,MATCH(A266,Bang_Z,1)))*(INDEX(Bang_F,MATCH(A266,Bang_Z,1))+B266)/2</f>
        <v>29.97363</v>
      </c>
      <c r="D266" s="26" t="n">
        <f aca="false">MAX(A266-TC_Z,0)</f>
        <v>0</v>
      </c>
      <c r="E266" s="27" t="n">
        <f aca="false">1-0.2*(TC_xmb+(TC_n-1)*TC_xmt)*D266/(TC_n*TC_b)</f>
        <v>1</v>
      </c>
      <c r="F266" s="28" t="n">
        <f aca="false">TC_s*E266*TC_m*TC_n*TC_b*SQRT(2*g_)*D266^1.5</f>
        <v>0</v>
      </c>
      <c r="G266" s="29" t="n">
        <f aca="false">MAX(A266-SC_Z,0)</f>
        <v>2.61</v>
      </c>
      <c r="H266" s="30" t="n">
        <f aca="false">1-0.2*(SC_xmb+(SC_n-1)*SC_xmt)*G266/(SC_n*SC_b)</f>
        <v>0.92692</v>
      </c>
      <c r="I266" s="31" t="n">
        <f aca="false">SC_s*H266*SC_m*SC_n*SC_b*SQRT(2*g_)*G266^1.5</f>
        <v>38.9524728557655</v>
      </c>
      <c r="J266" s="32" t="n">
        <f aca="false">F266+I266</f>
        <v>38.9524728557655</v>
      </c>
      <c r="K266" s="32" t="n">
        <f aca="false">F266</f>
        <v>0</v>
      </c>
      <c r="L266" s="32" t="n">
        <f aca="false">C266*1000000/dt_s+J266/2</f>
        <v>8345.48456976122</v>
      </c>
      <c r="M266" s="32" t="n">
        <f aca="false">C266*1000000/dt_s+K266/2</f>
        <v>8326.00833333333</v>
      </c>
    </row>
    <row r="267" customFormat="false" ht="15" hidden="false" customHeight="false" outlineLevel="0" collapsed="false">
      <c r="A267" s="24" t="n">
        <f aca="false">ROUND(A266+0.01,2)</f>
        <v>73.62</v>
      </c>
      <c r="B267" s="25" t="n">
        <f aca="false">INDEX(Bang_F,MATCH(A267,Bang_Z,1))+(A267-INDEX(Bang_Z,MATCH(A267,Bang_Z,1)))*(INDEX(Bang_F,MATCH(A267,Bang_Z,1)+1)-INDEX(Bang_F,MATCH(A267,Bang_Z,1)))</f>
        <v>5.572</v>
      </c>
      <c r="C267" s="25" t="n">
        <f aca="false">INDEX(Bang_W,MATCH(A267,Bang_Z,1))+(A267-INDEX(Bang_Z,MATCH(A267,Bang_Z,1)))*(INDEX(Bang_F,MATCH(A267,Bang_Z,1))+B267)/2</f>
        <v>30.02932</v>
      </c>
      <c r="D267" s="26" t="n">
        <f aca="false">MAX(A267-TC_Z,0)</f>
        <v>0</v>
      </c>
      <c r="E267" s="27" t="n">
        <f aca="false">1-0.2*(TC_xmb+(TC_n-1)*TC_xmt)*D267/(TC_n*TC_b)</f>
        <v>1</v>
      </c>
      <c r="F267" s="28" t="n">
        <f aca="false">TC_s*E267*TC_m*TC_n*TC_b*SQRT(2*g_)*D267^1.5</f>
        <v>0</v>
      </c>
      <c r="G267" s="29" t="n">
        <f aca="false">MAX(A267-SC_Z,0)</f>
        <v>2.62</v>
      </c>
      <c r="H267" s="30" t="n">
        <f aca="false">1-0.2*(SC_xmb+(SC_n-1)*SC_xmt)*G267/(SC_n*SC_b)</f>
        <v>0.92664</v>
      </c>
      <c r="I267" s="31" t="n">
        <f aca="false">SC_s*H267*SC_m*SC_n*SC_b*SQRT(2*g_)*G267^1.5</f>
        <v>39.1647176514151</v>
      </c>
      <c r="J267" s="32" t="n">
        <f aca="false">F267+I267</f>
        <v>39.1647176514151</v>
      </c>
      <c r="K267" s="32" t="n">
        <f aca="false">F267</f>
        <v>0</v>
      </c>
      <c r="L267" s="32" t="n">
        <f aca="false">C267*1000000/dt_s+J267/2</f>
        <v>8361.06013660349</v>
      </c>
      <c r="M267" s="32" t="n">
        <f aca="false">C267*1000000/dt_s+K267/2</f>
        <v>8341.47777777779</v>
      </c>
    </row>
    <row r="268" customFormat="false" ht="15" hidden="false" customHeight="false" outlineLevel="0" collapsed="false">
      <c r="A268" s="24" t="n">
        <f aca="false">ROUND(A267+0.01,2)</f>
        <v>73.63</v>
      </c>
      <c r="B268" s="25" t="n">
        <f aca="false">INDEX(Bang_F,MATCH(A268,Bang_Z,1))+(A268-INDEX(Bang_Z,MATCH(A268,Bang_Z,1)))*(INDEX(Bang_F,MATCH(A268,Bang_Z,1)+1)-INDEX(Bang_F,MATCH(A268,Bang_Z,1)))</f>
        <v>5.578</v>
      </c>
      <c r="C268" s="25" t="n">
        <f aca="false">INDEX(Bang_W,MATCH(A268,Bang_Z,1))+(A268-INDEX(Bang_Z,MATCH(A268,Bang_Z,1)))*(INDEX(Bang_F,MATCH(A268,Bang_Z,1))+B268)/2</f>
        <v>30.08507</v>
      </c>
      <c r="D268" s="26" t="n">
        <f aca="false">MAX(A268-TC_Z,0)</f>
        <v>0</v>
      </c>
      <c r="E268" s="27" t="n">
        <f aca="false">1-0.2*(TC_xmb+(TC_n-1)*TC_xmt)*D268/(TC_n*TC_b)</f>
        <v>1</v>
      </c>
      <c r="F268" s="28" t="n">
        <f aca="false">TC_s*E268*TC_m*TC_n*TC_b*SQRT(2*g_)*D268^1.5</f>
        <v>0</v>
      </c>
      <c r="G268" s="29" t="n">
        <f aca="false">MAX(A268-SC_Z,0)</f>
        <v>2.63</v>
      </c>
      <c r="H268" s="30" t="n">
        <f aca="false">1-0.2*(SC_xmb+(SC_n-1)*SC_xmt)*G268/(SC_n*SC_b)</f>
        <v>0.92636</v>
      </c>
      <c r="I268" s="31" t="n">
        <f aca="false">SC_s*H268*SC_m*SC_n*SC_b*SQRT(2*g_)*G268^1.5</f>
        <v>39.3772548516941</v>
      </c>
      <c r="J268" s="32" t="n">
        <f aca="false">F268+I268</f>
        <v>39.3772548516941</v>
      </c>
      <c r="K268" s="32" t="n">
        <f aca="false">F268</f>
        <v>0</v>
      </c>
      <c r="L268" s="32" t="n">
        <f aca="false">C268*1000000/dt_s+J268/2</f>
        <v>8376.65251631473</v>
      </c>
      <c r="M268" s="32" t="n">
        <f aca="false">C268*1000000/dt_s+K268/2</f>
        <v>8356.96388888888</v>
      </c>
    </row>
    <row r="269" customFormat="false" ht="15" hidden="false" customHeight="false" outlineLevel="0" collapsed="false">
      <c r="A269" s="24" t="n">
        <f aca="false">ROUND(A268+0.01,2)</f>
        <v>73.64</v>
      </c>
      <c r="B269" s="25" t="n">
        <f aca="false">INDEX(Bang_F,MATCH(A269,Bang_Z,1))+(A269-INDEX(Bang_Z,MATCH(A269,Bang_Z,1)))*(INDEX(Bang_F,MATCH(A269,Bang_Z,1)+1)-INDEX(Bang_F,MATCH(A269,Bang_Z,1)))</f>
        <v>5.584</v>
      </c>
      <c r="C269" s="25" t="n">
        <f aca="false">INDEX(Bang_W,MATCH(A269,Bang_Z,1))+(A269-INDEX(Bang_Z,MATCH(A269,Bang_Z,1)))*(INDEX(Bang_F,MATCH(A269,Bang_Z,1))+B269)/2</f>
        <v>30.14088</v>
      </c>
      <c r="D269" s="26" t="n">
        <f aca="false">MAX(A269-TC_Z,0)</f>
        <v>0</v>
      </c>
      <c r="E269" s="27" t="n">
        <f aca="false">1-0.2*(TC_xmb+(TC_n-1)*TC_xmt)*D269/(TC_n*TC_b)</f>
        <v>1</v>
      </c>
      <c r="F269" s="28" t="n">
        <f aca="false">TC_s*E269*TC_m*TC_n*TC_b*SQRT(2*g_)*D269^1.5</f>
        <v>0</v>
      </c>
      <c r="G269" s="29" t="n">
        <f aca="false">MAX(A269-SC_Z,0)</f>
        <v>2.64</v>
      </c>
      <c r="H269" s="30" t="n">
        <f aca="false">1-0.2*(SC_xmb+(SC_n-1)*SC_xmt)*G269/(SC_n*SC_b)</f>
        <v>0.92608</v>
      </c>
      <c r="I269" s="31" t="n">
        <f aca="false">SC_s*H269*SC_m*SC_n*SC_b*SQRT(2*g_)*G269^1.5</f>
        <v>39.5900832548947</v>
      </c>
      <c r="J269" s="32" t="n">
        <f aca="false">F269+I269</f>
        <v>39.5900832548947</v>
      </c>
      <c r="K269" s="32" t="n">
        <f aca="false">F269</f>
        <v>0</v>
      </c>
      <c r="L269" s="32" t="n">
        <f aca="false">C269*1000000/dt_s+J269/2</f>
        <v>8392.26170829411</v>
      </c>
      <c r="M269" s="32" t="n">
        <f aca="false">C269*1000000/dt_s+K269/2</f>
        <v>8372.46666666667</v>
      </c>
    </row>
    <row r="270" customFormat="false" ht="15" hidden="false" customHeight="false" outlineLevel="0" collapsed="false">
      <c r="A270" s="24" t="n">
        <f aca="false">ROUND(A269+0.01,2)</f>
        <v>73.65</v>
      </c>
      <c r="B270" s="25" t="n">
        <f aca="false">INDEX(Bang_F,MATCH(A270,Bang_Z,1))+(A270-INDEX(Bang_Z,MATCH(A270,Bang_Z,1)))*(INDEX(Bang_F,MATCH(A270,Bang_Z,1)+1)-INDEX(Bang_F,MATCH(A270,Bang_Z,1)))</f>
        <v>5.59</v>
      </c>
      <c r="C270" s="25" t="n">
        <f aca="false">INDEX(Bang_W,MATCH(A270,Bang_Z,1))+(A270-INDEX(Bang_Z,MATCH(A270,Bang_Z,1)))*(INDEX(Bang_F,MATCH(A270,Bang_Z,1))+B270)/2</f>
        <v>30.19675</v>
      </c>
      <c r="D270" s="26" t="n">
        <f aca="false">MAX(A270-TC_Z,0)</f>
        <v>0</v>
      </c>
      <c r="E270" s="27" t="n">
        <f aca="false">1-0.2*(TC_xmb+(TC_n-1)*TC_xmt)*D270/(TC_n*TC_b)</f>
        <v>1</v>
      </c>
      <c r="F270" s="28" t="n">
        <f aca="false">TC_s*E270*TC_m*TC_n*TC_b*SQRT(2*g_)*D270^1.5</f>
        <v>0</v>
      </c>
      <c r="G270" s="29" t="n">
        <f aca="false">MAX(A270-SC_Z,0)</f>
        <v>2.65000000000001</v>
      </c>
      <c r="H270" s="30" t="n">
        <f aca="false">1-0.2*(SC_xmb+(SC_n-1)*SC_xmt)*G270/(SC_n*SC_b)</f>
        <v>0.9258</v>
      </c>
      <c r="I270" s="31" t="n">
        <f aca="false">SC_s*H270*SC_m*SC_n*SC_b*SQRT(2*g_)*G270^1.5</f>
        <v>39.80320166492</v>
      </c>
      <c r="J270" s="32" t="n">
        <f aca="false">F270+I270</f>
        <v>39.80320166492</v>
      </c>
      <c r="K270" s="32" t="n">
        <f aca="false">F270</f>
        <v>0</v>
      </c>
      <c r="L270" s="32" t="n">
        <f aca="false">C270*1000000/dt_s+J270/2</f>
        <v>8407.88771194358</v>
      </c>
      <c r="M270" s="32" t="n">
        <f aca="false">C270*1000000/dt_s+K270/2</f>
        <v>8387.98611111112</v>
      </c>
    </row>
    <row r="271" customFormat="false" ht="15" hidden="false" customHeight="false" outlineLevel="0" collapsed="false">
      <c r="A271" s="24" t="n">
        <f aca="false">ROUND(A270+0.01,2)</f>
        <v>73.66</v>
      </c>
      <c r="B271" s="25" t="n">
        <f aca="false">INDEX(Bang_F,MATCH(A271,Bang_Z,1))+(A271-INDEX(Bang_Z,MATCH(A271,Bang_Z,1)))*(INDEX(Bang_F,MATCH(A271,Bang_Z,1)+1)-INDEX(Bang_F,MATCH(A271,Bang_Z,1)))</f>
        <v>5.596</v>
      </c>
      <c r="C271" s="25" t="n">
        <f aca="false">INDEX(Bang_W,MATCH(A271,Bang_Z,1))+(A271-INDEX(Bang_Z,MATCH(A271,Bang_Z,1)))*(INDEX(Bang_F,MATCH(A271,Bang_Z,1))+B271)/2</f>
        <v>30.25268</v>
      </c>
      <c r="D271" s="26" t="n">
        <f aca="false">MAX(A271-TC_Z,0)</f>
        <v>0</v>
      </c>
      <c r="E271" s="27" t="n">
        <f aca="false">1-0.2*(TC_xmb+(TC_n-1)*TC_xmt)*D271/(TC_n*TC_b)</f>
        <v>1</v>
      </c>
      <c r="F271" s="28" t="n">
        <f aca="false">TC_s*E271*TC_m*TC_n*TC_b*SQRT(2*g_)*D271^1.5</f>
        <v>0</v>
      </c>
      <c r="G271" s="29" t="n">
        <f aca="false">MAX(A271-SC_Z,0)</f>
        <v>2.66</v>
      </c>
      <c r="H271" s="30" t="n">
        <f aca="false">1-0.2*(SC_xmb+(SC_n-1)*SC_xmt)*G271/(SC_n*SC_b)</f>
        <v>0.92552</v>
      </c>
      <c r="I271" s="31" t="n">
        <f aca="false">SC_s*H271*SC_m*SC_n*SC_b*SQRT(2*g_)*G271^1.5</f>
        <v>40.0166088912329</v>
      </c>
      <c r="J271" s="32" t="n">
        <f aca="false">F271+I271</f>
        <v>40.0166088912329</v>
      </c>
      <c r="K271" s="32" t="n">
        <f aca="false">F271</f>
        <v>0</v>
      </c>
      <c r="L271" s="32" t="n">
        <f aca="false">C271*1000000/dt_s+J271/2</f>
        <v>8423.53052666784</v>
      </c>
      <c r="M271" s="32" t="n">
        <f aca="false">C271*1000000/dt_s+K271/2</f>
        <v>8403.52222222222</v>
      </c>
    </row>
    <row r="272" customFormat="false" ht="15" hidden="false" customHeight="false" outlineLevel="0" collapsed="false">
      <c r="A272" s="24" t="n">
        <f aca="false">ROUND(A271+0.01,2)</f>
        <v>73.67</v>
      </c>
      <c r="B272" s="25" t="n">
        <f aca="false">INDEX(Bang_F,MATCH(A272,Bang_Z,1))+(A272-INDEX(Bang_Z,MATCH(A272,Bang_Z,1)))*(INDEX(Bang_F,MATCH(A272,Bang_Z,1)+1)-INDEX(Bang_F,MATCH(A272,Bang_Z,1)))</f>
        <v>5.602</v>
      </c>
      <c r="C272" s="25" t="n">
        <f aca="false">INDEX(Bang_W,MATCH(A272,Bang_Z,1))+(A272-INDEX(Bang_Z,MATCH(A272,Bang_Z,1)))*(INDEX(Bang_F,MATCH(A272,Bang_Z,1))+B272)/2</f>
        <v>30.30867</v>
      </c>
      <c r="D272" s="26" t="n">
        <f aca="false">MAX(A272-TC_Z,0)</f>
        <v>0</v>
      </c>
      <c r="E272" s="27" t="n">
        <f aca="false">1-0.2*(TC_xmb+(TC_n-1)*TC_xmt)*D272/(TC_n*TC_b)</f>
        <v>1</v>
      </c>
      <c r="F272" s="28" t="n">
        <f aca="false">TC_s*E272*TC_m*TC_n*TC_b*SQRT(2*g_)*D272^1.5</f>
        <v>0</v>
      </c>
      <c r="G272" s="29" t="n">
        <f aca="false">MAX(A272-SC_Z,0)</f>
        <v>2.67</v>
      </c>
      <c r="H272" s="30" t="n">
        <f aca="false">1-0.2*(SC_xmb+(SC_n-1)*SC_xmt)*G272/(SC_n*SC_b)</f>
        <v>0.92524</v>
      </c>
      <c r="I272" s="31" t="n">
        <f aca="false">SC_s*H272*SC_m*SC_n*SC_b*SQRT(2*g_)*G272^1.5</f>
        <v>40.2303037488082</v>
      </c>
      <c r="J272" s="32" t="n">
        <f aca="false">F272+I272</f>
        <v>40.2303037488082</v>
      </c>
      <c r="K272" s="32" t="n">
        <f aca="false">F272</f>
        <v>0</v>
      </c>
      <c r="L272" s="32" t="n">
        <f aca="false">C272*1000000/dt_s+J272/2</f>
        <v>8439.19015187441</v>
      </c>
      <c r="M272" s="32" t="n">
        <f aca="false">C272*1000000/dt_s+K272/2</f>
        <v>8419.075</v>
      </c>
    </row>
    <row r="273" customFormat="false" ht="15" hidden="false" customHeight="false" outlineLevel="0" collapsed="false">
      <c r="A273" s="24" t="n">
        <f aca="false">ROUND(A272+0.01,2)</f>
        <v>73.68</v>
      </c>
      <c r="B273" s="25" t="n">
        <f aca="false">INDEX(Bang_F,MATCH(A273,Bang_Z,1))+(A273-INDEX(Bang_Z,MATCH(A273,Bang_Z,1)))*(INDEX(Bang_F,MATCH(A273,Bang_Z,1)+1)-INDEX(Bang_F,MATCH(A273,Bang_Z,1)))</f>
        <v>5.608</v>
      </c>
      <c r="C273" s="25" t="n">
        <f aca="false">INDEX(Bang_W,MATCH(A273,Bang_Z,1))+(A273-INDEX(Bang_Z,MATCH(A273,Bang_Z,1)))*(INDEX(Bang_F,MATCH(A273,Bang_Z,1))+B273)/2</f>
        <v>30.36472</v>
      </c>
      <c r="D273" s="26" t="n">
        <f aca="false">MAX(A273-TC_Z,0)</f>
        <v>0</v>
      </c>
      <c r="E273" s="27" t="n">
        <f aca="false">1-0.2*(TC_xmb+(TC_n-1)*TC_xmt)*D273/(TC_n*TC_b)</f>
        <v>1</v>
      </c>
      <c r="F273" s="28" t="n">
        <f aca="false">TC_s*E273*TC_m*TC_n*TC_b*SQRT(2*g_)*D273^1.5</f>
        <v>0</v>
      </c>
      <c r="G273" s="29" t="n">
        <f aca="false">MAX(A273-SC_Z,0)</f>
        <v>2.68000000000001</v>
      </c>
      <c r="H273" s="30" t="n">
        <f aca="false">1-0.2*(SC_xmb+(SC_n-1)*SC_xmt)*G273/(SC_n*SC_b)</f>
        <v>0.92496</v>
      </c>
      <c r="I273" s="31" t="n">
        <f aca="false">SC_s*H273*SC_m*SC_n*SC_b*SQRT(2*g_)*G273^1.5</f>
        <v>40.4442850580804</v>
      </c>
      <c r="J273" s="32" t="n">
        <f aca="false">F273+I273</f>
        <v>40.4442850580804</v>
      </c>
      <c r="K273" s="32" t="n">
        <f aca="false">F273</f>
        <v>0</v>
      </c>
      <c r="L273" s="32" t="n">
        <f aca="false">C273*1000000/dt_s+J273/2</f>
        <v>8454.8665869735</v>
      </c>
      <c r="M273" s="32" t="n">
        <f aca="false">C273*1000000/dt_s+K273/2</f>
        <v>8434.64444444446</v>
      </c>
    </row>
    <row r="274" customFormat="false" ht="15" hidden="false" customHeight="false" outlineLevel="0" collapsed="false">
      <c r="A274" s="24" t="n">
        <f aca="false">ROUND(A273+0.01,2)</f>
        <v>73.69</v>
      </c>
      <c r="B274" s="25" t="n">
        <f aca="false">INDEX(Bang_F,MATCH(A274,Bang_Z,1))+(A274-INDEX(Bang_Z,MATCH(A274,Bang_Z,1)))*(INDEX(Bang_F,MATCH(A274,Bang_Z,1)+1)-INDEX(Bang_F,MATCH(A274,Bang_Z,1)))</f>
        <v>5.614</v>
      </c>
      <c r="C274" s="25" t="n">
        <f aca="false">INDEX(Bang_W,MATCH(A274,Bang_Z,1))+(A274-INDEX(Bang_Z,MATCH(A274,Bang_Z,1)))*(INDEX(Bang_F,MATCH(A274,Bang_Z,1))+B274)/2</f>
        <v>30.42083</v>
      </c>
      <c r="D274" s="26" t="n">
        <f aca="false">MAX(A274-TC_Z,0)</f>
        <v>0</v>
      </c>
      <c r="E274" s="27" t="n">
        <f aca="false">1-0.2*(TC_xmb+(TC_n-1)*TC_xmt)*D274/(TC_n*TC_b)</f>
        <v>1</v>
      </c>
      <c r="F274" s="28" t="n">
        <f aca="false">TC_s*E274*TC_m*TC_n*TC_b*SQRT(2*g_)*D274^1.5</f>
        <v>0</v>
      </c>
      <c r="G274" s="29" t="n">
        <f aca="false">MAX(A274-SC_Z,0)</f>
        <v>2.69</v>
      </c>
      <c r="H274" s="30" t="n">
        <f aca="false">1-0.2*(SC_xmb+(SC_n-1)*SC_xmt)*G274/(SC_n*SC_b)</f>
        <v>0.92468</v>
      </c>
      <c r="I274" s="31" t="n">
        <f aca="false">SC_s*H274*SC_m*SC_n*SC_b*SQRT(2*g_)*G274^1.5</f>
        <v>40.6585516448966</v>
      </c>
      <c r="J274" s="32" t="n">
        <f aca="false">F274+I274</f>
        <v>40.6585516448966</v>
      </c>
      <c r="K274" s="32" t="n">
        <f aca="false">F274</f>
        <v>0</v>
      </c>
      <c r="L274" s="32" t="n">
        <f aca="false">C274*1000000/dt_s+J274/2</f>
        <v>8470.559831378</v>
      </c>
      <c r="M274" s="32" t="n">
        <f aca="false">C274*1000000/dt_s+K274/2</f>
        <v>8450.23055555555</v>
      </c>
    </row>
    <row r="275" customFormat="false" ht="15" hidden="false" customHeight="false" outlineLevel="0" collapsed="false">
      <c r="A275" s="24" t="n">
        <f aca="false">ROUND(A274+0.01,2)</f>
        <v>73.7</v>
      </c>
      <c r="B275" s="25" t="n">
        <f aca="false">INDEX(Bang_F,MATCH(A275,Bang_Z,1))+(A275-INDEX(Bang_Z,MATCH(A275,Bang_Z,1)))*(INDEX(Bang_F,MATCH(A275,Bang_Z,1)+1)-INDEX(Bang_F,MATCH(A275,Bang_Z,1)))</f>
        <v>5.62</v>
      </c>
      <c r="C275" s="25" t="n">
        <f aca="false">INDEX(Bang_W,MATCH(A275,Bang_Z,1))+(A275-INDEX(Bang_Z,MATCH(A275,Bang_Z,1)))*(INDEX(Bang_F,MATCH(A275,Bang_Z,1))+B275)/2</f>
        <v>30.477</v>
      </c>
      <c r="D275" s="26" t="n">
        <f aca="false">MAX(A275-TC_Z,0)</f>
        <v>0</v>
      </c>
      <c r="E275" s="27" t="n">
        <f aca="false">1-0.2*(TC_xmb+(TC_n-1)*TC_xmt)*D275/(TC_n*TC_b)</f>
        <v>1</v>
      </c>
      <c r="F275" s="28" t="n">
        <f aca="false">TC_s*E275*TC_m*TC_n*TC_b*SQRT(2*g_)*D275^1.5</f>
        <v>0</v>
      </c>
      <c r="G275" s="29" t="n">
        <f aca="false">MAX(A275-SC_Z,0)</f>
        <v>2.7</v>
      </c>
      <c r="H275" s="30" t="n">
        <f aca="false">1-0.2*(SC_xmb+(SC_n-1)*SC_xmt)*G275/(SC_n*SC_b)</f>
        <v>0.9244</v>
      </c>
      <c r="I275" s="31" t="n">
        <f aca="false">SC_s*H275*SC_m*SC_n*SC_b*SQRT(2*g_)*G275^1.5</f>
        <v>40.873102340469</v>
      </c>
      <c r="J275" s="32" t="n">
        <f aca="false">F275+I275</f>
        <v>40.873102340469</v>
      </c>
      <c r="K275" s="32" t="n">
        <f aca="false">F275</f>
        <v>0</v>
      </c>
      <c r="L275" s="32" t="n">
        <f aca="false">C275*1000000/dt_s+J275/2</f>
        <v>8486.26988450357</v>
      </c>
      <c r="M275" s="32" t="n">
        <f aca="false">C275*1000000/dt_s+K275/2</f>
        <v>8465.83333333334</v>
      </c>
    </row>
    <row r="276" customFormat="false" ht="15" hidden="false" customHeight="false" outlineLevel="0" collapsed="false">
      <c r="A276" s="24" t="n">
        <f aca="false">ROUND(A275+0.01,2)</f>
        <v>73.71</v>
      </c>
      <c r="B276" s="25" t="n">
        <f aca="false">INDEX(Bang_F,MATCH(A276,Bang_Z,1))+(A276-INDEX(Bang_Z,MATCH(A276,Bang_Z,1)))*(INDEX(Bang_F,MATCH(A276,Bang_Z,1)+1)-INDEX(Bang_F,MATCH(A276,Bang_Z,1)))</f>
        <v>5.626</v>
      </c>
      <c r="C276" s="25" t="n">
        <f aca="false">INDEX(Bang_W,MATCH(A276,Bang_Z,1))+(A276-INDEX(Bang_Z,MATCH(A276,Bang_Z,1)))*(INDEX(Bang_F,MATCH(A276,Bang_Z,1))+B276)/2</f>
        <v>30.53323</v>
      </c>
      <c r="D276" s="26" t="n">
        <f aca="false">MAX(A276-TC_Z,0)</f>
        <v>0</v>
      </c>
      <c r="E276" s="27" t="n">
        <f aca="false">1-0.2*(TC_xmb+(TC_n-1)*TC_xmt)*D276/(TC_n*TC_b)</f>
        <v>1</v>
      </c>
      <c r="F276" s="28" t="n">
        <f aca="false">TC_s*E276*TC_m*TC_n*TC_b*SQRT(2*g_)*D276^1.5</f>
        <v>0</v>
      </c>
      <c r="G276" s="29" t="n">
        <f aca="false">MAX(A276-SC_Z,0)</f>
        <v>2.70999999999999</v>
      </c>
      <c r="H276" s="30" t="n">
        <f aca="false">1-0.2*(SC_xmb+(SC_n-1)*SC_xmt)*G276/(SC_n*SC_b)</f>
        <v>0.92412</v>
      </c>
      <c r="I276" s="31" t="n">
        <f aca="false">SC_s*H276*SC_m*SC_n*SC_b*SQRT(2*g_)*G276^1.5</f>
        <v>41.087935981325</v>
      </c>
      <c r="J276" s="32" t="n">
        <f aca="false">F276+I276</f>
        <v>41.087935981325</v>
      </c>
      <c r="K276" s="32" t="n">
        <f aca="false">F276</f>
        <v>0</v>
      </c>
      <c r="L276" s="32" t="n">
        <f aca="false">C276*1000000/dt_s+J276/2</f>
        <v>8501.99674576843</v>
      </c>
      <c r="M276" s="32" t="n">
        <f aca="false">C276*1000000/dt_s+K276/2</f>
        <v>8481.45277777777</v>
      </c>
    </row>
    <row r="277" customFormat="false" ht="15" hidden="false" customHeight="false" outlineLevel="0" collapsed="false">
      <c r="A277" s="24" t="n">
        <f aca="false">ROUND(A276+0.01,2)</f>
        <v>73.72</v>
      </c>
      <c r="B277" s="25" t="n">
        <f aca="false">INDEX(Bang_F,MATCH(A277,Bang_Z,1))+(A277-INDEX(Bang_Z,MATCH(A277,Bang_Z,1)))*(INDEX(Bang_F,MATCH(A277,Bang_Z,1)+1)-INDEX(Bang_F,MATCH(A277,Bang_Z,1)))</f>
        <v>5.632</v>
      </c>
      <c r="C277" s="25" t="n">
        <f aca="false">INDEX(Bang_W,MATCH(A277,Bang_Z,1))+(A277-INDEX(Bang_Z,MATCH(A277,Bang_Z,1)))*(INDEX(Bang_F,MATCH(A277,Bang_Z,1))+B277)/2</f>
        <v>30.58952</v>
      </c>
      <c r="D277" s="26" t="n">
        <f aca="false">MAX(A277-TC_Z,0)</f>
        <v>0</v>
      </c>
      <c r="E277" s="27" t="n">
        <f aca="false">1-0.2*(TC_xmb+(TC_n-1)*TC_xmt)*D277/(TC_n*TC_b)</f>
        <v>1</v>
      </c>
      <c r="F277" s="28" t="n">
        <f aca="false">TC_s*E277*TC_m*TC_n*TC_b*SQRT(2*g_)*D277^1.5</f>
        <v>0</v>
      </c>
      <c r="G277" s="29" t="n">
        <f aca="false">MAX(A277-SC_Z,0)</f>
        <v>2.72</v>
      </c>
      <c r="H277" s="30" t="n">
        <f aca="false">1-0.2*(SC_xmb+(SC_n-1)*SC_xmt)*G277/(SC_n*SC_b)</f>
        <v>0.92384</v>
      </c>
      <c r="I277" s="31" t="n">
        <f aca="false">SC_s*H277*SC_m*SC_n*SC_b*SQRT(2*g_)*G277^1.5</f>
        <v>41.3030514092632</v>
      </c>
      <c r="J277" s="32" t="n">
        <f aca="false">F277+I277</f>
        <v>41.3030514092632</v>
      </c>
      <c r="K277" s="32" t="n">
        <f aca="false">F277</f>
        <v>0</v>
      </c>
      <c r="L277" s="32" t="n">
        <f aca="false">C277*1000000/dt_s+J277/2</f>
        <v>8517.74041459352</v>
      </c>
      <c r="M277" s="32" t="n">
        <f aca="false">C277*1000000/dt_s+K277/2</f>
        <v>8497.08888888889</v>
      </c>
    </row>
    <row r="278" customFormat="false" ht="15" hidden="false" customHeight="false" outlineLevel="0" collapsed="false">
      <c r="A278" s="24" t="n">
        <f aca="false">ROUND(A277+0.01,2)</f>
        <v>73.73</v>
      </c>
      <c r="B278" s="25" t="n">
        <f aca="false">INDEX(Bang_F,MATCH(A278,Bang_Z,1))+(A278-INDEX(Bang_Z,MATCH(A278,Bang_Z,1)))*(INDEX(Bang_F,MATCH(A278,Bang_Z,1)+1)-INDEX(Bang_F,MATCH(A278,Bang_Z,1)))</f>
        <v>5.638</v>
      </c>
      <c r="C278" s="25" t="n">
        <f aca="false">INDEX(Bang_W,MATCH(A278,Bang_Z,1))+(A278-INDEX(Bang_Z,MATCH(A278,Bang_Z,1)))*(INDEX(Bang_F,MATCH(A278,Bang_Z,1))+B278)/2</f>
        <v>30.64587</v>
      </c>
      <c r="D278" s="26" t="n">
        <f aca="false">MAX(A278-TC_Z,0)</f>
        <v>0</v>
      </c>
      <c r="E278" s="27" t="n">
        <f aca="false">1-0.2*(TC_xmb+(TC_n-1)*TC_xmt)*D278/(TC_n*TC_b)</f>
        <v>1</v>
      </c>
      <c r="F278" s="28" t="n">
        <f aca="false">TC_s*E278*TC_m*TC_n*TC_b*SQRT(2*g_)*D278^1.5</f>
        <v>0</v>
      </c>
      <c r="G278" s="29" t="n">
        <f aca="false">MAX(A278-SC_Z,0)</f>
        <v>2.73</v>
      </c>
      <c r="H278" s="30" t="n">
        <f aca="false">1-0.2*(SC_xmb+(SC_n-1)*SC_xmt)*G278/(SC_n*SC_b)</f>
        <v>0.92356</v>
      </c>
      <c r="I278" s="31" t="n">
        <f aca="false">SC_s*H278*SC_m*SC_n*SC_b*SQRT(2*g_)*G278^1.5</f>
        <v>41.5184474713048</v>
      </c>
      <c r="J278" s="32" t="n">
        <f aca="false">F278+I278</f>
        <v>41.5184474713048</v>
      </c>
      <c r="K278" s="32" t="n">
        <f aca="false">F278</f>
        <v>0</v>
      </c>
      <c r="L278" s="32" t="n">
        <f aca="false">C278*1000000/dt_s+J278/2</f>
        <v>8533.50089040233</v>
      </c>
      <c r="M278" s="32" t="n">
        <f aca="false">C278*1000000/dt_s+K278/2</f>
        <v>8512.74166666667</v>
      </c>
    </row>
    <row r="279" customFormat="false" ht="15" hidden="false" customHeight="false" outlineLevel="0" collapsed="false">
      <c r="A279" s="24" t="n">
        <f aca="false">ROUND(A278+0.01,2)</f>
        <v>73.74</v>
      </c>
      <c r="B279" s="25" t="n">
        <f aca="false">INDEX(Bang_F,MATCH(A279,Bang_Z,1))+(A279-INDEX(Bang_Z,MATCH(A279,Bang_Z,1)))*(INDEX(Bang_F,MATCH(A279,Bang_Z,1)+1)-INDEX(Bang_F,MATCH(A279,Bang_Z,1)))</f>
        <v>5.644</v>
      </c>
      <c r="C279" s="25" t="n">
        <f aca="false">INDEX(Bang_W,MATCH(A279,Bang_Z,1))+(A279-INDEX(Bang_Z,MATCH(A279,Bang_Z,1)))*(INDEX(Bang_F,MATCH(A279,Bang_Z,1))+B279)/2</f>
        <v>30.70228</v>
      </c>
      <c r="D279" s="26" t="n">
        <f aca="false">MAX(A279-TC_Z,0)</f>
        <v>0</v>
      </c>
      <c r="E279" s="27" t="n">
        <f aca="false">1-0.2*(TC_xmb+(TC_n-1)*TC_xmt)*D279/(TC_n*TC_b)</f>
        <v>1</v>
      </c>
      <c r="F279" s="28" t="n">
        <f aca="false">TC_s*E279*TC_m*TC_n*TC_b*SQRT(2*g_)*D279^1.5</f>
        <v>0</v>
      </c>
      <c r="G279" s="29" t="n">
        <f aca="false">MAX(A279-SC_Z,0)</f>
        <v>2.74</v>
      </c>
      <c r="H279" s="30" t="n">
        <f aca="false">1-0.2*(SC_xmb+(SC_n-1)*SC_xmt)*G279/(SC_n*SC_b)</f>
        <v>0.92328</v>
      </c>
      <c r="I279" s="31" t="n">
        <f aca="false">SC_s*H279*SC_m*SC_n*SC_b*SQRT(2*g_)*G279^1.5</f>
        <v>41.7341230196485</v>
      </c>
      <c r="J279" s="32" t="n">
        <f aca="false">F279+I279</f>
        <v>41.7341230196485</v>
      </c>
      <c r="K279" s="32" t="n">
        <f aca="false">F279</f>
        <v>0</v>
      </c>
      <c r="L279" s="32" t="n">
        <f aca="false">C279*1000000/dt_s+J279/2</f>
        <v>8549.27817262093</v>
      </c>
      <c r="M279" s="32" t="n">
        <f aca="false">C279*1000000/dt_s+K279/2</f>
        <v>8528.4111111111</v>
      </c>
    </row>
    <row r="280" customFormat="false" ht="15" hidden="false" customHeight="false" outlineLevel="0" collapsed="false">
      <c r="A280" s="24" t="n">
        <f aca="false">ROUND(A279+0.01,2)</f>
        <v>73.75</v>
      </c>
      <c r="B280" s="25" t="n">
        <f aca="false">INDEX(Bang_F,MATCH(A280,Bang_Z,1))+(A280-INDEX(Bang_Z,MATCH(A280,Bang_Z,1)))*(INDEX(Bang_F,MATCH(A280,Bang_Z,1)+1)-INDEX(Bang_F,MATCH(A280,Bang_Z,1)))</f>
        <v>5.65</v>
      </c>
      <c r="C280" s="25" t="n">
        <f aca="false">INDEX(Bang_W,MATCH(A280,Bang_Z,1))+(A280-INDEX(Bang_Z,MATCH(A280,Bang_Z,1)))*(INDEX(Bang_F,MATCH(A280,Bang_Z,1))+B280)/2</f>
        <v>30.75875</v>
      </c>
      <c r="D280" s="26" t="n">
        <f aca="false">MAX(A280-TC_Z,0)</f>
        <v>0</v>
      </c>
      <c r="E280" s="27" t="n">
        <f aca="false">1-0.2*(TC_xmb+(TC_n-1)*TC_xmt)*D280/(TC_n*TC_b)</f>
        <v>1</v>
      </c>
      <c r="F280" s="28" t="n">
        <f aca="false">TC_s*E280*TC_m*TC_n*TC_b*SQRT(2*g_)*D280^1.5</f>
        <v>0</v>
      </c>
      <c r="G280" s="29" t="n">
        <f aca="false">MAX(A280-SC_Z,0)</f>
        <v>2.75</v>
      </c>
      <c r="H280" s="30" t="n">
        <f aca="false">1-0.2*(SC_xmb+(SC_n-1)*SC_xmt)*G280/(SC_n*SC_b)</f>
        <v>0.923</v>
      </c>
      <c r="I280" s="31" t="n">
        <f aca="false">SC_s*H280*SC_m*SC_n*SC_b*SQRT(2*g_)*G280^1.5</f>
        <v>41.9500769116266</v>
      </c>
      <c r="J280" s="32" t="n">
        <f aca="false">F280+I280</f>
        <v>41.9500769116266</v>
      </c>
      <c r="K280" s="32" t="n">
        <f aca="false">F280</f>
        <v>0</v>
      </c>
      <c r="L280" s="32" t="n">
        <f aca="false">C280*1000000/dt_s+J280/2</f>
        <v>8565.07226067804</v>
      </c>
      <c r="M280" s="32" t="n">
        <f aca="false">C280*1000000/dt_s+K280/2</f>
        <v>8544.09722222222</v>
      </c>
    </row>
    <row r="281" customFormat="false" ht="15" hidden="false" customHeight="false" outlineLevel="0" collapsed="false">
      <c r="A281" s="24" t="n">
        <f aca="false">ROUND(A280+0.01,2)</f>
        <v>73.76</v>
      </c>
      <c r="B281" s="25" t="n">
        <f aca="false">INDEX(Bang_F,MATCH(A281,Bang_Z,1))+(A281-INDEX(Bang_Z,MATCH(A281,Bang_Z,1)))*(INDEX(Bang_F,MATCH(A281,Bang_Z,1)+1)-INDEX(Bang_F,MATCH(A281,Bang_Z,1)))</f>
        <v>5.656</v>
      </c>
      <c r="C281" s="25" t="n">
        <f aca="false">INDEX(Bang_W,MATCH(A281,Bang_Z,1))+(A281-INDEX(Bang_Z,MATCH(A281,Bang_Z,1)))*(INDEX(Bang_F,MATCH(A281,Bang_Z,1))+B281)/2</f>
        <v>30.81528</v>
      </c>
      <c r="D281" s="26" t="n">
        <f aca="false">MAX(A281-TC_Z,0)</f>
        <v>0</v>
      </c>
      <c r="E281" s="27" t="n">
        <f aca="false">1-0.2*(TC_xmb+(TC_n-1)*TC_xmt)*D281/(TC_n*TC_b)</f>
        <v>1</v>
      </c>
      <c r="F281" s="28" t="n">
        <f aca="false">TC_s*E281*TC_m*TC_n*TC_b*SQRT(2*g_)*D281^1.5</f>
        <v>0</v>
      </c>
      <c r="G281" s="29" t="n">
        <f aca="false">MAX(A281-SC_Z,0)</f>
        <v>2.76000000000001</v>
      </c>
      <c r="H281" s="30" t="n">
        <f aca="false">1-0.2*(SC_xmb+(SC_n-1)*SC_xmt)*G281/(SC_n*SC_b)</f>
        <v>0.92272</v>
      </c>
      <c r="I281" s="31" t="n">
        <f aca="false">SC_s*H281*SC_m*SC_n*SC_b*SQRT(2*g_)*G281^1.5</f>
        <v>42.1663080096585</v>
      </c>
      <c r="J281" s="32" t="n">
        <f aca="false">F281+I281</f>
        <v>42.1663080096585</v>
      </c>
      <c r="K281" s="32" t="n">
        <f aca="false">F281</f>
        <v>0</v>
      </c>
      <c r="L281" s="32" t="n">
        <f aca="false">C281*1000000/dt_s+J281/2</f>
        <v>8580.88315400484</v>
      </c>
      <c r="M281" s="32" t="n">
        <f aca="false">C281*1000000/dt_s+K281/2</f>
        <v>8559.80000000001</v>
      </c>
    </row>
    <row r="282" customFormat="false" ht="15" hidden="false" customHeight="false" outlineLevel="0" collapsed="false">
      <c r="A282" s="24" t="n">
        <f aca="false">ROUND(A281+0.01,2)</f>
        <v>73.77</v>
      </c>
      <c r="B282" s="25" t="n">
        <f aca="false">INDEX(Bang_F,MATCH(A282,Bang_Z,1))+(A282-INDEX(Bang_Z,MATCH(A282,Bang_Z,1)))*(INDEX(Bang_F,MATCH(A282,Bang_Z,1)+1)-INDEX(Bang_F,MATCH(A282,Bang_Z,1)))</f>
        <v>5.662</v>
      </c>
      <c r="C282" s="25" t="n">
        <f aca="false">INDEX(Bang_W,MATCH(A282,Bang_Z,1))+(A282-INDEX(Bang_Z,MATCH(A282,Bang_Z,1)))*(INDEX(Bang_F,MATCH(A282,Bang_Z,1))+B282)/2</f>
        <v>30.87187</v>
      </c>
      <c r="D282" s="26" t="n">
        <f aca="false">MAX(A282-TC_Z,0)</f>
        <v>0</v>
      </c>
      <c r="E282" s="27" t="n">
        <f aca="false">1-0.2*(TC_xmb+(TC_n-1)*TC_xmt)*D282/(TC_n*TC_b)</f>
        <v>1</v>
      </c>
      <c r="F282" s="28" t="n">
        <f aca="false">TC_s*E282*TC_m*TC_n*TC_b*SQRT(2*g_)*D282^1.5</f>
        <v>0</v>
      </c>
      <c r="G282" s="29" t="n">
        <f aca="false">MAX(A282-SC_Z,0)</f>
        <v>2.77</v>
      </c>
      <c r="H282" s="30" t="n">
        <f aca="false">1-0.2*(SC_xmb+(SC_n-1)*SC_xmt)*G282/(SC_n*SC_b)</f>
        <v>0.92244</v>
      </c>
      <c r="I282" s="31" t="n">
        <f aca="false">SC_s*H282*SC_m*SC_n*SC_b*SQRT(2*g_)*G282^1.5</f>
        <v>42.3828151812074</v>
      </c>
      <c r="J282" s="32" t="n">
        <f aca="false">F282+I282</f>
        <v>42.3828151812074</v>
      </c>
      <c r="K282" s="32" t="n">
        <f aca="false">F282</f>
        <v>0</v>
      </c>
      <c r="L282" s="32" t="n">
        <f aca="false">C282*1000000/dt_s+J282/2</f>
        <v>8596.71085203504</v>
      </c>
      <c r="M282" s="32" t="n">
        <f aca="false">C282*1000000/dt_s+K282/2</f>
        <v>8575.51944444444</v>
      </c>
    </row>
    <row r="283" customFormat="false" ht="15" hidden="false" customHeight="false" outlineLevel="0" collapsed="false">
      <c r="A283" s="24" t="n">
        <f aca="false">ROUND(A282+0.01,2)</f>
        <v>73.78</v>
      </c>
      <c r="B283" s="25" t="n">
        <f aca="false">INDEX(Bang_F,MATCH(A283,Bang_Z,1))+(A283-INDEX(Bang_Z,MATCH(A283,Bang_Z,1)))*(INDEX(Bang_F,MATCH(A283,Bang_Z,1)+1)-INDEX(Bang_F,MATCH(A283,Bang_Z,1)))</f>
        <v>5.668</v>
      </c>
      <c r="C283" s="25" t="n">
        <f aca="false">INDEX(Bang_W,MATCH(A283,Bang_Z,1))+(A283-INDEX(Bang_Z,MATCH(A283,Bang_Z,1)))*(INDEX(Bang_F,MATCH(A283,Bang_Z,1))+B283)/2</f>
        <v>30.92852</v>
      </c>
      <c r="D283" s="26" t="n">
        <f aca="false">MAX(A283-TC_Z,0)</f>
        <v>0</v>
      </c>
      <c r="E283" s="27" t="n">
        <f aca="false">1-0.2*(TC_xmb+(TC_n-1)*TC_xmt)*D283/(TC_n*TC_b)</f>
        <v>1</v>
      </c>
      <c r="F283" s="28" t="n">
        <f aca="false">TC_s*E283*TC_m*TC_n*TC_b*SQRT(2*g_)*D283^1.5</f>
        <v>0</v>
      </c>
      <c r="G283" s="29" t="n">
        <f aca="false">MAX(A283-SC_Z,0)</f>
        <v>2.78</v>
      </c>
      <c r="H283" s="30" t="n">
        <f aca="false">1-0.2*(SC_xmb+(SC_n-1)*SC_xmt)*G283/(SC_n*SC_b)</f>
        <v>0.92216</v>
      </c>
      <c r="I283" s="31" t="n">
        <f aca="false">SC_s*H283*SC_m*SC_n*SC_b*SQRT(2*g_)*G283^1.5</f>
        <v>42.599597298738</v>
      </c>
      <c r="J283" s="32" t="n">
        <f aca="false">F283+I283</f>
        <v>42.599597298738</v>
      </c>
      <c r="K283" s="32" t="n">
        <f aca="false">F283</f>
        <v>0</v>
      </c>
      <c r="L283" s="32" t="n">
        <f aca="false">C283*1000000/dt_s+J283/2</f>
        <v>8612.55535420493</v>
      </c>
      <c r="M283" s="32" t="n">
        <f aca="false">C283*1000000/dt_s+K283/2</f>
        <v>8591.25555555556</v>
      </c>
    </row>
    <row r="284" customFormat="false" ht="15" hidden="false" customHeight="false" outlineLevel="0" collapsed="false">
      <c r="A284" s="24" t="n">
        <f aca="false">ROUND(A283+0.01,2)</f>
        <v>73.79</v>
      </c>
      <c r="B284" s="25" t="n">
        <f aca="false">INDEX(Bang_F,MATCH(A284,Bang_Z,1))+(A284-INDEX(Bang_Z,MATCH(A284,Bang_Z,1)))*(INDEX(Bang_F,MATCH(A284,Bang_Z,1)+1)-INDEX(Bang_F,MATCH(A284,Bang_Z,1)))</f>
        <v>5.674</v>
      </c>
      <c r="C284" s="25" t="n">
        <f aca="false">INDEX(Bang_W,MATCH(A284,Bang_Z,1))+(A284-INDEX(Bang_Z,MATCH(A284,Bang_Z,1)))*(INDEX(Bang_F,MATCH(A284,Bang_Z,1))+B284)/2</f>
        <v>30.98523</v>
      </c>
      <c r="D284" s="26" t="n">
        <f aca="false">MAX(A284-TC_Z,0)</f>
        <v>0</v>
      </c>
      <c r="E284" s="27" t="n">
        <f aca="false">1-0.2*(TC_xmb+(TC_n-1)*TC_xmt)*D284/(TC_n*TC_b)</f>
        <v>1</v>
      </c>
      <c r="F284" s="28" t="n">
        <f aca="false">TC_s*E284*TC_m*TC_n*TC_b*SQRT(2*g_)*D284^1.5</f>
        <v>0</v>
      </c>
      <c r="G284" s="29" t="n">
        <f aca="false">MAX(A284-SC_Z,0)</f>
        <v>2.79000000000001</v>
      </c>
      <c r="H284" s="30" t="n">
        <f aca="false">1-0.2*(SC_xmb+(SC_n-1)*SC_xmt)*G284/(SC_n*SC_b)</f>
        <v>0.92188</v>
      </c>
      <c r="I284" s="31" t="n">
        <f aca="false">SC_s*H284*SC_m*SC_n*SC_b*SQRT(2*g_)*G284^1.5</f>
        <v>42.8166532396713</v>
      </c>
      <c r="J284" s="32" t="n">
        <f aca="false">F284+I284</f>
        <v>42.8166532396713</v>
      </c>
      <c r="K284" s="32" t="n">
        <f aca="false">F284</f>
        <v>0</v>
      </c>
      <c r="L284" s="32" t="n">
        <f aca="false">C284*1000000/dt_s+J284/2</f>
        <v>8628.41665995318</v>
      </c>
      <c r="M284" s="32" t="n">
        <f aca="false">C284*1000000/dt_s+K284/2</f>
        <v>8607.00833333334</v>
      </c>
    </row>
    <row r="285" customFormat="false" ht="15" hidden="false" customHeight="false" outlineLevel="0" collapsed="false">
      <c r="A285" s="24" t="n">
        <f aca="false">ROUND(A284+0.01,2)</f>
        <v>73.8</v>
      </c>
      <c r="B285" s="25" t="n">
        <f aca="false">INDEX(Bang_F,MATCH(A285,Bang_Z,1))+(A285-INDEX(Bang_Z,MATCH(A285,Bang_Z,1)))*(INDEX(Bang_F,MATCH(A285,Bang_Z,1)+1)-INDEX(Bang_F,MATCH(A285,Bang_Z,1)))</f>
        <v>5.68</v>
      </c>
      <c r="C285" s="25" t="n">
        <f aca="false">INDEX(Bang_W,MATCH(A285,Bang_Z,1))+(A285-INDEX(Bang_Z,MATCH(A285,Bang_Z,1)))*(INDEX(Bang_F,MATCH(A285,Bang_Z,1))+B285)/2</f>
        <v>31.042</v>
      </c>
      <c r="D285" s="26" t="n">
        <f aca="false">MAX(A285-TC_Z,0)</f>
        <v>0</v>
      </c>
      <c r="E285" s="27" t="n">
        <f aca="false">1-0.2*(TC_xmb+(TC_n-1)*TC_xmt)*D285/(TC_n*TC_b)</f>
        <v>1</v>
      </c>
      <c r="F285" s="28" t="n">
        <f aca="false">TC_s*E285*TC_m*TC_n*TC_b*SQRT(2*g_)*D285^1.5</f>
        <v>0</v>
      </c>
      <c r="G285" s="29" t="n">
        <f aca="false">MAX(A285-SC_Z,0)</f>
        <v>2.8</v>
      </c>
      <c r="H285" s="30" t="n">
        <f aca="false">1-0.2*(SC_xmb+(SC_n-1)*SC_xmt)*G285/(SC_n*SC_b)</f>
        <v>0.9216</v>
      </c>
      <c r="I285" s="31" t="n">
        <f aca="false">SC_s*H285*SC_m*SC_n*SC_b*SQRT(2*g_)*G285^1.5</f>
        <v>43.0339818863436</v>
      </c>
      <c r="J285" s="32" t="n">
        <f aca="false">F285+I285</f>
        <v>43.0339818863436</v>
      </c>
      <c r="K285" s="32" t="n">
        <f aca="false">F285</f>
        <v>0</v>
      </c>
      <c r="L285" s="32" t="n">
        <f aca="false">C285*1000000/dt_s+J285/2</f>
        <v>8644.29476872095</v>
      </c>
      <c r="M285" s="32" t="n">
        <f aca="false">C285*1000000/dt_s+K285/2</f>
        <v>8622.77777777778</v>
      </c>
    </row>
    <row r="286" customFormat="false" ht="15" hidden="false" customHeight="false" outlineLevel="0" collapsed="false">
      <c r="A286" s="24" t="n">
        <f aca="false">ROUND(A285+0.01,2)</f>
        <v>73.81</v>
      </c>
      <c r="B286" s="25" t="n">
        <f aca="false">INDEX(Bang_F,MATCH(A286,Bang_Z,1))+(A286-INDEX(Bang_Z,MATCH(A286,Bang_Z,1)))*(INDEX(Bang_F,MATCH(A286,Bang_Z,1)+1)-INDEX(Bang_F,MATCH(A286,Bang_Z,1)))</f>
        <v>5.686</v>
      </c>
      <c r="C286" s="25" t="n">
        <f aca="false">INDEX(Bang_W,MATCH(A286,Bang_Z,1))+(A286-INDEX(Bang_Z,MATCH(A286,Bang_Z,1)))*(INDEX(Bang_F,MATCH(A286,Bang_Z,1))+B286)/2</f>
        <v>31.09883</v>
      </c>
      <c r="D286" s="26" t="n">
        <f aca="false">MAX(A286-TC_Z,0)</f>
        <v>0</v>
      </c>
      <c r="E286" s="27" t="n">
        <f aca="false">1-0.2*(TC_xmb+(TC_n-1)*TC_xmt)*D286/(TC_n*TC_b)</f>
        <v>1</v>
      </c>
      <c r="F286" s="28" t="n">
        <f aca="false">TC_s*E286*TC_m*TC_n*TC_b*SQRT(2*g_)*D286^1.5</f>
        <v>0</v>
      </c>
      <c r="G286" s="29" t="n">
        <f aca="false">MAX(A286-SC_Z,0)</f>
        <v>2.81</v>
      </c>
      <c r="H286" s="30" t="n">
        <f aca="false">1-0.2*(SC_xmb+(SC_n-1)*SC_xmt)*G286/(SC_n*SC_b)</f>
        <v>0.92132</v>
      </c>
      <c r="I286" s="31" t="n">
        <f aca="false">SC_s*H286*SC_m*SC_n*SC_b*SQRT(2*g_)*G286^1.5</f>
        <v>43.2515821259649</v>
      </c>
      <c r="J286" s="32" t="n">
        <f aca="false">F286+I286</f>
        <v>43.2515821259649</v>
      </c>
      <c r="K286" s="32" t="n">
        <f aca="false">F286</f>
        <v>0</v>
      </c>
      <c r="L286" s="32" t="n">
        <f aca="false">C286*1000000/dt_s+J286/2</f>
        <v>8660.18967995188</v>
      </c>
      <c r="M286" s="32" t="n">
        <f aca="false">C286*1000000/dt_s+K286/2</f>
        <v>8638.56388888889</v>
      </c>
    </row>
    <row r="287" customFormat="false" ht="15" hidden="false" customHeight="false" outlineLevel="0" collapsed="false">
      <c r="A287" s="24" t="n">
        <f aca="false">ROUND(A286+0.01,2)</f>
        <v>73.82</v>
      </c>
      <c r="B287" s="25" t="n">
        <f aca="false">INDEX(Bang_F,MATCH(A287,Bang_Z,1))+(A287-INDEX(Bang_Z,MATCH(A287,Bang_Z,1)))*(INDEX(Bang_F,MATCH(A287,Bang_Z,1)+1)-INDEX(Bang_F,MATCH(A287,Bang_Z,1)))</f>
        <v>5.692</v>
      </c>
      <c r="C287" s="25" t="n">
        <f aca="false">INDEX(Bang_W,MATCH(A287,Bang_Z,1))+(A287-INDEX(Bang_Z,MATCH(A287,Bang_Z,1)))*(INDEX(Bang_F,MATCH(A287,Bang_Z,1))+B287)/2</f>
        <v>31.15572</v>
      </c>
      <c r="D287" s="26" t="n">
        <f aca="false">MAX(A287-TC_Z,0)</f>
        <v>0</v>
      </c>
      <c r="E287" s="27" t="n">
        <f aca="false">1-0.2*(TC_xmb+(TC_n-1)*TC_xmt)*D287/(TC_n*TC_b)</f>
        <v>1</v>
      </c>
      <c r="F287" s="28" t="n">
        <f aca="false">TC_s*E287*TC_m*TC_n*TC_b*SQRT(2*g_)*D287^1.5</f>
        <v>0</v>
      </c>
      <c r="G287" s="29" t="n">
        <f aca="false">MAX(A287-SC_Z,0)</f>
        <v>2.81999999999999</v>
      </c>
      <c r="H287" s="30" t="n">
        <f aca="false">1-0.2*(SC_xmb+(SC_n-1)*SC_xmt)*G287/(SC_n*SC_b)</f>
        <v>0.92104</v>
      </c>
      <c r="I287" s="31" t="n">
        <f aca="false">SC_s*H287*SC_m*SC_n*SC_b*SQRT(2*g_)*G287^1.5</f>
        <v>43.4694528505761</v>
      </c>
      <c r="J287" s="32" t="n">
        <f aca="false">F287+I287</f>
        <v>43.4694528505761</v>
      </c>
      <c r="K287" s="32" t="n">
        <f aca="false">F287</f>
        <v>0</v>
      </c>
      <c r="L287" s="32" t="n">
        <f aca="false">C287*1000000/dt_s+J287/2</f>
        <v>8676.10139309194</v>
      </c>
      <c r="M287" s="32" t="n">
        <f aca="false">C287*1000000/dt_s+K287/2</f>
        <v>8654.36666666666</v>
      </c>
    </row>
    <row r="288" customFormat="false" ht="15" hidden="false" customHeight="false" outlineLevel="0" collapsed="false">
      <c r="A288" s="24" t="n">
        <f aca="false">ROUND(A287+0.01,2)</f>
        <v>73.83</v>
      </c>
      <c r="B288" s="25" t="n">
        <f aca="false">INDEX(Bang_F,MATCH(A288,Bang_Z,1))+(A288-INDEX(Bang_Z,MATCH(A288,Bang_Z,1)))*(INDEX(Bang_F,MATCH(A288,Bang_Z,1)+1)-INDEX(Bang_F,MATCH(A288,Bang_Z,1)))</f>
        <v>5.698</v>
      </c>
      <c r="C288" s="25" t="n">
        <f aca="false">INDEX(Bang_W,MATCH(A288,Bang_Z,1))+(A288-INDEX(Bang_Z,MATCH(A288,Bang_Z,1)))*(INDEX(Bang_F,MATCH(A288,Bang_Z,1))+B288)/2</f>
        <v>31.21267</v>
      </c>
      <c r="D288" s="26" t="n">
        <f aca="false">MAX(A288-TC_Z,0)</f>
        <v>0</v>
      </c>
      <c r="E288" s="27" t="n">
        <f aca="false">1-0.2*(TC_xmb+(TC_n-1)*TC_xmt)*D288/(TC_n*TC_b)</f>
        <v>1</v>
      </c>
      <c r="F288" s="28" t="n">
        <f aca="false">TC_s*E288*TC_m*TC_n*TC_b*SQRT(2*g_)*D288^1.5</f>
        <v>0</v>
      </c>
      <c r="G288" s="29" t="n">
        <f aca="false">MAX(A288-SC_Z,0)</f>
        <v>2.83</v>
      </c>
      <c r="H288" s="30" t="n">
        <f aca="false">1-0.2*(SC_xmb+(SC_n-1)*SC_xmt)*G288/(SC_n*SC_b)</f>
        <v>0.92076</v>
      </c>
      <c r="I288" s="31" t="n">
        <f aca="false">SC_s*H288*SC_m*SC_n*SC_b*SQRT(2*g_)*G288^1.5</f>
        <v>43.6875929570099</v>
      </c>
      <c r="J288" s="32" t="n">
        <f aca="false">F288+I288</f>
        <v>43.6875929570099</v>
      </c>
      <c r="K288" s="32" t="n">
        <f aca="false">F288</f>
        <v>0</v>
      </c>
      <c r="L288" s="32" t="n">
        <f aca="false">C288*1000000/dt_s+J288/2</f>
        <v>8692.02990758961</v>
      </c>
      <c r="M288" s="32" t="n">
        <f aca="false">C288*1000000/dt_s+K288/2</f>
        <v>8670.18611111111</v>
      </c>
    </row>
    <row r="289" customFormat="false" ht="15" hidden="false" customHeight="false" outlineLevel="0" collapsed="false">
      <c r="A289" s="24" t="n">
        <f aca="false">ROUND(A288+0.01,2)</f>
        <v>73.84</v>
      </c>
      <c r="B289" s="25" t="n">
        <f aca="false">INDEX(Bang_F,MATCH(A289,Bang_Z,1))+(A289-INDEX(Bang_Z,MATCH(A289,Bang_Z,1)))*(INDEX(Bang_F,MATCH(A289,Bang_Z,1)+1)-INDEX(Bang_F,MATCH(A289,Bang_Z,1)))</f>
        <v>5.704</v>
      </c>
      <c r="C289" s="25" t="n">
        <f aca="false">INDEX(Bang_W,MATCH(A289,Bang_Z,1))+(A289-INDEX(Bang_Z,MATCH(A289,Bang_Z,1)))*(INDEX(Bang_F,MATCH(A289,Bang_Z,1))+B289)/2</f>
        <v>31.26968</v>
      </c>
      <c r="D289" s="26" t="n">
        <f aca="false">MAX(A289-TC_Z,0)</f>
        <v>0</v>
      </c>
      <c r="E289" s="27" t="n">
        <f aca="false">1-0.2*(TC_xmb+(TC_n-1)*TC_xmt)*D289/(TC_n*TC_b)</f>
        <v>1</v>
      </c>
      <c r="F289" s="28" t="n">
        <f aca="false">TC_s*E289*TC_m*TC_n*TC_b*SQRT(2*g_)*D289^1.5</f>
        <v>0</v>
      </c>
      <c r="G289" s="29" t="n">
        <f aca="false">MAX(A289-SC_Z,0)</f>
        <v>2.84</v>
      </c>
      <c r="H289" s="30" t="n">
        <f aca="false">1-0.2*(SC_xmb+(SC_n-1)*SC_xmt)*G289/(SC_n*SC_b)</f>
        <v>0.92048</v>
      </c>
      <c r="I289" s="31" t="n">
        <f aca="false">SC_s*H289*SC_m*SC_n*SC_b*SQRT(2*g_)*G289^1.5</f>
        <v>43.9060013468485</v>
      </c>
      <c r="J289" s="32" t="n">
        <f aca="false">F289+I289</f>
        <v>43.9060013468485</v>
      </c>
      <c r="K289" s="32" t="n">
        <f aca="false">F289</f>
        <v>0</v>
      </c>
      <c r="L289" s="32" t="n">
        <f aca="false">C289*1000000/dt_s+J289/2</f>
        <v>8707.97522289565</v>
      </c>
      <c r="M289" s="32" t="n">
        <f aca="false">C289*1000000/dt_s+K289/2</f>
        <v>8686.02222222223</v>
      </c>
    </row>
    <row r="290" customFormat="false" ht="15" hidden="false" customHeight="false" outlineLevel="0" collapsed="false">
      <c r="A290" s="24" t="n">
        <f aca="false">ROUND(A289+0.01,2)</f>
        <v>73.85</v>
      </c>
      <c r="B290" s="25" t="n">
        <f aca="false">INDEX(Bang_F,MATCH(A290,Bang_Z,1))+(A290-INDEX(Bang_Z,MATCH(A290,Bang_Z,1)))*(INDEX(Bang_F,MATCH(A290,Bang_Z,1)+1)-INDEX(Bang_F,MATCH(A290,Bang_Z,1)))</f>
        <v>5.71</v>
      </c>
      <c r="C290" s="25" t="n">
        <f aca="false">INDEX(Bang_W,MATCH(A290,Bang_Z,1))+(A290-INDEX(Bang_Z,MATCH(A290,Bang_Z,1)))*(INDEX(Bang_F,MATCH(A290,Bang_Z,1))+B290)/2</f>
        <v>31.32675</v>
      </c>
      <c r="D290" s="26" t="n">
        <f aca="false">MAX(A290-TC_Z,0)</f>
        <v>0</v>
      </c>
      <c r="E290" s="27" t="n">
        <f aca="false">1-0.2*(TC_xmb+(TC_n-1)*TC_xmt)*D290/(TC_n*TC_b)</f>
        <v>1</v>
      </c>
      <c r="F290" s="28" t="n">
        <f aca="false">TC_s*E290*TC_m*TC_n*TC_b*SQRT(2*g_)*D290^1.5</f>
        <v>0</v>
      </c>
      <c r="G290" s="29" t="n">
        <f aca="false">MAX(A290-SC_Z,0)</f>
        <v>2.84999999999999</v>
      </c>
      <c r="H290" s="30" t="n">
        <f aca="false">1-0.2*(SC_xmb+(SC_n-1)*SC_xmt)*G290/(SC_n*SC_b)</f>
        <v>0.9202</v>
      </c>
      <c r="I290" s="31" t="n">
        <f aca="false">SC_s*H290*SC_m*SC_n*SC_b*SQRT(2*g_)*G290^1.5</f>
        <v>44.1246769263846</v>
      </c>
      <c r="J290" s="32" t="n">
        <f aca="false">F290+I290</f>
        <v>44.1246769263846</v>
      </c>
      <c r="K290" s="32" t="n">
        <f aca="false">F290</f>
        <v>0</v>
      </c>
      <c r="L290" s="32" t="n">
        <f aca="false">C290*1000000/dt_s+J290/2</f>
        <v>8723.93733846318</v>
      </c>
      <c r="M290" s="32" t="n">
        <f aca="false">C290*1000000/dt_s+K290/2</f>
        <v>8701.87499999999</v>
      </c>
    </row>
    <row r="291" customFormat="false" ht="15" hidden="false" customHeight="false" outlineLevel="0" collapsed="false">
      <c r="A291" s="24" t="n">
        <f aca="false">ROUND(A290+0.01,2)</f>
        <v>73.86</v>
      </c>
      <c r="B291" s="25" t="n">
        <f aca="false">INDEX(Bang_F,MATCH(A291,Bang_Z,1))+(A291-INDEX(Bang_Z,MATCH(A291,Bang_Z,1)))*(INDEX(Bang_F,MATCH(A291,Bang_Z,1)+1)-INDEX(Bang_F,MATCH(A291,Bang_Z,1)))</f>
        <v>5.716</v>
      </c>
      <c r="C291" s="25" t="n">
        <f aca="false">INDEX(Bang_W,MATCH(A291,Bang_Z,1))+(A291-INDEX(Bang_Z,MATCH(A291,Bang_Z,1)))*(INDEX(Bang_F,MATCH(A291,Bang_Z,1))+B291)/2</f>
        <v>31.38388</v>
      </c>
      <c r="D291" s="26" t="n">
        <f aca="false">MAX(A291-TC_Z,0)</f>
        <v>0</v>
      </c>
      <c r="E291" s="27" t="n">
        <f aca="false">1-0.2*(TC_xmb+(TC_n-1)*TC_xmt)*D291/(TC_n*TC_b)</f>
        <v>1</v>
      </c>
      <c r="F291" s="28" t="n">
        <f aca="false">TC_s*E291*TC_m*TC_n*TC_b*SQRT(2*g_)*D291^1.5</f>
        <v>0</v>
      </c>
      <c r="G291" s="29" t="n">
        <f aca="false">MAX(A291-SC_Z,0)</f>
        <v>2.86</v>
      </c>
      <c r="H291" s="30" t="n">
        <f aca="false">1-0.2*(SC_xmb+(SC_n-1)*SC_xmt)*G291/(SC_n*SC_b)</f>
        <v>0.91992</v>
      </c>
      <c r="I291" s="31" t="n">
        <f aca="false">SC_s*H291*SC_m*SC_n*SC_b*SQRT(2*g_)*G291^1.5</f>
        <v>44.3436186065831</v>
      </c>
      <c r="J291" s="32" t="n">
        <f aca="false">F291+I291</f>
        <v>44.3436186065831</v>
      </c>
      <c r="K291" s="32" t="n">
        <f aca="false">F291</f>
        <v>0</v>
      </c>
      <c r="L291" s="32" t="n">
        <f aca="false">C291*1000000/dt_s+J291/2</f>
        <v>8739.91625374774</v>
      </c>
      <c r="M291" s="32" t="n">
        <f aca="false">C291*1000000/dt_s+K291/2</f>
        <v>8717.74444444444</v>
      </c>
    </row>
    <row r="292" customFormat="false" ht="15" hidden="false" customHeight="false" outlineLevel="0" collapsed="false">
      <c r="A292" s="24" t="n">
        <f aca="false">ROUND(A291+0.01,2)</f>
        <v>73.87</v>
      </c>
      <c r="B292" s="25" t="n">
        <f aca="false">INDEX(Bang_F,MATCH(A292,Bang_Z,1))+(A292-INDEX(Bang_Z,MATCH(A292,Bang_Z,1)))*(INDEX(Bang_F,MATCH(A292,Bang_Z,1)+1)-INDEX(Bang_F,MATCH(A292,Bang_Z,1)))</f>
        <v>5.722</v>
      </c>
      <c r="C292" s="25" t="n">
        <f aca="false">INDEX(Bang_W,MATCH(A292,Bang_Z,1))+(A292-INDEX(Bang_Z,MATCH(A292,Bang_Z,1)))*(INDEX(Bang_F,MATCH(A292,Bang_Z,1))+B292)/2</f>
        <v>31.44107</v>
      </c>
      <c r="D292" s="26" t="n">
        <f aca="false">MAX(A292-TC_Z,0)</f>
        <v>0</v>
      </c>
      <c r="E292" s="27" t="n">
        <f aca="false">1-0.2*(TC_xmb+(TC_n-1)*TC_xmt)*D292/(TC_n*TC_b)</f>
        <v>1</v>
      </c>
      <c r="F292" s="28" t="n">
        <f aca="false">TC_s*E292*TC_m*TC_n*TC_b*SQRT(2*g_)*D292^1.5</f>
        <v>0</v>
      </c>
      <c r="G292" s="29" t="n">
        <f aca="false">MAX(A292-SC_Z,0)</f>
        <v>2.87</v>
      </c>
      <c r="H292" s="30" t="n">
        <f aca="false">1-0.2*(SC_xmb+(SC_n-1)*SC_xmt)*G292/(SC_n*SC_b)</f>
        <v>0.91964</v>
      </c>
      <c r="I292" s="31" t="n">
        <f aca="false">SC_s*H292*SC_m*SC_n*SC_b*SQRT(2*g_)*G292^1.5</f>
        <v>44.5628253030398</v>
      </c>
      <c r="J292" s="32" t="n">
        <f aca="false">F292+I292</f>
        <v>44.5628253030398</v>
      </c>
      <c r="K292" s="32" t="n">
        <f aca="false">F292</f>
        <v>0</v>
      </c>
      <c r="L292" s="32" t="n">
        <f aca="false">C292*1000000/dt_s+J292/2</f>
        <v>8755.91196820709</v>
      </c>
      <c r="M292" s="32" t="n">
        <f aca="false">C292*1000000/dt_s+K292/2</f>
        <v>8733.63055555557</v>
      </c>
    </row>
    <row r="293" customFormat="false" ht="15" hidden="false" customHeight="false" outlineLevel="0" collapsed="false">
      <c r="A293" s="24" t="n">
        <f aca="false">ROUND(A292+0.01,2)</f>
        <v>73.88</v>
      </c>
      <c r="B293" s="25" t="n">
        <f aca="false">INDEX(Bang_F,MATCH(A293,Bang_Z,1))+(A293-INDEX(Bang_Z,MATCH(A293,Bang_Z,1)))*(INDEX(Bang_F,MATCH(A293,Bang_Z,1)+1)-INDEX(Bang_F,MATCH(A293,Bang_Z,1)))</f>
        <v>5.728</v>
      </c>
      <c r="C293" s="25" t="n">
        <f aca="false">INDEX(Bang_W,MATCH(A293,Bang_Z,1))+(A293-INDEX(Bang_Z,MATCH(A293,Bang_Z,1)))*(INDEX(Bang_F,MATCH(A293,Bang_Z,1))+B293)/2</f>
        <v>31.49832</v>
      </c>
      <c r="D293" s="26" t="n">
        <f aca="false">MAX(A293-TC_Z,0)</f>
        <v>0</v>
      </c>
      <c r="E293" s="27" t="n">
        <f aca="false">1-0.2*(TC_xmb+(TC_n-1)*TC_xmt)*D293/(TC_n*TC_b)</f>
        <v>1</v>
      </c>
      <c r="F293" s="28" t="n">
        <f aca="false">TC_s*E293*TC_m*TC_n*TC_b*SQRT(2*g_)*D293^1.5</f>
        <v>0</v>
      </c>
      <c r="G293" s="29" t="n">
        <f aca="false">MAX(A293-SC_Z,0)</f>
        <v>2.88</v>
      </c>
      <c r="H293" s="30" t="n">
        <f aca="false">1-0.2*(SC_xmb+(SC_n-1)*SC_xmt)*G293/(SC_n*SC_b)</f>
        <v>0.91936</v>
      </c>
      <c r="I293" s="31" t="n">
        <f aca="false">SC_s*H293*SC_m*SC_n*SC_b*SQRT(2*g_)*G293^1.5</f>
        <v>44.7822959359444</v>
      </c>
      <c r="J293" s="32" t="n">
        <f aca="false">F293+I293</f>
        <v>44.7822959359444</v>
      </c>
      <c r="K293" s="32" t="n">
        <f aca="false">F293</f>
        <v>0</v>
      </c>
      <c r="L293" s="32" t="n">
        <f aca="false">C293*1000000/dt_s+J293/2</f>
        <v>8771.9244813013</v>
      </c>
      <c r="M293" s="32" t="n">
        <f aca="false">C293*1000000/dt_s+K293/2</f>
        <v>8749.53333333333</v>
      </c>
    </row>
    <row r="294" customFormat="false" ht="15" hidden="false" customHeight="false" outlineLevel="0" collapsed="false">
      <c r="A294" s="24" t="n">
        <f aca="false">ROUND(A293+0.01,2)</f>
        <v>73.89</v>
      </c>
      <c r="B294" s="25" t="n">
        <f aca="false">INDEX(Bang_F,MATCH(A294,Bang_Z,1))+(A294-INDEX(Bang_Z,MATCH(A294,Bang_Z,1)))*(INDEX(Bang_F,MATCH(A294,Bang_Z,1)+1)-INDEX(Bang_F,MATCH(A294,Bang_Z,1)))</f>
        <v>5.734</v>
      </c>
      <c r="C294" s="25" t="n">
        <f aca="false">INDEX(Bang_W,MATCH(A294,Bang_Z,1))+(A294-INDEX(Bang_Z,MATCH(A294,Bang_Z,1)))*(INDEX(Bang_F,MATCH(A294,Bang_Z,1))+B294)/2</f>
        <v>31.55563</v>
      </c>
      <c r="D294" s="26" t="n">
        <f aca="false">MAX(A294-TC_Z,0)</f>
        <v>0</v>
      </c>
      <c r="E294" s="27" t="n">
        <f aca="false">1-0.2*(TC_xmb+(TC_n-1)*TC_xmt)*D294/(TC_n*TC_b)</f>
        <v>1</v>
      </c>
      <c r="F294" s="28" t="n">
        <f aca="false">TC_s*E294*TC_m*TC_n*TC_b*SQRT(2*g_)*D294^1.5</f>
        <v>0</v>
      </c>
      <c r="G294" s="29" t="n">
        <f aca="false">MAX(A294-SC_Z,0)</f>
        <v>2.89</v>
      </c>
      <c r="H294" s="30" t="n">
        <f aca="false">1-0.2*(SC_xmb+(SC_n-1)*SC_xmt)*G294/(SC_n*SC_b)</f>
        <v>0.91908</v>
      </c>
      <c r="I294" s="31" t="n">
        <f aca="false">SC_s*H294*SC_m*SC_n*SC_b*SQRT(2*g_)*G294^1.5</f>
        <v>45.0020294300429</v>
      </c>
      <c r="J294" s="32" t="n">
        <f aca="false">F294+I294</f>
        <v>45.0020294300429</v>
      </c>
      <c r="K294" s="32" t="n">
        <f aca="false">F294</f>
        <v>0</v>
      </c>
      <c r="L294" s="32" t="n">
        <f aca="false">C294*1000000/dt_s+J294/2</f>
        <v>8787.9537924928</v>
      </c>
      <c r="M294" s="32" t="n">
        <f aca="false">C294*1000000/dt_s+K294/2</f>
        <v>8765.45277777778</v>
      </c>
    </row>
    <row r="295" customFormat="false" ht="15" hidden="false" customHeight="false" outlineLevel="0" collapsed="false">
      <c r="A295" s="24" t="n">
        <f aca="false">ROUND(A294+0.01,2)</f>
        <v>73.9</v>
      </c>
      <c r="B295" s="25" t="n">
        <f aca="false">INDEX(Bang_F,MATCH(A295,Bang_Z,1))+(A295-INDEX(Bang_Z,MATCH(A295,Bang_Z,1)))*(INDEX(Bang_F,MATCH(A295,Bang_Z,1)+1)-INDEX(Bang_F,MATCH(A295,Bang_Z,1)))</f>
        <v>5.74</v>
      </c>
      <c r="C295" s="25" t="n">
        <f aca="false">INDEX(Bang_W,MATCH(A295,Bang_Z,1))+(A295-INDEX(Bang_Z,MATCH(A295,Bang_Z,1)))*(INDEX(Bang_F,MATCH(A295,Bang_Z,1))+B295)/2</f>
        <v>31.613</v>
      </c>
      <c r="D295" s="26" t="n">
        <f aca="false">MAX(A295-TC_Z,0)</f>
        <v>0</v>
      </c>
      <c r="E295" s="27" t="n">
        <f aca="false">1-0.2*(TC_xmb+(TC_n-1)*TC_xmt)*D295/(TC_n*TC_b)</f>
        <v>1</v>
      </c>
      <c r="F295" s="28" t="n">
        <f aca="false">TC_s*E295*TC_m*TC_n*TC_b*SQRT(2*g_)*D295^1.5</f>
        <v>0</v>
      </c>
      <c r="G295" s="29" t="n">
        <f aca="false">MAX(A295-SC_Z,0)</f>
        <v>2.90000000000001</v>
      </c>
      <c r="H295" s="30" t="n">
        <f aca="false">1-0.2*(SC_xmb+(SC_n-1)*SC_xmt)*G295/(SC_n*SC_b)</f>
        <v>0.9188</v>
      </c>
      <c r="I295" s="31" t="n">
        <f aca="false">SC_s*H295*SC_m*SC_n*SC_b*SQRT(2*g_)*G295^1.5</f>
        <v>45.2220247145986</v>
      </c>
      <c r="J295" s="32" t="n">
        <f aca="false">F295+I295</f>
        <v>45.2220247145986</v>
      </c>
      <c r="K295" s="32" t="n">
        <f aca="false">F295</f>
        <v>0</v>
      </c>
      <c r="L295" s="32" t="n">
        <f aca="false">C295*1000000/dt_s+J295/2</f>
        <v>8803.9999012462</v>
      </c>
      <c r="M295" s="32" t="n">
        <f aca="false">C295*1000000/dt_s+K295/2</f>
        <v>8781.3888888889</v>
      </c>
    </row>
    <row r="296" customFormat="false" ht="15" hidden="false" customHeight="false" outlineLevel="0" collapsed="false">
      <c r="A296" s="24" t="n">
        <f aca="false">ROUND(A295+0.01,2)</f>
        <v>73.91</v>
      </c>
      <c r="B296" s="25" t="n">
        <f aca="false">INDEX(Bang_F,MATCH(A296,Bang_Z,1))+(A296-INDEX(Bang_Z,MATCH(A296,Bang_Z,1)))*(INDEX(Bang_F,MATCH(A296,Bang_Z,1)+1)-INDEX(Bang_F,MATCH(A296,Bang_Z,1)))</f>
        <v>5.746</v>
      </c>
      <c r="C296" s="25" t="n">
        <f aca="false">INDEX(Bang_W,MATCH(A296,Bang_Z,1))+(A296-INDEX(Bang_Z,MATCH(A296,Bang_Z,1)))*(INDEX(Bang_F,MATCH(A296,Bang_Z,1))+B296)/2</f>
        <v>31.67043</v>
      </c>
      <c r="D296" s="26" t="n">
        <f aca="false">MAX(A296-TC_Z,0)</f>
        <v>0</v>
      </c>
      <c r="E296" s="27" t="n">
        <f aca="false">1-0.2*(TC_xmb+(TC_n-1)*TC_xmt)*D296/(TC_n*TC_b)</f>
        <v>1</v>
      </c>
      <c r="F296" s="28" t="n">
        <f aca="false">TC_s*E296*TC_m*TC_n*TC_b*SQRT(2*g_)*D296^1.5</f>
        <v>0</v>
      </c>
      <c r="G296" s="29" t="n">
        <f aca="false">MAX(A296-SC_Z,0)</f>
        <v>2.91</v>
      </c>
      <c r="H296" s="30" t="n">
        <f aca="false">1-0.2*(SC_xmb+(SC_n-1)*SC_xmt)*G296/(SC_n*SC_b)</f>
        <v>0.91852</v>
      </c>
      <c r="I296" s="31" t="n">
        <f aca="false">SC_s*H296*SC_m*SC_n*SC_b*SQRT(2*g_)*G296^1.5</f>
        <v>45.4422807233553</v>
      </c>
      <c r="J296" s="32" t="n">
        <f aca="false">F296+I296</f>
        <v>45.4422807233553</v>
      </c>
      <c r="K296" s="32" t="n">
        <f aca="false">F296</f>
        <v>0</v>
      </c>
      <c r="L296" s="32" t="n">
        <f aca="false">C296*1000000/dt_s+J296/2</f>
        <v>8820.06280702834</v>
      </c>
      <c r="M296" s="32" t="n">
        <f aca="false">C296*1000000/dt_s+K296/2</f>
        <v>8797.34166666666</v>
      </c>
    </row>
    <row r="297" customFormat="false" ht="15" hidden="false" customHeight="false" outlineLevel="0" collapsed="false">
      <c r="A297" s="24" t="n">
        <f aca="false">ROUND(A296+0.01,2)</f>
        <v>73.92</v>
      </c>
      <c r="B297" s="25" t="n">
        <f aca="false">INDEX(Bang_F,MATCH(A297,Bang_Z,1))+(A297-INDEX(Bang_Z,MATCH(A297,Bang_Z,1)))*(INDEX(Bang_F,MATCH(A297,Bang_Z,1)+1)-INDEX(Bang_F,MATCH(A297,Bang_Z,1)))</f>
        <v>5.752</v>
      </c>
      <c r="C297" s="25" t="n">
        <f aca="false">INDEX(Bang_W,MATCH(A297,Bang_Z,1))+(A297-INDEX(Bang_Z,MATCH(A297,Bang_Z,1)))*(INDEX(Bang_F,MATCH(A297,Bang_Z,1))+B297)/2</f>
        <v>31.72792</v>
      </c>
      <c r="D297" s="26" t="n">
        <f aca="false">MAX(A297-TC_Z,0)</f>
        <v>0</v>
      </c>
      <c r="E297" s="27" t="n">
        <f aca="false">1-0.2*(TC_xmb+(TC_n-1)*TC_xmt)*D297/(TC_n*TC_b)</f>
        <v>1</v>
      </c>
      <c r="F297" s="28" t="n">
        <f aca="false">TC_s*E297*TC_m*TC_n*TC_b*SQRT(2*g_)*D297^1.5</f>
        <v>0</v>
      </c>
      <c r="G297" s="29" t="n">
        <f aca="false">MAX(A297-SC_Z,0)</f>
        <v>2.92</v>
      </c>
      <c r="H297" s="30" t="n">
        <f aca="false">1-0.2*(SC_xmb+(SC_n-1)*SC_xmt)*G297/(SC_n*SC_b)</f>
        <v>0.91824</v>
      </c>
      <c r="I297" s="31" t="n">
        <f aca="false">SC_s*H297*SC_m*SC_n*SC_b*SQRT(2*g_)*G297^1.5</f>
        <v>45.6627963945023</v>
      </c>
      <c r="J297" s="32" t="n">
        <f aca="false">F297+I297</f>
        <v>45.6627963945023</v>
      </c>
      <c r="K297" s="32" t="n">
        <f aca="false">F297</f>
        <v>0</v>
      </c>
      <c r="L297" s="32" t="n">
        <f aca="false">C297*1000000/dt_s+J297/2</f>
        <v>8836.14250930837</v>
      </c>
      <c r="M297" s="32" t="n">
        <f aca="false">C297*1000000/dt_s+K297/2</f>
        <v>8813.31111111111</v>
      </c>
    </row>
    <row r="298" customFormat="false" ht="15" hidden="false" customHeight="false" outlineLevel="0" collapsed="false">
      <c r="A298" s="24" t="n">
        <f aca="false">ROUND(A297+0.01,2)</f>
        <v>73.93</v>
      </c>
      <c r="B298" s="25" t="n">
        <f aca="false">INDEX(Bang_F,MATCH(A298,Bang_Z,1))+(A298-INDEX(Bang_Z,MATCH(A298,Bang_Z,1)))*(INDEX(Bang_F,MATCH(A298,Bang_Z,1)+1)-INDEX(Bang_F,MATCH(A298,Bang_Z,1)))</f>
        <v>5.758</v>
      </c>
      <c r="C298" s="25" t="n">
        <f aca="false">INDEX(Bang_W,MATCH(A298,Bang_Z,1))+(A298-INDEX(Bang_Z,MATCH(A298,Bang_Z,1)))*(INDEX(Bang_F,MATCH(A298,Bang_Z,1))+B298)/2</f>
        <v>31.78547</v>
      </c>
      <c r="D298" s="26" t="n">
        <f aca="false">MAX(A298-TC_Z,0)</f>
        <v>0</v>
      </c>
      <c r="E298" s="27" t="n">
        <f aca="false">1-0.2*(TC_xmb+(TC_n-1)*TC_xmt)*D298/(TC_n*TC_b)</f>
        <v>1</v>
      </c>
      <c r="F298" s="28" t="n">
        <f aca="false">TC_s*E298*TC_m*TC_n*TC_b*SQRT(2*g_)*D298^1.5</f>
        <v>0</v>
      </c>
      <c r="G298" s="29" t="n">
        <f aca="false">MAX(A298-SC_Z,0)</f>
        <v>2.93000000000001</v>
      </c>
      <c r="H298" s="30" t="n">
        <f aca="false">1-0.2*(SC_xmb+(SC_n-1)*SC_xmt)*G298/(SC_n*SC_b)</f>
        <v>0.91796</v>
      </c>
      <c r="I298" s="31" t="n">
        <f aca="false">SC_s*H298*SC_m*SC_n*SC_b*SQRT(2*g_)*G298^1.5</f>
        <v>45.8835706706356</v>
      </c>
      <c r="J298" s="32" t="n">
        <f aca="false">F298+I298</f>
        <v>45.8835706706356</v>
      </c>
      <c r="K298" s="32" t="n">
        <f aca="false">F298</f>
        <v>0</v>
      </c>
      <c r="L298" s="32" t="n">
        <f aca="false">C298*1000000/dt_s+J298/2</f>
        <v>8852.23900755755</v>
      </c>
      <c r="M298" s="32" t="n">
        <f aca="false">C298*1000000/dt_s+K298/2</f>
        <v>8829.29722222223</v>
      </c>
    </row>
    <row r="299" customFormat="false" ht="15" hidden="false" customHeight="false" outlineLevel="0" collapsed="false">
      <c r="A299" s="24" t="n">
        <f aca="false">ROUND(A298+0.01,2)</f>
        <v>73.94</v>
      </c>
      <c r="B299" s="25" t="n">
        <f aca="false">INDEX(Bang_F,MATCH(A299,Bang_Z,1))+(A299-INDEX(Bang_Z,MATCH(A299,Bang_Z,1)))*(INDEX(Bang_F,MATCH(A299,Bang_Z,1)+1)-INDEX(Bang_F,MATCH(A299,Bang_Z,1)))</f>
        <v>5.764</v>
      </c>
      <c r="C299" s="25" t="n">
        <f aca="false">INDEX(Bang_W,MATCH(A299,Bang_Z,1))+(A299-INDEX(Bang_Z,MATCH(A299,Bang_Z,1)))*(INDEX(Bang_F,MATCH(A299,Bang_Z,1))+B299)/2</f>
        <v>31.84308</v>
      </c>
      <c r="D299" s="26" t="n">
        <f aca="false">MAX(A299-TC_Z,0)</f>
        <v>0</v>
      </c>
      <c r="E299" s="27" t="n">
        <f aca="false">1-0.2*(TC_xmb+(TC_n-1)*TC_xmt)*D299/(TC_n*TC_b)</f>
        <v>1</v>
      </c>
      <c r="F299" s="28" t="n">
        <f aca="false">TC_s*E299*TC_m*TC_n*TC_b*SQRT(2*g_)*D299^1.5</f>
        <v>0</v>
      </c>
      <c r="G299" s="29" t="n">
        <f aca="false">MAX(A299-SC_Z,0)</f>
        <v>2.94</v>
      </c>
      <c r="H299" s="30" t="n">
        <f aca="false">1-0.2*(SC_xmb+(SC_n-1)*SC_xmt)*G299/(SC_n*SC_b)</f>
        <v>0.91768</v>
      </c>
      <c r="I299" s="31" t="n">
        <f aca="false">SC_s*H299*SC_m*SC_n*SC_b*SQRT(2*g_)*G299^1.5</f>
        <v>46.1046024987234</v>
      </c>
      <c r="J299" s="32" t="n">
        <f aca="false">F299+I299</f>
        <v>46.1046024987234</v>
      </c>
      <c r="K299" s="32" t="n">
        <f aca="false">F299</f>
        <v>0</v>
      </c>
      <c r="L299" s="32" t="n">
        <f aca="false">C299*1000000/dt_s+J299/2</f>
        <v>8868.35230124936</v>
      </c>
      <c r="M299" s="32" t="n">
        <f aca="false">C299*1000000/dt_s+K299/2</f>
        <v>8845.3</v>
      </c>
    </row>
    <row r="300" customFormat="false" ht="15" hidden="false" customHeight="false" outlineLevel="0" collapsed="false">
      <c r="A300" s="24" t="n">
        <f aca="false">ROUND(A299+0.01,2)</f>
        <v>73.95</v>
      </c>
      <c r="B300" s="25" t="n">
        <f aca="false">INDEX(Bang_F,MATCH(A300,Bang_Z,1))+(A300-INDEX(Bang_Z,MATCH(A300,Bang_Z,1)))*(INDEX(Bang_F,MATCH(A300,Bang_Z,1)+1)-INDEX(Bang_F,MATCH(A300,Bang_Z,1)))</f>
        <v>5.77</v>
      </c>
      <c r="C300" s="25" t="n">
        <f aca="false">INDEX(Bang_W,MATCH(A300,Bang_Z,1))+(A300-INDEX(Bang_Z,MATCH(A300,Bang_Z,1)))*(INDEX(Bang_F,MATCH(A300,Bang_Z,1))+B300)/2</f>
        <v>31.90075</v>
      </c>
      <c r="D300" s="26" t="n">
        <f aca="false">MAX(A300-TC_Z,0)</f>
        <v>0</v>
      </c>
      <c r="E300" s="27" t="n">
        <f aca="false">1-0.2*(TC_xmb+(TC_n-1)*TC_xmt)*D300/(TC_n*TC_b)</f>
        <v>1</v>
      </c>
      <c r="F300" s="28" t="n">
        <f aca="false">TC_s*E300*TC_m*TC_n*TC_b*SQRT(2*g_)*D300^1.5</f>
        <v>0</v>
      </c>
      <c r="G300" s="29" t="n">
        <f aca="false">MAX(A300-SC_Z,0)</f>
        <v>2.95</v>
      </c>
      <c r="H300" s="30" t="n">
        <f aca="false">1-0.2*(SC_xmb+(SC_n-1)*SC_xmt)*G300/(SC_n*SC_b)</f>
        <v>0.9174</v>
      </c>
      <c r="I300" s="31" t="n">
        <f aca="false">SC_s*H300*SC_m*SC_n*SC_b*SQRT(2*g_)*G300^1.5</f>
        <v>46.3258908300713</v>
      </c>
      <c r="J300" s="32" t="n">
        <f aca="false">F300+I300</f>
        <v>46.3258908300713</v>
      </c>
      <c r="K300" s="32" t="n">
        <f aca="false">F300</f>
        <v>0</v>
      </c>
      <c r="L300" s="32" t="n">
        <f aca="false">C300*1000000/dt_s+J300/2</f>
        <v>8884.48238985948</v>
      </c>
      <c r="M300" s="32" t="n">
        <f aca="false">C300*1000000/dt_s+K300/2</f>
        <v>8861.31944444445</v>
      </c>
    </row>
    <row r="301" customFormat="false" ht="15" hidden="false" customHeight="false" outlineLevel="0" collapsed="false">
      <c r="A301" s="24" t="n">
        <f aca="false">ROUND(A300+0.01,2)</f>
        <v>73.96</v>
      </c>
      <c r="B301" s="25" t="n">
        <f aca="false">INDEX(Bang_F,MATCH(A301,Bang_Z,1))+(A301-INDEX(Bang_Z,MATCH(A301,Bang_Z,1)))*(INDEX(Bang_F,MATCH(A301,Bang_Z,1)+1)-INDEX(Bang_F,MATCH(A301,Bang_Z,1)))</f>
        <v>5.776</v>
      </c>
      <c r="C301" s="25" t="n">
        <f aca="false">INDEX(Bang_W,MATCH(A301,Bang_Z,1))+(A301-INDEX(Bang_Z,MATCH(A301,Bang_Z,1)))*(INDEX(Bang_F,MATCH(A301,Bang_Z,1))+B301)/2</f>
        <v>31.95848</v>
      </c>
      <c r="D301" s="26" t="n">
        <f aca="false">MAX(A301-TC_Z,0)</f>
        <v>0</v>
      </c>
      <c r="E301" s="27" t="n">
        <f aca="false">1-0.2*(TC_xmb+(TC_n-1)*TC_xmt)*D301/(TC_n*TC_b)</f>
        <v>1</v>
      </c>
      <c r="F301" s="28" t="n">
        <f aca="false">TC_s*E301*TC_m*TC_n*TC_b*SQRT(2*g_)*D301^1.5</f>
        <v>0</v>
      </c>
      <c r="G301" s="29" t="n">
        <f aca="false">MAX(A301-SC_Z,0)</f>
        <v>2.95999999999999</v>
      </c>
      <c r="H301" s="30" t="n">
        <f aca="false">1-0.2*(SC_xmb+(SC_n-1)*SC_xmt)*G301/(SC_n*SC_b)</f>
        <v>0.91712</v>
      </c>
      <c r="I301" s="31" t="n">
        <f aca="false">SC_s*H301*SC_m*SC_n*SC_b*SQRT(2*g_)*G301^1.5</f>
        <v>46.5474346202854</v>
      </c>
      <c r="J301" s="32" t="n">
        <f aca="false">F301+I301</f>
        <v>46.5474346202854</v>
      </c>
      <c r="K301" s="32" t="n">
        <f aca="false">F301</f>
        <v>0</v>
      </c>
      <c r="L301" s="32" t="n">
        <f aca="false">C301*1000000/dt_s+J301/2</f>
        <v>8900.62927286569</v>
      </c>
      <c r="M301" s="32" t="n">
        <f aca="false">C301*1000000/dt_s+K301/2</f>
        <v>8877.35555555555</v>
      </c>
    </row>
    <row r="302" customFormat="false" ht="15" hidden="false" customHeight="false" outlineLevel="0" collapsed="false">
      <c r="A302" s="24" t="n">
        <f aca="false">ROUND(A301+0.01,2)</f>
        <v>73.97</v>
      </c>
      <c r="B302" s="25" t="n">
        <f aca="false">INDEX(Bang_F,MATCH(A302,Bang_Z,1))+(A302-INDEX(Bang_Z,MATCH(A302,Bang_Z,1)))*(INDEX(Bang_F,MATCH(A302,Bang_Z,1)+1)-INDEX(Bang_F,MATCH(A302,Bang_Z,1)))</f>
        <v>5.782</v>
      </c>
      <c r="C302" s="25" t="n">
        <f aca="false">INDEX(Bang_W,MATCH(A302,Bang_Z,1))+(A302-INDEX(Bang_Z,MATCH(A302,Bang_Z,1)))*(INDEX(Bang_F,MATCH(A302,Bang_Z,1))+B302)/2</f>
        <v>32.01627</v>
      </c>
      <c r="D302" s="26" t="n">
        <f aca="false">MAX(A302-TC_Z,0)</f>
        <v>0</v>
      </c>
      <c r="E302" s="27" t="n">
        <f aca="false">1-0.2*(TC_xmb+(TC_n-1)*TC_xmt)*D302/(TC_n*TC_b)</f>
        <v>1</v>
      </c>
      <c r="F302" s="28" t="n">
        <f aca="false">TC_s*E302*TC_m*TC_n*TC_b*SQRT(2*g_)*D302^1.5</f>
        <v>0</v>
      </c>
      <c r="G302" s="29" t="n">
        <f aca="false">MAX(A302-SC_Z,0)</f>
        <v>2.97</v>
      </c>
      <c r="H302" s="30" t="n">
        <f aca="false">1-0.2*(SC_xmb+(SC_n-1)*SC_xmt)*G302/(SC_n*SC_b)</f>
        <v>0.91684</v>
      </c>
      <c r="I302" s="31" t="n">
        <f aca="false">SC_s*H302*SC_m*SC_n*SC_b*SQRT(2*g_)*G302^1.5</f>
        <v>46.7692328292399</v>
      </c>
      <c r="J302" s="32" t="n">
        <f aca="false">F302+I302</f>
        <v>46.7692328292399</v>
      </c>
      <c r="K302" s="32" t="n">
        <f aca="false">F302</f>
        <v>0</v>
      </c>
      <c r="L302" s="32" t="n">
        <f aca="false">C302*1000000/dt_s+J302/2</f>
        <v>8916.79294974795</v>
      </c>
      <c r="M302" s="32" t="n">
        <f aca="false">C302*1000000/dt_s+K302/2</f>
        <v>8893.40833333333</v>
      </c>
    </row>
    <row r="303" customFormat="false" ht="15" hidden="false" customHeight="false" outlineLevel="0" collapsed="false">
      <c r="A303" s="24" t="n">
        <f aca="false">ROUND(A302+0.01,2)</f>
        <v>73.98</v>
      </c>
      <c r="B303" s="25" t="n">
        <f aca="false">INDEX(Bang_F,MATCH(A303,Bang_Z,1))+(A303-INDEX(Bang_Z,MATCH(A303,Bang_Z,1)))*(INDEX(Bang_F,MATCH(A303,Bang_Z,1)+1)-INDEX(Bang_F,MATCH(A303,Bang_Z,1)))</f>
        <v>5.788</v>
      </c>
      <c r="C303" s="25" t="n">
        <f aca="false">INDEX(Bang_W,MATCH(A303,Bang_Z,1))+(A303-INDEX(Bang_Z,MATCH(A303,Bang_Z,1)))*(INDEX(Bang_F,MATCH(A303,Bang_Z,1))+B303)/2</f>
        <v>32.07412</v>
      </c>
      <c r="D303" s="26" t="n">
        <f aca="false">MAX(A303-TC_Z,0)</f>
        <v>0</v>
      </c>
      <c r="E303" s="27" t="n">
        <f aca="false">1-0.2*(TC_xmb+(TC_n-1)*TC_xmt)*D303/(TC_n*TC_b)</f>
        <v>1</v>
      </c>
      <c r="F303" s="28" t="n">
        <f aca="false">TC_s*E303*TC_m*TC_n*TC_b*SQRT(2*g_)*D303^1.5</f>
        <v>0</v>
      </c>
      <c r="G303" s="29" t="n">
        <f aca="false">MAX(A303-SC_Z,0)</f>
        <v>2.98</v>
      </c>
      <c r="H303" s="30" t="n">
        <f aca="false">1-0.2*(SC_xmb+(SC_n-1)*SC_xmt)*G303/(SC_n*SC_b)</f>
        <v>0.91656</v>
      </c>
      <c r="I303" s="31" t="n">
        <f aca="false">SC_s*H303*SC_m*SC_n*SC_b*SQRT(2*g_)*G303^1.5</f>
        <v>46.991284421041</v>
      </c>
      <c r="J303" s="32" t="n">
        <f aca="false">F303+I303</f>
        <v>46.991284421041</v>
      </c>
      <c r="K303" s="32" t="n">
        <f aca="false">F303</f>
        <v>0</v>
      </c>
      <c r="L303" s="32" t="n">
        <f aca="false">C303*1000000/dt_s+J303/2</f>
        <v>8932.9734199883</v>
      </c>
      <c r="M303" s="32" t="n">
        <f aca="false">C303*1000000/dt_s+K303/2</f>
        <v>8909.47777777778</v>
      </c>
    </row>
    <row r="304" customFormat="false" ht="15" hidden="false" customHeight="false" outlineLevel="0" collapsed="false">
      <c r="A304" s="24" t="n">
        <f aca="false">ROUND(A303+0.01,2)</f>
        <v>73.99</v>
      </c>
      <c r="B304" s="25" t="n">
        <f aca="false">INDEX(Bang_F,MATCH(A304,Bang_Z,1))+(A304-INDEX(Bang_Z,MATCH(A304,Bang_Z,1)))*(INDEX(Bang_F,MATCH(A304,Bang_Z,1)+1)-INDEX(Bang_F,MATCH(A304,Bang_Z,1)))</f>
        <v>5.794</v>
      </c>
      <c r="C304" s="25" t="n">
        <f aca="false">INDEX(Bang_W,MATCH(A304,Bang_Z,1))+(A304-INDEX(Bang_Z,MATCH(A304,Bang_Z,1)))*(INDEX(Bang_F,MATCH(A304,Bang_Z,1))+B304)/2</f>
        <v>32.13203</v>
      </c>
      <c r="D304" s="26" t="n">
        <f aca="false">MAX(A304-TC_Z,0)</f>
        <v>0</v>
      </c>
      <c r="E304" s="27" t="n">
        <f aca="false">1-0.2*(TC_xmb+(TC_n-1)*TC_xmt)*D304/(TC_n*TC_b)</f>
        <v>1</v>
      </c>
      <c r="F304" s="28" t="n">
        <f aca="false">TC_s*E304*TC_m*TC_n*TC_b*SQRT(2*g_)*D304^1.5</f>
        <v>0</v>
      </c>
      <c r="G304" s="29" t="n">
        <f aca="false">MAX(A304-SC_Z,0)</f>
        <v>2.99</v>
      </c>
      <c r="H304" s="30" t="n">
        <f aca="false">1-0.2*(SC_xmb+(SC_n-1)*SC_xmt)*G304/(SC_n*SC_b)</f>
        <v>0.91628</v>
      </c>
      <c r="I304" s="31" t="n">
        <f aca="false">SC_s*H304*SC_m*SC_n*SC_b*SQRT(2*g_)*G304^1.5</f>
        <v>47.2135883639936</v>
      </c>
      <c r="J304" s="32" t="n">
        <f aca="false">F304+I304</f>
        <v>47.2135883639936</v>
      </c>
      <c r="K304" s="32" t="n">
        <f aca="false">F304</f>
        <v>0</v>
      </c>
      <c r="L304" s="32" t="n">
        <f aca="false">C304*1000000/dt_s+J304/2</f>
        <v>8949.17068307088</v>
      </c>
      <c r="M304" s="32" t="n">
        <f aca="false">C304*1000000/dt_s+K304/2</f>
        <v>8925.56388888888</v>
      </c>
    </row>
    <row r="305" customFormat="false" ht="15" hidden="false" customHeight="false" outlineLevel="0" collapsed="false">
      <c r="A305" s="24" t="n">
        <f aca="false">ROUND(A304+0.01,2)</f>
        <v>74</v>
      </c>
      <c r="B305" s="25" t="n">
        <f aca="false">INDEX(Bang_F,MATCH(A305,Bang_Z,1))+(A305-INDEX(Bang_Z,MATCH(A305,Bang_Z,1)))*(INDEX(Bang_F,MATCH(A305,Bang_Z,1)+1)-INDEX(Bang_F,MATCH(A305,Bang_Z,1)))</f>
        <v>5.8</v>
      </c>
      <c r="C305" s="25" t="n">
        <f aca="false">INDEX(Bang_W,MATCH(A305,Bang_Z,1))+(A305-INDEX(Bang_Z,MATCH(A305,Bang_Z,1)))*(INDEX(Bang_F,MATCH(A305,Bang_Z,1))+B305)/2</f>
        <v>32.19</v>
      </c>
      <c r="D305" s="26" t="n">
        <f aca="false">MAX(A305-TC_Z,0)</f>
        <v>0</v>
      </c>
      <c r="E305" s="27" t="n">
        <f aca="false">1-0.2*(TC_xmb+(TC_n-1)*TC_xmt)*D305/(TC_n*TC_b)</f>
        <v>1</v>
      </c>
      <c r="F305" s="28" t="n">
        <f aca="false">TC_s*E305*TC_m*TC_n*TC_b*SQRT(2*g_)*D305^1.5</f>
        <v>0</v>
      </c>
      <c r="G305" s="29" t="n">
        <f aca="false">MAX(A305-SC_Z,0)</f>
        <v>3</v>
      </c>
      <c r="H305" s="30" t="n">
        <f aca="false">1-0.2*(SC_xmb+(SC_n-1)*SC_xmt)*G305/(SC_n*SC_b)</f>
        <v>0.916</v>
      </c>
      <c r="I305" s="31" t="n">
        <f aca="false">SC_s*H305*SC_m*SC_n*SC_b*SQRT(2*g_)*G305^1.5</f>
        <v>47.4361436305693</v>
      </c>
      <c r="J305" s="32" t="n">
        <f aca="false">F305+I305</f>
        <v>47.4361436305693</v>
      </c>
      <c r="K305" s="32" t="n">
        <f aca="false">F305</f>
        <v>0</v>
      </c>
      <c r="L305" s="32" t="n">
        <f aca="false">C305*1000000/dt_s+J305/2</f>
        <v>8965.38473848195</v>
      </c>
      <c r="M305" s="32" t="n">
        <f aca="false">C305*1000000/dt_s+K305/2</f>
        <v>8941.66666666667</v>
      </c>
    </row>
    <row r="306" customFormat="false" ht="15" hidden="false" customHeight="false" outlineLevel="0" collapsed="false">
      <c r="A306" s="24" t="n">
        <f aca="false">ROUND(A305+0.01,2)</f>
        <v>74.01</v>
      </c>
      <c r="B306" s="25" t="n">
        <f aca="false">INDEX(Bang_F,MATCH(A306,Bang_Z,1))+(A306-INDEX(Bang_Z,MATCH(A306,Bang_Z,1)))*(INDEX(Bang_F,MATCH(A306,Bang_Z,1)+1)-INDEX(Bang_F,MATCH(A306,Bang_Z,1)))</f>
        <v>5.8066</v>
      </c>
      <c r="C306" s="25" t="n">
        <f aca="false">INDEX(Bang_W,MATCH(A306,Bang_Z,1))+(A306-INDEX(Bang_Z,MATCH(A306,Bang_Z,1)))*(INDEX(Bang_F,MATCH(A306,Bang_Z,1))+B306)/2</f>
        <v>32.248033</v>
      </c>
      <c r="D306" s="26" t="n">
        <f aca="false">MAX(A306-TC_Z,0)</f>
        <v>0</v>
      </c>
      <c r="E306" s="27" t="n">
        <f aca="false">1-0.2*(TC_xmb+(TC_n-1)*TC_xmt)*D306/(TC_n*TC_b)</f>
        <v>1</v>
      </c>
      <c r="F306" s="28" t="n">
        <f aca="false">TC_s*E306*TC_m*TC_n*TC_b*SQRT(2*g_)*D306^1.5</f>
        <v>0</v>
      </c>
      <c r="G306" s="29" t="n">
        <f aca="false">MAX(A306-SC_Z,0)</f>
        <v>3.01000000000001</v>
      </c>
      <c r="H306" s="30" t="n">
        <f aca="false">1-0.2*(SC_xmb+(SC_n-1)*SC_xmt)*G306/(SC_n*SC_b)</f>
        <v>0.91572</v>
      </c>
      <c r="I306" s="31" t="n">
        <f aca="false">SC_s*H306*SC_m*SC_n*SC_b*SQRT(2*g_)*G306^1.5</f>
        <v>47.6589491973712</v>
      </c>
      <c r="J306" s="32" t="n">
        <f aca="false">F306+I306</f>
        <v>47.6589491973712</v>
      </c>
      <c r="K306" s="32" t="n">
        <f aca="false">F306</f>
        <v>0</v>
      </c>
      <c r="L306" s="32" t="n">
        <f aca="false">C306*1000000/dt_s+J306/2</f>
        <v>8981.61641904314</v>
      </c>
      <c r="M306" s="32" t="n">
        <f aca="false">C306*1000000/dt_s+K306/2</f>
        <v>8957.78694444445</v>
      </c>
    </row>
    <row r="307" customFormat="false" ht="15" hidden="false" customHeight="false" outlineLevel="0" collapsed="false">
      <c r="A307" s="24" t="n">
        <f aca="false">ROUND(A306+0.01,2)</f>
        <v>74.02</v>
      </c>
      <c r="B307" s="25" t="n">
        <f aca="false">INDEX(Bang_F,MATCH(A307,Bang_Z,1))+(A307-INDEX(Bang_Z,MATCH(A307,Bang_Z,1)))*(INDEX(Bang_F,MATCH(A307,Bang_Z,1)+1)-INDEX(Bang_F,MATCH(A307,Bang_Z,1)))</f>
        <v>5.8132</v>
      </c>
      <c r="C307" s="25" t="n">
        <f aca="false">INDEX(Bang_W,MATCH(A307,Bang_Z,1))+(A307-INDEX(Bang_Z,MATCH(A307,Bang_Z,1)))*(INDEX(Bang_F,MATCH(A307,Bang_Z,1))+B307)/2</f>
        <v>32.306132</v>
      </c>
      <c r="D307" s="26" t="n">
        <f aca="false">MAX(A307-TC_Z,0)</f>
        <v>0</v>
      </c>
      <c r="E307" s="27" t="n">
        <f aca="false">1-0.2*(TC_xmb+(TC_n-1)*TC_xmt)*D307/(TC_n*TC_b)</f>
        <v>1</v>
      </c>
      <c r="F307" s="28" t="n">
        <f aca="false">TC_s*E307*TC_m*TC_n*TC_b*SQRT(2*g_)*D307^1.5</f>
        <v>0</v>
      </c>
      <c r="G307" s="29" t="n">
        <f aca="false">MAX(A307-SC_Z,0)</f>
        <v>3.02</v>
      </c>
      <c r="H307" s="30" t="n">
        <f aca="false">1-0.2*(SC_xmb+(SC_n-1)*SC_xmt)*G307/(SC_n*SC_b)</f>
        <v>0.91544</v>
      </c>
      <c r="I307" s="31" t="n">
        <f aca="false">SC_s*H307*SC_m*SC_n*SC_b*SQRT(2*g_)*G307^1.5</f>
        <v>47.8820040451021</v>
      </c>
      <c r="J307" s="32" t="n">
        <f aca="false">F307+I307</f>
        <v>47.8820040451021</v>
      </c>
      <c r="K307" s="32" t="n">
        <f aca="false">F307</f>
        <v>0</v>
      </c>
      <c r="L307" s="32" t="n">
        <f aca="false">C307*1000000/dt_s+J307/2</f>
        <v>8997.8665575781</v>
      </c>
      <c r="M307" s="32" t="n">
        <f aca="false">C307*1000000/dt_s+K307/2</f>
        <v>8973.92555555555</v>
      </c>
    </row>
    <row r="308" customFormat="false" ht="15" hidden="false" customHeight="false" outlineLevel="0" collapsed="false">
      <c r="A308" s="24" t="n">
        <f aca="false">ROUND(A307+0.01,2)</f>
        <v>74.03</v>
      </c>
      <c r="B308" s="25" t="n">
        <f aca="false">INDEX(Bang_F,MATCH(A308,Bang_Z,1))+(A308-INDEX(Bang_Z,MATCH(A308,Bang_Z,1)))*(INDEX(Bang_F,MATCH(A308,Bang_Z,1)+1)-INDEX(Bang_F,MATCH(A308,Bang_Z,1)))</f>
        <v>5.8198</v>
      </c>
      <c r="C308" s="25" t="n">
        <f aca="false">INDEX(Bang_W,MATCH(A308,Bang_Z,1))+(A308-INDEX(Bang_Z,MATCH(A308,Bang_Z,1)))*(INDEX(Bang_F,MATCH(A308,Bang_Z,1))+B308)/2</f>
        <v>32.364297</v>
      </c>
      <c r="D308" s="26" t="n">
        <f aca="false">MAX(A308-TC_Z,0)</f>
        <v>0</v>
      </c>
      <c r="E308" s="27" t="n">
        <f aca="false">1-0.2*(TC_xmb+(TC_n-1)*TC_xmt)*D308/(TC_n*TC_b)</f>
        <v>1</v>
      </c>
      <c r="F308" s="28" t="n">
        <f aca="false">TC_s*E308*TC_m*TC_n*TC_b*SQRT(2*g_)*D308^1.5</f>
        <v>0</v>
      </c>
      <c r="G308" s="29" t="n">
        <f aca="false">MAX(A308-SC_Z,0)</f>
        <v>3.03</v>
      </c>
      <c r="H308" s="30" t="n">
        <f aca="false">1-0.2*(SC_xmb+(SC_n-1)*SC_xmt)*G308/(SC_n*SC_b)</f>
        <v>0.91516</v>
      </c>
      <c r="I308" s="31" t="n">
        <f aca="false">SC_s*H308*SC_m*SC_n*SC_b*SQRT(2*g_)*G308^1.5</f>
        <v>48.1053071585333</v>
      </c>
      <c r="J308" s="32" t="n">
        <f aca="false">F308+I308</f>
        <v>48.1053071585333</v>
      </c>
      <c r="K308" s="32" t="n">
        <f aca="false">F308</f>
        <v>0</v>
      </c>
      <c r="L308" s="32" t="n">
        <f aca="false">C308*1000000/dt_s+J308/2</f>
        <v>9014.13515357927</v>
      </c>
      <c r="M308" s="32" t="n">
        <f aca="false">C308*1000000/dt_s+K308/2</f>
        <v>8990.0825</v>
      </c>
    </row>
    <row r="309" customFormat="false" ht="15" hidden="false" customHeight="false" outlineLevel="0" collapsed="false">
      <c r="A309" s="24" t="n">
        <f aca="false">ROUND(A308+0.01,2)</f>
        <v>74.04</v>
      </c>
      <c r="B309" s="25" t="n">
        <f aca="false">INDEX(Bang_F,MATCH(A309,Bang_Z,1))+(A309-INDEX(Bang_Z,MATCH(A309,Bang_Z,1)))*(INDEX(Bang_F,MATCH(A309,Bang_Z,1)+1)-INDEX(Bang_F,MATCH(A309,Bang_Z,1)))</f>
        <v>5.8264</v>
      </c>
      <c r="C309" s="25" t="n">
        <f aca="false">INDEX(Bang_W,MATCH(A309,Bang_Z,1))+(A309-INDEX(Bang_Z,MATCH(A309,Bang_Z,1)))*(INDEX(Bang_F,MATCH(A309,Bang_Z,1))+B309)/2</f>
        <v>32.422528</v>
      </c>
      <c r="D309" s="26" t="n">
        <f aca="false">MAX(A309-TC_Z,0)</f>
        <v>0</v>
      </c>
      <c r="E309" s="27" t="n">
        <f aca="false">1-0.2*(TC_xmb+(TC_n-1)*TC_xmt)*D309/(TC_n*TC_b)</f>
        <v>1</v>
      </c>
      <c r="F309" s="28" t="n">
        <f aca="false">TC_s*E309*TC_m*TC_n*TC_b*SQRT(2*g_)*D309^1.5</f>
        <v>0</v>
      </c>
      <c r="G309" s="29" t="n">
        <f aca="false">MAX(A309-SC_Z,0)</f>
        <v>3.04000000000001</v>
      </c>
      <c r="H309" s="30" t="n">
        <f aca="false">1-0.2*(SC_xmb+(SC_n-1)*SC_xmt)*G309/(SC_n*SC_b)</f>
        <v>0.91488</v>
      </c>
      <c r="I309" s="31" t="n">
        <f aca="false">SC_s*H309*SC_m*SC_n*SC_b*SQRT(2*g_)*G309^1.5</f>
        <v>48.3288575264707</v>
      </c>
      <c r="J309" s="32" t="n">
        <f aca="false">F309+I309</f>
        <v>48.3288575264707</v>
      </c>
      <c r="K309" s="32" t="n">
        <f aca="false">F309</f>
        <v>0</v>
      </c>
      <c r="L309" s="32" t="n">
        <f aca="false">C309*1000000/dt_s+J309/2</f>
        <v>9030.42220654102</v>
      </c>
      <c r="M309" s="32" t="n">
        <f aca="false">C309*1000000/dt_s+K309/2</f>
        <v>9006.25777777779</v>
      </c>
    </row>
    <row r="310" customFormat="false" ht="15" hidden="false" customHeight="false" outlineLevel="0" collapsed="false">
      <c r="A310" s="24" t="n">
        <f aca="false">ROUND(A309+0.01,2)</f>
        <v>74.05</v>
      </c>
      <c r="B310" s="25" t="n">
        <f aca="false">INDEX(Bang_F,MATCH(A310,Bang_Z,1))+(A310-INDEX(Bang_Z,MATCH(A310,Bang_Z,1)))*(INDEX(Bang_F,MATCH(A310,Bang_Z,1)+1)-INDEX(Bang_F,MATCH(A310,Bang_Z,1)))</f>
        <v>5.833</v>
      </c>
      <c r="C310" s="25" t="n">
        <f aca="false">INDEX(Bang_W,MATCH(A310,Bang_Z,1))+(A310-INDEX(Bang_Z,MATCH(A310,Bang_Z,1)))*(INDEX(Bang_F,MATCH(A310,Bang_Z,1))+B310)/2</f>
        <v>32.480825</v>
      </c>
      <c r="D310" s="26" t="n">
        <f aca="false">MAX(A310-TC_Z,0)</f>
        <v>0</v>
      </c>
      <c r="E310" s="27" t="n">
        <f aca="false">1-0.2*(TC_xmb+(TC_n-1)*TC_xmt)*D310/(TC_n*TC_b)</f>
        <v>1</v>
      </c>
      <c r="F310" s="28" t="n">
        <f aca="false">TC_s*E310*TC_m*TC_n*TC_b*SQRT(2*g_)*D310^1.5</f>
        <v>0</v>
      </c>
      <c r="G310" s="29" t="n">
        <f aca="false">MAX(A310-SC_Z,0)</f>
        <v>3.05</v>
      </c>
      <c r="H310" s="30" t="n">
        <f aca="false">1-0.2*(SC_xmb+(SC_n-1)*SC_xmt)*G310/(SC_n*SC_b)</f>
        <v>0.9146</v>
      </c>
      <c r="I310" s="31" t="n">
        <f aca="false">SC_s*H310*SC_m*SC_n*SC_b*SQRT(2*g_)*G310^1.5</f>
        <v>48.5526541417243</v>
      </c>
      <c r="J310" s="32" t="n">
        <f aca="false">F310+I310</f>
        <v>48.5526541417243</v>
      </c>
      <c r="K310" s="32" t="n">
        <f aca="false">F310</f>
        <v>0</v>
      </c>
      <c r="L310" s="32" t="n">
        <f aca="false">C310*1000000/dt_s+J310/2</f>
        <v>9046.72771595975</v>
      </c>
      <c r="M310" s="32" t="n">
        <f aca="false">C310*1000000/dt_s+K310/2</f>
        <v>9022.45138888888</v>
      </c>
    </row>
    <row r="311" customFormat="false" ht="15" hidden="false" customHeight="false" outlineLevel="0" collapsed="false">
      <c r="A311" s="24" t="n">
        <f aca="false">ROUND(A310+0.01,2)</f>
        <v>74.06</v>
      </c>
      <c r="B311" s="25" t="n">
        <f aca="false">INDEX(Bang_F,MATCH(A311,Bang_Z,1))+(A311-INDEX(Bang_Z,MATCH(A311,Bang_Z,1)))*(INDEX(Bang_F,MATCH(A311,Bang_Z,1)+1)-INDEX(Bang_F,MATCH(A311,Bang_Z,1)))</f>
        <v>5.8396</v>
      </c>
      <c r="C311" s="25" t="n">
        <f aca="false">INDEX(Bang_W,MATCH(A311,Bang_Z,1))+(A311-INDEX(Bang_Z,MATCH(A311,Bang_Z,1)))*(INDEX(Bang_F,MATCH(A311,Bang_Z,1))+B311)/2</f>
        <v>32.539188</v>
      </c>
      <c r="D311" s="26" t="n">
        <f aca="false">MAX(A311-TC_Z,0)</f>
        <v>0</v>
      </c>
      <c r="E311" s="27" t="n">
        <f aca="false">1-0.2*(TC_xmb+(TC_n-1)*TC_xmt)*D311/(TC_n*TC_b)</f>
        <v>1</v>
      </c>
      <c r="F311" s="28" t="n">
        <f aca="false">TC_s*E311*TC_m*TC_n*TC_b*SQRT(2*g_)*D311^1.5</f>
        <v>0</v>
      </c>
      <c r="G311" s="29" t="n">
        <f aca="false">MAX(A311-SC_Z,0)</f>
        <v>3.06</v>
      </c>
      <c r="H311" s="30" t="n">
        <f aca="false">1-0.2*(SC_xmb+(SC_n-1)*SC_xmt)*G311/(SC_n*SC_b)</f>
        <v>0.91432</v>
      </c>
      <c r="I311" s="31" t="n">
        <f aca="false">SC_s*H311*SC_m*SC_n*SC_b*SQRT(2*g_)*G311^1.5</f>
        <v>48.7766960010776</v>
      </c>
      <c r="J311" s="32" t="n">
        <f aca="false">F311+I311</f>
        <v>48.7766960010776</v>
      </c>
      <c r="K311" s="32" t="n">
        <f aca="false">F311</f>
        <v>0</v>
      </c>
      <c r="L311" s="32" t="n">
        <f aca="false">C311*1000000/dt_s+J311/2</f>
        <v>9063.05168133388</v>
      </c>
      <c r="M311" s="32" t="n">
        <f aca="false">C311*1000000/dt_s+K311/2</f>
        <v>9038.66333333334</v>
      </c>
    </row>
    <row r="312" customFormat="false" ht="15" hidden="false" customHeight="false" outlineLevel="0" collapsed="false">
      <c r="A312" s="24" t="n">
        <f aca="false">ROUND(A311+0.01,2)</f>
        <v>74.07</v>
      </c>
      <c r="B312" s="25" t="n">
        <f aca="false">INDEX(Bang_F,MATCH(A312,Bang_Z,1))+(A312-INDEX(Bang_Z,MATCH(A312,Bang_Z,1)))*(INDEX(Bang_F,MATCH(A312,Bang_Z,1)+1)-INDEX(Bang_F,MATCH(A312,Bang_Z,1)))</f>
        <v>5.8462</v>
      </c>
      <c r="C312" s="25" t="n">
        <f aca="false">INDEX(Bang_W,MATCH(A312,Bang_Z,1))+(A312-INDEX(Bang_Z,MATCH(A312,Bang_Z,1)))*(INDEX(Bang_F,MATCH(A312,Bang_Z,1))+B312)/2</f>
        <v>32.597617</v>
      </c>
      <c r="D312" s="26" t="n">
        <f aca="false">MAX(A312-TC_Z,0)</f>
        <v>0</v>
      </c>
      <c r="E312" s="27" t="n">
        <f aca="false">1-0.2*(TC_xmb+(TC_n-1)*TC_xmt)*D312/(TC_n*TC_b)</f>
        <v>1</v>
      </c>
      <c r="F312" s="28" t="n">
        <f aca="false">TC_s*E312*TC_m*TC_n*TC_b*SQRT(2*g_)*D312^1.5</f>
        <v>0</v>
      </c>
      <c r="G312" s="29" t="n">
        <f aca="false">MAX(A312-SC_Z,0)</f>
        <v>3.06999999999999</v>
      </c>
      <c r="H312" s="30" t="n">
        <f aca="false">1-0.2*(SC_xmb+(SC_n-1)*SC_xmt)*G312/(SC_n*SC_b)</f>
        <v>0.91404</v>
      </c>
      <c r="I312" s="31" t="n">
        <f aca="false">SC_s*H312*SC_m*SC_n*SC_b*SQRT(2*g_)*G312^1.5</f>
        <v>49.0009821052548</v>
      </c>
      <c r="J312" s="32" t="n">
        <f aca="false">F312+I312</f>
        <v>49.0009821052548</v>
      </c>
      <c r="K312" s="32" t="n">
        <f aca="false">F312</f>
        <v>0</v>
      </c>
      <c r="L312" s="32" t="n">
        <f aca="false">C312*1000000/dt_s+J312/2</f>
        <v>9079.39410216373</v>
      </c>
      <c r="M312" s="32" t="n">
        <f aca="false">C312*1000000/dt_s+K312/2</f>
        <v>9054.8936111111</v>
      </c>
    </row>
    <row r="313" customFormat="false" ht="15" hidden="false" customHeight="false" outlineLevel="0" collapsed="false">
      <c r="A313" s="24" t="n">
        <f aca="false">ROUND(A312+0.01,2)</f>
        <v>74.08</v>
      </c>
      <c r="B313" s="25" t="n">
        <f aca="false">INDEX(Bang_F,MATCH(A313,Bang_Z,1))+(A313-INDEX(Bang_Z,MATCH(A313,Bang_Z,1)))*(INDEX(Bang_F,MATCH(A313,Bang_Z,1)+1)-INDEX(Bang_F,MATCH(A313,Bang_Z,1)))</f>
        <v>5.8528</v>
      </c>
      <c r="C313" s="25" t="n">
        <f aca="false">INDEX(Bang_W,MATCH(A313,Bang_Z,1))+(A313-INDEX(Bang_Z,MATCH(A313,Bang_Z,1)))*(INDEX(Bang_F,MATCH(A313,Bang_Z,1))+B313)/2</f>
        <v>32.656112</v>
      </c>
      <c r="D313" s="26" t="n">
        <f aca="false">MAX(A313-TC_Z,0)</f>
        <v>0</v>
      </c>
      <c r="E313" s="27" t="n">
        <f aca="false">1-0.2*(TC_xmb+(TC_n-1)*TC_xmt)*D313/(TC_n*TC_b)</f>
        <v>1</v>
      </c>
      <c r="F313" s="28" t="n">
        <f aca="false">TC_s*E313*TC_m*TC_n*TC_b*SQRT(2*g_)*D313^1.5</f>
        <v>0</v>
      </c>
      <c r="G313" s="29" t="n">
        <f aca="false">MAX(A313-SC_Z,0)</f>
        <v>3.08</v>
      </c>
      <c r="H313" s="30" t="n">
        <f aca="false">1-0.2*(SC_xmb+(SC_n-1)*SC_xmt)*G313/(SC_n*SC_b)</f>
        <v>0.91376</v>
      </c>
      <c r="I313" s="31" t="n">
        <f aca="false">SC_s*H313*SC_m*SC_n*SC_b*SQRT(2*g_)*G313^1.5</f>
        <v>49.2255114588928</v>
      </c>
      <c r="J313" s="32" t="n">
        <f aca="false">F313+I313</f>
        <v>49.2255114588928</v>
      </c>
      <c r="K313" s="32" t="n">
        <f aca="false">F313</f>
        <v>0</v>
      </c>
      <c r="L313" s="32" t="n">
        <f aca="false">C313*1000000/dt_s+J313/2</f>
        <v>9095.75497795166</v>
      </c>
      <c r="M313" s="32" t="n">
        <f aca="false">C313*1000000/dt_s+K313/2</f>
        <v>9071.14222222222</v>
      </c>
    </row>
    <row r="314" customFormat="false" ht="15" hidden="false" customHeight="false" outlineLevel="0" collapsed="false">
      <c r="A314" s="24" t="n">
        <f aca="false">ROUND(A313+0.01,2)</f>
        <v>74.09</v>
      </c>
      <c r="B314" s="25" t="n">
        <f aca="false">INDEX(Bang_F,MATCH(A314,Bang_Z,1))+(A314-INDEX(Bang_Z,MATCH(A314,Bang_Z,1)))*(INDEX(Bang_F,MATCH(A314,Bang_Z,1)+1)-INDEX(Bang_F,MATCH(A314,Bang_Z,1)))</f>
        <v>5.8594</v>
      </c>
      <c r="C314" s="25" t="n">
        <f aca="false">INDEX(Bang_W,MATCH(A314,Bang_Z,1))+(A314-INDEX(Bang_Z,MATCH(A314,Bang_Z,1)))*(INDEX(Bang_F,MATCH(A314,Bang_Z,1))+B314)/2</f>
        <v>32.714673</v>
      </c>
      <c r="D314" s="26" t="n">
        <f aca="false">MAX(A314-TC_Z,0)</f>
        <v>0</v>
      </c>
      <c r="E314" s="27" t="n">
        <f aca="false">1-0.2*(TC_xmb+(TC_n-1)*TC_xmt)*D314/(TC_n*TC_b)</f>
        <v>1</v>
      </c>
      <c r="F314" s="28" t="n">
        <f aca="false">TC_s*E314*TC_m*TC_n*TC_b*SQRT(2*g_)*D314^1.5</f>
        <v>0</v>
      </c>
      <c r="G314" s="29" t="n">
        <f aca="false">MAX(A314-SC_Z,0)</f>
        <v>3.09</v>
      </c>
      <c r="H314" s="30" t="n">
        <f aca="false">1-0.2*(SC_xmb+(SC_n-1)*SC_xmt)*G314/(SC_n*SC_b)</f>
        <v>0.91348</v>
      </c>
      <c r="I314" s="31" t="n">
        <f aca="false">SC_s*H314*SC_m*SC_n*SC_b*SQRT(2*g_)*G314^1.5</f>
        <v>49.4502830705088</v>
      </c>
      <c r="J314" s="32" t="n">
        <f aca="false">F314+I314</f>
        <v>49.4502830705088</v>
      </c>
      <c r="K314" s="32" t="n">
        <f aca="false">F314</f>
        <v>0</v>
      </c>
      <c r="L314" s="32" t="n">
        <f aca="false">C314*1000000/dt_s+J314/2</f>
        <v>9112.13430820193</v>
      </c>
      <c r="M314" s="32" t="n">
        <f aca="false">C314*1000000/dt_s+K314/2</f>
        <v>9087.40916666667</v>
      </c>
    </row>
    <row r="315" customFormat="false" ht="15" hidden="false" customHeight="false" outlineLevel="0" collapsed="false">
      <c r="A315" s="24" t="n">
        <f aca="false">ROUND(A314+0.01,2)</f>
        <v>74.1</v>
      </c>
      <c r="B315" s="25" t="n">
        <f aca="false">INDEX(Bang_F,MATCH(A315,Bang_Z,1))+(A315-INDEX(Bang_Z,MATCH(A315,Bang_Z,1)))*(INDEX(Bang_F,MATCH(A315,Bang_Z,1)+1)-INDEX(Bang_F,MATCH(A315,Bang_Z,1)))</f>
        <v>5.866</v>
      </c>
      <c r="C315" s="25" t="n">
        <f aca="false">INDEX(Bang_W,MATCH(A315,Bang_Z,1))+(A315-INDEX(Bang_Z,MATCH(A315,Bang_Z,1)))*(INDEX(Bang_F,MATCH(A315,Bang_Z,1))+B315)/2</f>
        <v>32.7733</v>
      </c>
      <c r="D315" s="26" t="n">
        <f aca="false">MAX(A315-TC_Z,0)</f>
        <v>0</v>
      </c>
      <c r="E315" s="27" t="n">
        <f aca="false">1-0.2*(TC_xmb+(TC_n-1)*TC_xmt)*D315/(TC_n*TC_b)</f>
        <v>1</v>
      </c>
      <c r="F315" s="28" t="n">
        <f aca="false">TC_s*E315*TC_m*TC_n*TC_b*SQRT(2*g_)*D315^1.5</f>
        <v>0</v>
      </c>
      <c r="G315" s="29" t="n">
        <f aca="false">MAX(A315-SC_Z,0)</f>
        <v>3.09999999999999</v>
      </c>
      <c r="H315" s="30" t="n">
        <f aca="false">1-0.2*(SC_xmb+(SC_n-1)*SC_xmt)*G315/(SC_n*SC_b)</f>
        <v>0.9132</v>
      </c>
      <c r="I315" s="31" t="n">
        <f aca="false">SC_s*H315*SC_m*SC_n*SC_b*SQRT(2*g_)*G315^1.5</f>
        <v>49.6752959524709</v>
      </c>
      <c r="J315" s="32" t="n">
        <f aca="false">F315+I315</f>
        <v>49.6752959524709</v>
      </c>
      <c r="K315" s="32" t="n">
        <f aca="false">F315</f>
        <v>0</v>
      </c>
      <c r="L315" s="32" t="n">
        <f aca="false">C315*1000000/dt_s+J315/2</f>
        <v>9128.53209242067</v>
      </c>
      <c r="M315" s="32" t="n">
        <f aca="false">C315*1000000/dt_s+K315/2</f>
        <v>9103.69444444443</v>
      </c>
    </row>
    <row r="316" customFormat="false" ht="15" hidden="false" customHeight="false" outlineLevel="0" collapsed="false">
      <c r="A316" s="24" t="n">
        <f aca="false">ROUND(A315+0.01,2)</f>
        <v>74.11</v>
      </c>
      <c r="B316" s="25" t="n">
        <f aca="false">INDEX(Bang_F,MATCH(A316,Bang_Z,1))+(A316-INDEX(Bang_Z,MATCH(A316,Bang_Z,1)))*(INDEX(Bang_F,MATCH(A316,Bang_Z,1)+1)-INDEX(Bang_F,MATCH(A316,Bang_Z,1)))</f>
        <v>5.8726</v>
      </c>
      <c r="C316" s="25" t="n">
        <f aca="false">INDEX(Bang_W,MATCH(A316,Bang_Z,1))+(A316-INDEX(Bang_Z,MATCH(A316,Bang_Z,1)))*(INDEX(Bang_F,MATCH(A316,Bang_Z,1))+B316)/2</f>
        <v>32.831993</v>
      </c>
      <c r="D316" s="26" t="n">
        <f aca="false">MAX(A316-TC_Z,0)</f>
        <v>0</v>
      </c>
      <c r="E316" s="27" t="n">
        <f aca="false">1-0.2*(TC_xmb+(TC_n-1)*TC_xmt)*D316/(TC_n*TC_b)</f>
        <v>1</v>
      </c>
      <c r="F316" s="28" t="n">
        <f aca="false">TC_s*E316*TC_m*TC_n*TC_b*SQRT(2*g_)*D316^1.5</f>
        <v>0</v>
      </c>
      <c r="G316" s="29" t="n">
        <f aca="false">MAX(A316-SC_Z,0)</f>
        <v>3.11</v>
      </c>
      <c r="H316" s="30" t="n">
        <f aca="false">1-0.2*(SC_xmb+(SC_n-1)*SC_xmt)*G316/(SC_n*SC_b)</f>
        <v>0.91292</v>
      </c>
      <c r="I316" s="31" t="n">
        <f aca="false">SC_s*H316*SC_m*SC_n*SC_b*SQRT(2*g_)*G316^1.5</f>
        <v>49.9005491209705</v>
      </c>
      <c r="J316" s="32" t="n">
        <f aca="false">F316+I316</f>
        <v>49.9005491209705</v>
      </c>
      <c r="K316" s="32" t="n">
        <f aca="false">F316</f>
        <v>0</v>
      </c>
      <c r="L316" s="32" t="n">
        <f aca="false">C316*1000000/dt_s+J316/2</f>
        <v>9144.94833011604</v>
      </c>
      <c r="M316" s="32" t="n">
        <f aca="false">C316*1000000/dt_s+K316/2</f>
        <v>9119.99805555555</v>
      </c>
    </row>
    <row r="317" customFormat="false" ht="15" hidden="false" customHeight="false" outlineLevel="0" collapsed="false">
      <c r="A317" s="24" t="n">
        <f aca="false">ROUND(A316+0.01,2)</f>
        <v>74.12</v>
      </c>
      <c r="B317" s="25" t="n">
        <f aca="false">INDEX(Bang_F,MATCH(A317,Bang_Z,1))+(A317-INDEX(Bang_Z,MATCH(A317,Bang_Z,1)))*(INDEX(Bang_F,MATCH(A317,Bang_Z,1)+1)-INDEX(Bang_F,MATCH(A317,Bang_Z,1)))</f>
        <v>5.8792</v>
      </c>
      <c r="C317" s="25" t="n">
        <f aca="false">INDEX(Bang_W,MATCH(A317,Bang_Z,1))+(A317-INDEX(Bang_Z,MATCH(A317,Bang_Z,1)))*(INDEX(Bang_F,MATCH(A317,Bang_Z,1))+B317)/2</f>
        <v>32.890752</v>
      </c>
      <c r="D317" s="26" t="n">
        <f aca="false">MAX(A317-TC_Z,0)</f>
        <v>0</v>
      </c>
      <c r="E317" s="27" t="n">
        <f aca="false">1-0.2*(TC_xmb+(TC_n-1)*TC_xmt)*D317/(TC_n*TC_b)</f>
        <v>1</v>
      </c>
      <c r="F317" s="28" t="n">
        <f aca="false">TC_s*E317*TC_m*TC_n*TC_b*SQRT(2*g_)*D317^1.5</f>
        <v>0</v>
      </c>
      <c r="G317" s="29" t="n">
        <f aca="false">MAX(A317-SC_Z,0)</f>
        <v>3.12</v>
      </c>
      <c r="H317" s="30" t="n">
        <f aca="false">1-0.2*(SC_xmb+(SC_n-1)*SC_xmt)*G317/(SC_n*SC_b)</f>
        <v>0.91264</v>
      </c>
      <c r="I317" s="31" t="n">
        <f aca="false">SC_s*H317*SC_m*SC_n*SC_b*SQRT(2*g_)*G317^1.5</f>
        <v>50.1260415959901</v>
      </c>
      <c r="J317" s="32" t="n">
        <f aca="false">F317+I317</f>
        <v>50.1260415959901</v>
      </c>
      <c r="K317" s="32" t="n">
        <f aca="false">F317</f>
        <v>0</v>
      </c>
      <c r="L317" s="32" t="n">
        <f aca="false">C317*1000000/dt_s+J317/2</f>
        <v>9161.383020798</v>
      </c>
      <c r="M317" s="32" t="n">
        <f aca="false">C317*1000000/dt_s+K317/2</f>
        <v>9136.32000000001</v>
      </c>
    </row>
    <row r="318" customFormat="false" ht="15" hidden="false" customHeight="false" outlineLevel="0" collapsed="false">
      <c r="A318" s="24" t="n">
        <f aca="false">ROUND(A317+0.01,2)</f>
        <v>74.13</v>
      </c>
      <c r="B318" s="25" t="n">
        <f aca="false">INDEX(Bang_F,MATCH(A318,Bang_Z,1))+(A318-INDEX(Bang_Z,MATCH(A318,Bang_Z,1)))*(INDEX(Bang_F,MATCH(A318,Bang_Z,1)+1)-INDEX(Bang_F,MATCH(A318,Bang_Z,1)))</f>
        <v>5.8858</v>
      </c>
      <c r="C318" s="25" t="n">
        <f aca="false">INDEX(Bang_W,MATCH(A318,Bang_Z,1))+(A318-INDEX(Bang_Z,MATCH(A318,Bang_Z,1)))*(INDEX(Bang_F,MATCH(A318,Bang_Z,1))+B318)/2</f>
        <v>32.949577</v>
      </c>
      <c r="D318" s="26" t="n">
        <f aca="false">MAX(A318-TC_Z,0)</f>
        <v>0</v>
      </c>
      <c r="E318" s="27" t="n">
        <f aca="false">1-0.2*(TC_xmb+(TC_n-1)*TC_xmt)*D318/(TC_n*TC_b)</f>
        <v>1</v>
      </c>
      <c r="F318" s="28" t="n">
        <f aca="false">TC_s*E318*TC_m*TC_n*TC_b*SQRT(2*g_)*D318^1.5</f>
        <v>0</v>
      </c>
      <c r="G318" s="29" t="n">
        <f aca="false">MAX(A318-SC_Z,0)</f>
        <v>3.13</v>
      </c>
      <c r="H318" s="30" t="n">
        <f aca="false">1-0.2*(SC_xmb+(SC_n-1)*SC_xmt)*G318/(SC_n*SC_b)</f>
        <v>0.91236</v>
      </c>
      <c r="I318" s="31" t="n">
        <f aca="false">SC_s*H318*SC_m*SC_n*SC_b*SQRT(2*g_)*G318^1.5</f>
        <v>50.3517724012764</v>
      </c>
      <c r="J318" s="32" t="n">
        <f aca="false">F318+I318</f>
        <v>50.3517724012764</v>
      </c>
      <c r="K318" s="32" t="n">
        <f aca="false">F318</f>
        <v>0</v>
      </c>
      <c r="L318" s="32" t="n">
        <f aca="false">C318*1000000/dt_s+J318/2</f>
        <v>9177.83616397841</v>
      </c>
      <c r="M318" s="32" t="n">
        <f aca="false">C318*1000000/dt_s+K318/2</f>
        <v>9152.66027777777</v>
      </c>
    </row>
    <row r="319" customFormat="false" ht="15" hidden="false" customHeight="false" outlineLevel="0" collapsed="false">
      <c r="A319" s="24" t="n">
        <f aca="false">ROUND(A318+0.01,2)</f>
        <v>74.14</v>
      </c>
      <c r="B319" s="25" t="n">
        <f aca="false">INDEX(Bang_F,MATCH(A319,Bang_Z,1))+(A319-INDEX(Bang_Z,MATCH(A319,Bang_Z,1)))*(INDEX(Bang_F,MATCH(A319,Bang_Z,1)+1)-INDEX(Bang_F,MATCH(A319,Bang_Z,1)))</f>
        <v>5.8924</v>
      </c>
      <c r="C319" s="25" t="n">
        <f aca="false">INDEX(Bang_W,MATCH(A319,Bang_Z,1))+(A319-INDEX(Bang_Z,MATCH(A319,Bang_Z,1)))*(INDEX(Bang_F,MATCH(A319,Bang_Z,1))+B319)/2</f>
        <v>33.008468</v>
      </c>
      <c r="D319" s="26" t="n">
        <f aca="false">MAX(A319-TC_Z,0)</f>
        <v>0</v>
      </c>
      <c r="E319" s="27" t="n">
        <f aca="false">1-0.2*(TC_xmb+(TC_n-1)*TC_xmt)*D319/(TC_n*TC_b)</f>
        <v>1</v>
      </c>
      <c r="F319" s="28" t="n">
        <f aca="false">TC_s*E319*TC_m*TC_n*TC_b*SQRT(2*g_)*D319^1.5</f>
        <v>0</v>
      </c>
      <c r="G319" s="29" t="n">
        <f aca="false">MAX(A319-SC_Z,0)</f>
        <v>3.14</v>
      </c>
      <c r="H319" s="30" t="n">
        <f aca="false">1-0.2*(SC_xmb+(SC_n-1)*SC_xmt)*G319/(SC_n*SC_b)</f>
        <v>0.91208</v>
      </c>
      <c r="I319" s="31" t="n">
        <f aca="false">SC_s*H319*SC_m*SC_n*SC_b*SQRT(2*g_)*G319^1.5</f>
        <v>50.5777405643117</v>
      </c>
      <c r="J319" s="32" t="n">
        <f aca="false">F319+I319</f>
        <v>50.5777405643117</v>
      </c>
      <c r="K319" s="32" t="n">
        <f aca="false">F319</f>
        <v>0</v>
      </c>
      <c r="L319" s="32" t="n">
        <f aca="false">C319*1000000/dt_s+J319/2</f>
        <v>9194.30775917105</v>
      </c>
      <c r="M319" s="32" t="n">
        <f aca="false">C319*1000000/dt_s+K319/2</f>
        <v>9169.01888888889</v>
      </c>
    </row>
    <row r="320" customFormat="false" ht="15" hidden="false" customHeight="false" outlineLevel="0" collapsed="false">
      <c r="A320" s="24" t="n">
        <f aca="false">ROUND(A319+0.01,2)</f>
        <v>74.15</v>
      </c>
      <c r="B320" s="25" t="n">
        <f aca="false">INDEX(Bang_F,MATCH(A320,Bang_Z,1))+(A320-INDEX(Bang_Z,MATCH(A320,Bang_Z,1)))*(INDEX(Bang_F,MATCH(A320,Bang_Z,1)+1)-INDEX(Bang_F,MATCH(A320,Bang_Z,1)))</f>
        <v>5.899</v>
      </c>
      <c r="C320" s="25" t="n">
        <f aca="false">INDEX(Bang_W,MATCH(A320,Bang_Z,1))+(A320-INDEX(Bang_Z,MATCH(A320,Bang_Z,1)))*(INDEX(Bang_F,MATCH(A320,Bang_Z,1))+B320)/2</f>
        <v>33.067425</v>
      </c>
      <c r="D320" s="26" t="n">
        <f aca="false">MAX(A320-TC_Z,0)</f>
        <v>0</v>
      </c>
      <c r="E320" s="27" t="n">
        <f aca="false">1-0.2*(TC_xmb+(TC_n-1)*TC_xmt)*D320/(TC_n*TC_b)</f>
        <v>1</v>
      </c>
      <c r="F320" s="28" t="n">
        <f aca="false">TC_s*E320*TC_m*TC_n*TC_b*SQRT(2*g_)*D320^1.5</f>
        <v>0</v>
      </c>
      <c r="G320" s="29" t="n">
        <f aca="false">MAX(A320-SC_Z,0)</f>
        <v>3.15000000000001</v>
      </c>
      <c r="H320" s="30" t="n">
        <f aca="false">1-0.2*(SC_xmb+(SC_n-1)*SC_xmt)*G320/(SC_n*SC_b)</f>
        <v>0.9118</v>
      </c>
      <c r="I320" s="31" t="n">
        <f aca="false">SC_s*H320*SC_m*SC_n*SC_b*SQRT(2*g_)*G320^1.5</f>
        <v>50.8039451162847</v>
      </c>
      <c r="J320" s="32" t="n">
        <f aca="false">F320+I320</f>
        <v>50.8039451162847</v>
      </c>
      <c r="K320" s="32" t="n">
        <f aca="false">F320</f>
        <v>0</v>
      </c>
      <c r="L320" s="32" t="n">
        <f aca="false">C320*1000000/dt_s+J320/2</f>
        <v>9210.79780589148</v>
      </c>
      <c r="M320" s="32" t="n">
        <f aca="false">C320*1000000/dt_s+K320/2</f>
        <v>9185.39583333334</v>
      </c>
    </row>
    <row r="321" customFormat="false" ht="15" hidden="false" customHeight="false" outlineLevel="0" collapsed="false">
      <c r="A321" s="24" t="n">
        <f aca="false">ROUND(A320+0.01,2)</f>
        <v>74.16</v>
      </c>
      <c r="B321" s="25" t="n">
        <f aca="false">INDEX(Bang_F,MATCH(A321,Bang_Z,1))+(A321-INDEX(Bang_Z,MATCH(A321,Bang_Z,1)))*(INDEX(Bang_F,MATCH(A321,Bang_Z,1)+1)-INDEX(Bang_F,MATCH(A321,Bang_Z,1)))</f>
        <v>5.9056</v>
      </c>
      <c r="C321" s="25" t="n">
        <f aca="false">INDEX(Bang_W,MATCH(A321,Bang_Z,1))+(A321-INDEX(Bang_Z,MATCH(A321,Bang_Z,1)))*(INDEX(Bang_F,MATCH(A321,Bang_Z,1))+B321)/2</f>
        <v>33.126448</v>
      </c>
      <c r="D321" s="26" t="n">
        <f aca="false">MAX(A321-TC_Z,0)</f>
        <v>0</v>
      </c>
      <c r="E321" s="27" t="n">
        <f aca="false">1-0.2*(TC_xmb+(TC_n-1)*TC_xmt)*D321/(TC_n*TC_b)</f>
        <v>1</v>
      </c>
      <c r="F321" s="28" t="n">
        <f aca="false">TC_s*E321*TC_m*TC_n*TC_b*SQRT(2*g_)*D321^1.5</f>
        <v>0</v>
      </c>
      <c r="G321" s="29" t="n">
        <f aca="false">MAX(A321-SC_Z,0)</f>
        <v>3.16</v>
      </c>
      <c r="H321" s="30" t="n">
        <f aca="false">1-0.2*(SC_xmb+(SC_n-1)*SC_xmt)*G321/(SC_n*SC_b)</f>
        <v>0.91152</v>
      </c>
      <c r="I321" s="31" t="n">
        <f aca="false">SC_s*H321*SC_m*SC_n*SC_b*SQRT(2*g_)*G321^1.5</f>
        <v>51.0303850920627</v>
      </c>
      <c r="J321" s="32" t="n">
        <f aca="false">F321+I321</f>
        <v>51.0303850920627</v>
      </c>
      <c r="K321" s="32" t="n">
        <f aca="false">F321</f>
        <v>0</v>
      </c>
      <c r="L321" s="32" t="n">
        <f aca="false">C321*1000000/dt_s+J321/2</f>
        <v>9227.30630365714</v>
      </c>
      <c r="M321" s="32" t="n">
        <f aca="false">C321*1000000/dt_s+K321/2</f>
        <v>9201.7911111111</v>
      </c>
    </row>
    <row r="322" customFormat="false" ht="15" hidden="false" customHeight="false" outlineLevel="0" collapsed="false">
      <c r="A322" s="24" t="n">
        <f aca="false">ROUND(A321+0.01,2)</f>
        <v>74.17</v>
      </c>
      <c r="B322" s="25" t="n">
        <f aca="false">INDEX(Bang_F,MATCH(A322,Bang_Z,1))+(A322-INDEX(Bang_Z,MATCH(A322,Bang_Z,1)))*(INDEX(Bang_F,MATCH(A322,Bang_Z,1)+1)-INDEX(Bang_F,MATCH(A322,Bang_Z,1)))</f>
        <v>5.9122</v>
      </c>
      <c r="C322" s="25" t="n">
        <f aca="false">INDEX(Bang_W,MATCH(A322,Bang_Z,1))+(A322-INDEX(Bang_Z,MATCH(A322,Bang_Z,1)))*(INDEX(Bang_F,MATCH(A322,Bang_Z,1))+B322)/2</f>
        <v>33.185537</v>
      </c>
      <c r="D322" s="26" t="n">
        <f aca="false">MAX(A322-TC_Z,0)</f>
        <v>0</v>
      </c>
      <c r="E322" s="27" t="n">
        <f aca="false">1-0.2*(TC_xmb+(TC_n-1)*TC_xmt)*D322/(TC_n*TC_b)</f>
        <v>1</v>
      </c>
      <c r="F322" s="28" t="n">
        <f aca="false">TC_s*E322*TC_m*TC_n*TC_b*SQRT(2*g_)*D322^1.5</f>
        <v>0</v>
      </c>
      <c r="G322" s="29" t="n">
        <f aca="false">MAX(A322-SC_Z,0)</f>
        <v>3.17</v>
      </c>
      <c r="H322" s="30" t="n">
        <f aca="false">1-0.2*(SC_xmb+(SC_n-1)*SC_xmt)*G322/(SC_n*SC_b)</f>
        <v>0.91124</v>
      </c>
      <c r="I322" s="31" t="n">
        <f aca="false">SC_s*H322*SC_m*SC_n*SC_b*SQRT(2*g_)*G322^1.5</f>
        <v>51.2570595301655</v>
      </c>
      <c r="J322" s="32" t="n">
        <f aca="false">F322+I322</f>
        <v>51.2570595301655</v>
      </c>
      <c r="K322" s="32" t="n">
        <f aca="false">F322</f>
        <v>0</v>
      </c>
      <c r="L322" s="32" t="n">
        <f aca="false">C322*1000000/dt_s+J322/2</f>
        <v>9243.83325198731</v>
      </c>
      <c r="M322" s="32" t="n">
        <f aca="false">C322*1000000/dt_s+K322/2</f>
        <v>9218.20472222223</v>
      </c>
    </row>
    <row r="323" customFormat="false" ht="15" hidden="false" customHeight="false" outlineLevel="0" collapsed="false">
      <c r="A323" s="24" t="n">
        <f aca="false">ROUND(A322+0.01,2)</f>
        <v>74.18</v>
      </c>
      <c r="B323" s="25" t="n">
        <f aca="false">INDEX(Bang_F,MATCH(A323,Bang_Z,1))+(A323-INDEX(Bang_Z,MATCH(A323,Bang_Z,1)))*(INDEX(Bang_F,MATCH(A323,Bang_Z,1)+1)-INDEX(Bang_F,MATCH(A323,Bang_Z,1)))</f>
        <v>5.9188</v>
      </c>
      <c r="C323" s="25" t="n">
        <f aca="false">INDEX(Bang_W,MATCH(A323,Bang_Z,1))+(A323-INDEX(Bang_Z,MATCH(A323,Bang_Z,1)))*(INDEX(Bang_F,MATCH(A323,Bang_Z,1))+B323)/2</f>
        <v>33.244692</v>
      </c>
      <c r="D323" s="26" t="n">
        <f aca="false">MAX(A323-TC_Z,0)</f>
        <v>0</v>
      </c>
      <c r="E323" s="27" t="n">
        <f aca="false">1-0.2*(TC_xmb+(TC_n-1)*TC_xmt)*D323/(TC_n*TC_b)</f>
        <v>1</v>
      </c>
      <c r="F323" s="28" t="n">
        <f aca="false">TC_s*E323*TC_m*TC_n*TC_b*SQRT(2*g_)*D323^1.5</f>
        <v>0</v>
      </c>
      <c r="G323" s="29" t="n">
        <f aca="false">MAX(A323-SC_Z,0)</f>
        <v>3.18000000000001</v>
      </c>
      <c r="H323" s="30" t="n">
        <f aca="false">1-0.2*(SC_xmb+(SC_n-1)*SC_xmt)*G323/(SC_n*SC_b)</f>
        <v>0.91096</v>
      </c>
      <c r="I323" s="31" t="n">
        <f aca="false">SC_s*H323*SC_m*SC_n*SC_b*SQRT(2*g_)*G323^1.5</f>
        <v>51.4839674727357</v>
      </c>
      <c r="J323" s="32" t="n">
        <f aca="false">F323+I323</f>
        <v>51.4839674727357</v>
      </c>
      <c r="K323" s="32" t="n">
        <f aca="false">F323</f>
        <v>0</v>
      </c>
      <c r="L323" s="32" t="n">
        <f aca="false">C323*1000000/dt_s+J323/2</f>
        <v>9260.37865040305</v>
      </c>
      <c r="M323" s="32" t="n">
        <f aca="false">C323*1000000/dt_s+K323/2</f>
        <v>9234.63666666668</v>
      </c>
    </row>
    <row r="324" customFormat="false" ht="15" hidden="false" customHeight="false" outlineLevel="0" collapsed="false">
      <c r="A324" s="24" t="n">
        <f aca="false">ROUND(A323+0.01,2)</f>
        <v>74.19</v>
      </c>
      <c r="B324" s="25" t="n">
        <f aca="false">INDEX(Bang_F,MATCH(A324,Bang_Z,1))+(A324-INDEX(Bang_Z,MATCH(A324,Bang_Z,1)))*(INDEX(Bang_F,MATCH(A324,Bang_Z,1)+1)-INDEX(Bang_F,MATCH(A324,Bang_Z,1)))</f>
        <v>5.9254</v>
      </c>
      <c r="C324" s="25" t="n">
        <f aca="false">INDEX(Bang_W,MATCH(A324,Bang_Z,1))+(A324-INDEX(Bang_Z,MATCH(A324,Bang_Z,1)))*(INDEX(Bang_F,MATCH(A324,Bang_Z,1))+B324)/2</f>
        <v>33.303913</v>
      </c>
      <c r="D324" s="26" t="n">
        <f aca="false">MAX(A324-TC_Z,0)</f>
        <v>0</v>
      </c>
      <c r="E324" s="27" t="n">
        <f aca="false">1-0.2*(TC_xmb+(TC_n-1)*TC_xmt)*D324/(TC_n*TC_b)</f>
        <v>1</v>
      </c>
      <c r="F324" s="28" t="n">
        <f aca="false">TC_s*E324*TC_m*TC_n*TC_b*SQRT(2*g_)*D324^1.5</f>
        <v>0</v>
      </c>
      <c r="G324" s="29" t="n">
        <f aca="false">MAX(A324-SC_Z,0)</f>
        <v>3.19</v>
      </c>
      <c r="H324" s="30" t="n">
        <f aca="false">1-0.2*(SC_xmb+(SC_n-1)*SC_xmt)*G324/(SC_n*SC_b)</f>
        <v>0.91068</v>
      </c>
      <c r="I324" s="31" t="n">
        <f aca="false">SC_s*H324*SC_m*SC_n*SC_b*SQRT(2*g_)*G324^1.5</f>
        <v>51.7111079655129</v>
      </c>
      <c r="J324" s="32" t="n">
        <f aca="false">F324+I324</f>
        <v>51.7111079655129</v>
      </c>
      <c r="K324" s="32" t="n">
        <f aca="false">F324</f>
        <v>0</v>
      </c>
      <c r="L324" s="32" t="n">
        <f aca="false">C324*1000000/dt_s+J324/2</f>
        <v>9276.9424984272</v>
      </c>
      <c r="M324" s="32" t="n">
        <f aca="false">C324*1000000/dt_s+K324/2</f>
        <v>9251.08694444444</v>
      </c>
    </row>
    <row r="325" customFormat="false" ht="15" hidden="false" customHeight="false" outlineLevel="0" collapsed="false">
      <c r="A325" s="24" t="n">
        <f aca="false">ROUND(A324+0.01,2)</f>
        <v>74.2</v>
      </c>
      <c r="B325" s="25" t="n">
        <f aca="false">INDEX(Bang_F,MATCH(A325,Bang_Z,1))+(A325-INDEX(Bang_Z,MATCH(A325,Bang_Z,1)))*(INDEX(Bang_F,MATCH(A325,Bang_Z,1)+1)-INDEX(Bang_F,MATCH(A325,Bang_Z,1)))</f>
        <v>5.932</v>
      </c>
      <c r="C325" s="25" t="n">
        <f aca="false">INDEX(Bang_W,MATCH(A325,Bang_Z,1))+(A325-INDEX(Bang_Z,MATCH(A325,Bang_Z,1)))*(INDEX(Bang_F,MATCH(A325,Bang_Z,1))+B325)/2</f>
        <v>33.3632</v>
      </c>
      <c r="D325" s="26" t="n">
        <f aca="false">MAX(A325-TC_Z,0)</f>
        <v>0</v>
      </c>
      <c r="E325" s="27" t="n">
        <f aca="false">1-0.2*(TC_xmb+(TC_n-1)*TC_xmt)*D325/(TC_n*TC_b)</f>
        <v>1</v>
      </c>
      <c r="F325" s="28" t="n">
        <f aca="false">TC_s*E325*TC_m*TC_n*TC_b*SQRT(2*g_)*D325^1.5</f>
        <v>0</v>
      </c>
      <c r="G325" s="29" t="n">
        <f aca="false">MAX(A325-SC_Z,0)</f>
        <v>3.2</v>
      </c>
      <c r="H325" s="30" t="n">
        <f aca="false">1-0.2*(SC_xmb+(SC_n-1)*SC_xmt)*G325/(SC_n*SC_b)</f>
        <v>0.9104</v>
      </c>
      <c r="I325" s="31" t="n">
        <f aca="false">SC_s*H325*SC_m*SC_n*SC_b*SQRT(2*g_)*G325^1.5</f>
        <v>51.9384800578078</v>
      </c>
      <c r="J325" s="32" t="n">
        <f aca="false">F325+I325</f>
        <v>51.9384800578078</v>
      </c>
      <c r="K325" s="32" t="n">
        <f aca="false">F325</f>
        <v>0</v>
      </c>
      <c r="L325" s="32" t="n">
        <f aca="false">C325*1000000/dt_s+J325/2</f>
        <v>9293.52479558446</v>
      </c>
      <c r="M325" s="32" t="n">
        <f aca="false">C325*1000000/dt_s+K325/2</f>
        <v>9267.55555555556</v>
      </c>
    </row>
    <row r="326" customFormat="false" ht="15" hidden="false" customHeight="false" outlineLevel="0" collapsed="false">
      <c r="A326" s="24" t="n">
        <f aca="false">ROUND(A325+0.01,2)</f>
        <v>74.21</v>
      </c>
      <c r="B326" s="25" t="n">
        <f aca="false">INDEX(Bang_F,MATCH(A326,Bang_Z,1))+(A326-INDEX(Bang_Z,MATCH(A326,Bang_Z,1)))*(INDEX(Bang_F,MATCH(A326,Bang_Z,1)+1)-INDEX(Bang_F,MATCH(A326,Bang_Z,1)))</f>
        <v>5.9386</v>
      </c>
      <c r="C326" s="25" t="n">
        <f aca="false">INDEX(Bang_W,MATCH(A326,Bang_Z,1))+(A326-INDEX(Bang_Z,MATCH(A326,Bang_Z,1)))*(INDEX(Bang_F,MATCH(A326,Bang_Z,1))+B326)/2</f>
        <v>33.422553</v>
      </c>
      <c r="D326" s="26" t="n">
        <f aca="false">MAX(A326-TC_Z,0)</f>
        <v>0</v>
      </c>
      <c r="E326" s="27" t="n">
        <f aca="false">1-0.2*(TC_xmb+(TC_n-1)*TC_xmt)*D326/(TC_n*TC_b)</f>
        <v>1</v>
      </c>
      <c r="F326" s="28" t="n">
        <f aca="false">TC_s*E326*TC_m*TC_n*TC_b*SQRT(2*g_)*D326^1.5</f>
        <v>0</v>
      </c>
      <c r="G326" s="29" t="n">
        <f aca="false">MAX(A326-SC_Z,0)</f>
        <v>3.20999999999999</v>
      </c>
      <c r="H326" s="30" t="n">
        <f aca="false">1-0.2*(SC_xmb+(SC_n-1)*SC_xmt)*G326/(SC_n*SC_b)</f>
        <v>0.91012</v>
      </c>
      <c r="I326" s="31" t="n">
        <f aca="false">SC_s*H326*SC_m*SC_n*SC_b*SQRT(2*g_)*G326^1.5</f>
        <v>52.1660828024735</v>
      </c>
      <c r="J326" s="32" t="n">
        <f aca="false">F326+I326</f>
        <v>52.1660828024735</v>
      </c>
      <c r="K326" s="32" t="n">
        <f aca="false">F326</f>
        <v>0</v>
      </c>
      <c r="L326" s="32" t="n">
        <f aca="false">C326*1000000/dt_s+J326/2</f>
        <v>9310.12554140123</v>
      </c>
      <c r="M326" s="32" t="n">
        <f aca="false">C326*1000000/dt_s+K326/2</f>
        <v>9284.04249999999</v>
      </c>
    </row>
    <row r="327" customFormat="false" ht="15" hidden="false" customHeight="false" outlineLevel="0" collapsed="false">
      <c r="A327" s="24" t="n">
        <f aca="false">ROUND(A326+0.01,2)</f>
        <v>74.22</v>
      </c>
      <c r="B327" s="25" t="n">
        <f aca="false">INDEX(Bang_F,MATCH(A327,Bang_Z,1))+(A327-INDEX(Bang_Z,MATCH(A327,Bang_Z,1)))*(INDEX(Bang_F,MATCH(A327,Bang_Z,1)+1)-INDEX(Bang_F,MATCH(A327,Bang_Z,1)))</f>
        <v>5.9452</v>
      </c>
      <c r="C327" s="25" t="n">
        <f aca="false">INDEX(Bang_W,MATCH(A327,Bang_Z,1))+(A327-INDEX(Bang_Z,MATCH(A327,Bang_Z,1)))*(INDEX(Bang_F,MATCH(A327,Bang_Z,1))+B327)/2</f>
        <v>33.481972</v>
      </c>
      <c r="D327" s="26" t="n">
        <f aca="false">MAX(A327-TC_Z,0)</f>
        <v>0</v>
      </c>
      <c r="E327" s="27" t="n">
        <f aca="false">1-0.2*(TC_xmb+(TC_n-1)*TC_xmt)*D327/(TC_n*TC_b)</f>
        <v>1</v>
      </c>
      <c r="F327" s="28" t="n">
        <f aca="false">TC_s*E327*TC_m*TC_n*TC_b*SQRT(2*g_)*D327^1.5</f>
        <v>0</v>
      </c>
      <c r="G327" s="29" t="n">
        <f aca="false">MAX(A327-SC_Z,0)</f>
        <v>3.22</v>
      </c>
      <c r="H327" s="30" t="n">
        <f aca="false">1-0.2*(SC_xmb+(SC_n-1)*SC_xmt)*G327/(SC_n*SC_b)</f>
        <v>0.90984</v>
      </c>
      <c r="I327" s="31" t="n">
        <f aca="false">SC_s*H327*SC_m*SC_n*SC_b*SQRT(2*g_)*G327^1.5</f>
        <v>52.3939152558818</v>
      </c>
      <c r="J327" s="32" t="n">
        <f aca="false">F327+I327</f>
        <v>52.3939152558818</v>
      </c>
      <c r="K327" s="32" t="n">
        <f aca="false">F327</f>
        <v>0</v>
      </c>
      <c r="L327" s="32" t="n">
        <f aca="false">C327*1000000/dt_s+J327/2</f>
        <v>9326.74473540572</v>
      </c>
      <c r="M327" s="32" t="n">
        <f aca="false">C327*1000000/dt_s+K327/2</f>
        <v>9300.54777777778</v>
      </c>
    </row>
    <row r="328" customFormat="false" ht="15" hidden="false" customHeight="false" outlineLevel="0" collapsed="false">
      <c r="A328" s="24" t="n">
        <f aca="false">ROUND(A327+0.01,2)</f>
        <v>74.23</v>
      </c>
      <c r="B328" s="25" t="n">
        <f aca="false">INDEX(Bang_F,MATCH(A328,Bang_Z,1))+(A328-INDEX(Bang_Z,MATCH(A328,Bang_Z,1)))*(INDEX(Bang_F,MATCH(A328,Bang_Z,1)+1)-INDEX(Bang_F,MATCH(A328,Bang_Z,1)))</f>
        <v>5.9518</v>
      </c>
      <c r="C328" s="25" t="n">
        <f aca="false">INDEX(Bang_W,MATCH(A328,Bang_Z,1))+(A328-INDEX(Bang_Z,MATCH(A328,Bang_Z,1)))*(INDEX(Bang_F,MATCH(A328,Bang_Z,1))+B328)/2</f>
        <v>33.541457</v>
      </c>
      <c r="D328" s="26" t="n">
        <f aca="false">MAX(A328-TC_Z,0)</f>
        <v>0</v>
      </c>
      <c r="E328" s="27" t="n">
        <f aca="false">1-0.2*(TC_xmb+(TC_n-1)*TC_xmt)*D328/(TC_n*TC_b)</f>
        <v>1</v>
      </c>
      <c r="F328" s="28" t="n">
        <f aca="false">TC_s*E328*TC_m*TC_n*TC_b*SQRT(2*g_)*D328^1.5</f>
        <v>0</v>
      </c>
      <c r="G328" s="29" t="n">
        <f aca="false">MAX(A328-SC_Z,0)</f>
        <v>3.23</v>
      </c>
      <c r="H328" s="30" t="n">
        <f aca="false">1-0.2*(SC_xmb+(SC_n-1)*SC_xmt)*G328/(SC_n*SC_b)</f>
        <v>0.90956</v>
      </c>
      <c r="I328" s="31" t="n">
        <f aca="false">SC_s*H328*SC_m*SC_n*SC_b*SQRT(2*g_)*G328^1.5</f>
        <v>52.6219764778952</v>
      </c>
      <c r="J328" s="32" t="n">
        <f aca="false">F328+I328</f>
        <v>52.6219764778952</v>
      </c>
      <c r="K328" s="32" t="n">
        <f aca="false">F328</f>
        <v>0</v>
      </c>
      <c r="L328" s="32" t="n">
        <f aca="false">C328*1000000/dt_s+J328/2</f>
        <v>9343.38237712784</v>
      </c>
      <c r="M328" s="32" t="n">
        <f aca="false">C328*1000000/dt_s+K328/2</f>
        <v>9317.0713888889</v>
      </c>
    </row>
    <row r="329" customFormat="false" ht="15" hidden="false" customHeight="false" outlineLevel="0" collapsed="false">
      <c r="A329" s="24" t="n">
        <f aca="false">ROUND(A328+0.01,2)</f>
        <v>74.24</v>
      </c>
      <c r="B329" s="25" t="n">
        <f aca="false">INDEX(Bang_F,MATCH(A329,Bang_Z,1))+(A329-INDEX(Bang_Z,MATCH(A329,Bang_Z,1)))*(INDEX(Bang_F,MATCH(A329,Bang_Z,1)+1)-INDEX(Bang_F,MATCH(A329,Bang_Z,1)))</f>
        <v>5.9584</v>
      </c>
      <c r="C329" s="25" t="n">
        <f aca="false">INDEX(Bang_W,MATCH(A329,Bang_Z,1))+(A329-INDEX(Bang_Z,MATCH(A329,Bang_Z,1)))*(INDEX(Bang_F,MATCH(A329,Bang_Z,1))+B329)/2</f>
        <v>33.601008</v>
      </c>
      <c r="D329" s="26" t="n">
        <f aca="false">MAX(A329-TC_Z,0)</f>
        <v>0</v>
      </c>
      <c r="E329" s="27" t="n">
        <f aca="false">1-0.2*(TC_xmb+(TC_n-1)*TC_xmt)*D329/(TC_n*TC_b)</f>
        <v>1</v>
      </c>
      <c r="F329" s="28" t="n">
        <f aca="false">TC_s*E329*TC_m*TC_n*TC_b*SQRT(2*g_)*D329^1.5</f>
        <v>0</v>
      </c>
      <c r="G329" s="29" t="n">
        <f aca="false">MAX(A329-SC_Z,0)</f>
        <v>3.24</v>
      </c>
      <c r="H329" s="30" t="n">
        <f aca="false">1-0.2*(SC_xmb+(SC_n-1)*SC_xmt)*G329/(SC_n*SC_b)</f>
        <v>0.90928</v>
      </c>
      <c r="I329" s="31" t="n">
        <f aca="false">SC_s*H329*SC_m*SC_n*SC_b*SQRT(2*g_)*G329^1.5</f>
        <v>52.850265531842</v>
      </c>
      <c r="J329" s="32" t="n">
        <f aca="false">F329+I329</f>
        <v>52.850265531842</v>
      </c>
      <c r="K329" s="32" t="n">
        <f aca="false">F329</f>
        <v>0</v>
      </c>
      <c r="L329" s="32" t="n">
        <f aca="false">C329*1000000/dt_s+J329/2</f>
        <v>9360.03846609924</v>
      </c>
      <c r="M329" s="32" t="n">
        <f aca="false">C329*1000000/dt_s+K329/2</f>
        <v>9333.61333333332</v>
      </c>
    </row>
    <row r="330" customFormat="false" ht="15" hidden="false" customHeight="false" outlineLevel="0" collapsed="false">
      <c r="A330" s="24" t="n">
        <f aca="false">ROUND(A329+0.01,2)</f>
        <v>74.25</v>
      </c>
      <c r="B330" s="25" t="n">
        <f aca="false">INDEX(Bang_F,MATCH(A330,Bang_Z,1))+(A330-INDEX(Bang_Z,MATCH(A330,Bang_Z,1)))*(INDEX(Bang_F,MATCH(A330,Bang_Z,1)+1)-INDEX(Bang_F,MATCH(A330,Bang_Z,1)))</f>
        <v>5.965</v>
      </c>
      <c r="C330" s="25" t="n">
        <f aca="false">INDEX(Bang_W,MATCH(A330,Bang_Z,1))+(A330-INDEX(Bang_Z,MATCH(A330,Bang_Z,1)))*(INDEX(Bang_F,MATCH(A330,Bang_Z,1))+B330)/2</f>
        <v>33.660625</v>
      </c>
      <c r="D330" s="26" t="n">
        <f aca="false">MAX(A330-TC_Z,0)</f>
        <v>0</v>
      </c>
      <c r="E330" s="27" t="n">
        <f aca="false">1-0.2*(TC_xmb+(TC_n-1)*TC_xmt)*D330/(TC_n*TC_b)</f>
        <v>1</v>
      </c>
      <c r="F330" s="28" t="n">
        <f aca="false">TC_s*E330*TC_m*TC_n*TC_b*SQRT(2*g_)*D330^1.5</f>
        <v>0</v>
      </c>
      <c r="G330" s="29" t="n">
        <f aca="false">MAX(A330-SC_Z,0)</f>
        <v>3.25</v>
      </c>
      <c r="H330" s="30" t="n">
        <f aca="false">1-0.2*(SC_xmb+(SC_n-1)*SC_xmt)*G330/(SC_n*SC_b)</f>
        <v>0.909</v>
      </c>
      <c r="I330" s="31" t="n">
        <f aca="false">SC_s*H330*SC_m*SC_n*SC_b*SQRT(2*g_)*G330^1.5</f>
        <v>53.0787814844921</v>
      </c>
      <c r="J330" s="32" t="n">
        <f aca="false">F330+I330</f>
        <v>53.0787814844921</v>
      </c>
      <c r="K330" s="32" t="n">
        <f aca="false">F330</f>
        <v>0</v>
      </c>
      <c r="L330" s="32" t="n">
        <f aca="false">C330*1000000/dt_s+J330/2</f>
        <v>9376.71300185336</v>
      </c>
      <c r="M330" s="32" t="n">
        <f aca="false">C330*1000000/dt_s+K330/2</f>
        <v>9350.17361111111</v>
      </c>
    </row>
    <row r="331" customFormat="false" ht="15" hidden="false" customHeight="false" outlineLevel="0" collapsed="false">
      <c r="A331" s="24" t="n">
        <f aca="false">ROUND(A330+0.01,2)</f>
        <v>74.26</v>
      </c>
      <c r="B331" s="25" t="n">
        <f aca="false">INDEX(Bang_F,MATCH(A331,Bang_Z,1))+(A331-INDEX(Bang_Z,MATCH(A331,Bang_Z,1)))*(INDEX(Bang_F,MATCH(A331,Bang_Z,1)+1)-INDEX(Bang_F,MATCH(A331,Bang_Z,1)))</f>
        <v>5.9716</v>
      </c>
      <c r="C331" s="25" t="n">
        <f aca="false">INDEX(Bang_W,MATCH(A331,Bang_Z,1))+(A331-INDEX(Bang_Z,MATCH(A331,Bang_Z,1)))*(INDEX(Bang_F,MATCH(A331,Bang_Z,1))+B331)/2</f>
        <v>33.720308</v>
      </c>
      <c r="D331" s="26" t="n">
        <f aca="false">MAX(A331-TC_Z,0)</f>
        <v>0</v>
      </c>
      <c r="E331" s="27" t="n">
        <f aca="false">1-0.2*(TC_xmb+(TC_n-1)*TC_xmt)*D331/(TC_n*TC_b)</f>
        <v>1</v>
      </c>
      <c r="F331" s="28" t="n">
        <f aca="false">TC_s*E331*TC_m*TC_n*TC_b*SQRT(2*g_)*D331^1.5</f>
        <v>0</v>
      </c>
      <c r="G331" s="29" t="n">
        <f aca="false">MAX(A331-SC_Z,0)</f>
        <v>3.26000000000001</v>
      </c>
      <c r="H331" s="30" t="n">
        <f aca="false">1-0.2*(SC_xmb+(SC_n-1)*SC_xmt)*G331/(SC_n*SC_b)</f>
        <v>0.90872</v>
      </c>
      <c r="I331" s="31" t="n">
        <f aca="false">SC_s*H331*SC_m*SC_n*SC_b*SQRT(2*g_)*G331^1.5</f>
        <v>53.3075234060299</v>
      </c>
      <c r="J331" s="32" t="n">
        <f aca="false">F331+I331</f>
        <v>53.3075234060299</v>
      </c>
      <c r="K331" s="32" t="n">
        <f aca="false">F331</f>
        <v>0</v>
      </c>
      <c r="L331" s="32" t="n">
        <f aca="false">C331*1000000/dt_s+J331/2</f>
        <v>9393.40598392525</v>
      </c>
      <c r="M331" s="32" t="n">
        <f aca="false">C331*1000000/dt_s+K331/2</f>
        <v>9366.75222222223</v>
      </c>
    </row>
    <row r="332" customFormat="false" ht="15" hidden="false" customHeight="false" outlineLevel="0" collapsed="false">
      <c r="A332" s="24" t="n">
        <f aca="false">ROUND(A331+0.01,2)</f>
        <v>74.27</v>
      </c>
      <c r="B332" s="25" t="n">
        <f aca="false">INDEX(Bang_F,MATCH(A332,Bang_Z,1))+(A332-INDEX(Bang_Z,MATCH(A332,Bang_Z,1)))*(INDEX(Bang_F,MATCH(A332,Bang_Z,1)+1)-INDEX(Bang_F,MATCH(A332,Bang_Z,1)))</f>
        <v>5.9782</v>
      </c>
      <c r="C332" s="25" t="n">
        <f aca="false">INDEX(Bang_W,MATCH(A332,Bang_Z,1))+(A332-INDEX(Bang_Z,MATCH(A332,Bang_Z,1)))*(INDEX(Bang_F,MATCH(A332,Bang_Z,1))+B332)/2</f>
        <v>33.780057</v>
      </c>
      <c r="D332" s="26" t="n">
        <f aca="false">MAX(A332-TC_Z,0)</f>
        <v>0</v>
      </c>
      <c r="E332" s="27" t="n">
        <f aca="false">1-0.2*(TC_xmb+(TC_n-1)*TC_xmt)*D332/(TC_n*TC_b)</f>
        <v>1</v>
      </c>
      <c r="F332" s="28" t="n">
        <f aca="false">TC_s*E332*TC_m*TC_n*TC_b*SQRT(2*g_)*D332^1.5</f>
        <v>0</v>
      </c>
      <c r="G332" s="29" t="n">
        <f aca="false">MAX(A332-SC_Z,0)</f>
        <v>3.27</v>
      </c>
      <c r="H332" s="30" t="n">
        <f aca="false">1-0.2*(SC_xmb+(SC_n-1)*SC_xmt)*G332/(SC_n*SC_b)</f>
        <v>0.90844</v>
      </c>
      <c r="I332" s="31" t="n">
        <f aca="false">SC_s*H332*SC_m*SC_n*SC_b*SQRT(2*g_)*G332^1.5</f>
        <v>53.5364903700304</v>
      </c>
      <c r="J332" s="32" t="n">
        <f aca="false">F332+I332</f>
        <v>53.5364903700304</v>
      </c>
      <c r="K332" s="32" t="n">
        <f aca="false">F332</f>
        <v>0</v>
      </c>
      <c r="L332" s="32" t="n">
        <f aca="false">C332*1000000/dt_s+J332/2</f>
        <v>9410.11741185167</v>
      </c>
      <c r="M332" s="32" t="n">
        <f aca="false">C332*1000000/dt_s+K332/2</f>
        <v>9383.34916666666</v>
      </c>
    </row>
    <row r="333" customFormat="false" ht="15" hidden="false" customHeight="false" outlineLevel="0" collapsed="false">
      <c r="A333" s="24" t="n">
        <f aca="false">ROUND(A332+0.01,2)</f>
        <v>74.28</v>
      </c>
      <c r="B333" s="25" t="n">
        <f aca="false">INDEX(Bang_F,MATCH(A333,Bang_Z,1))+(A333-INDEX(Bang_Z,MATCH(A333,Bang_Z,1)))*(INDEX(Bang_F,MATCH(A333,Bang_Z,1)+1)-INDEX(Bang_F,MATCH(A333,Bang_Z,1)))</f>
        <v>5.9848</v>
      </c>
      <c r="C333" s="25" t="n">
        <f aca="false">INDEX(Bang_W,MATCH(A333,Bang_Z,1))+(A333-INDEX(Bang_Z,MATCH(A333,Bang_Z,1)))*(INDEX(Bang_F,MATCH(A333,Bang_Z,1))+B333)/2</f>
        <v>33.839872</v>
      </c>
      <c r="D333" s="26" t="n">
        <f aca="false">MAX(A333-TC_Z,0)</f>
        <v>0</v>
      </c>
      <c r="E333" s="27" t="n">
        <f aca="false">1-0.2*(TC_xmb+(TC_n-1)*TC_xmt)*D333/(TC_n*TC_b)</f>
        <v>1</v>
      </c>
      <c r="F333" s="28" t="n">
        <f aca="false">TC_s*E333*TC_m*TC_n*TC_b*SQRT(2*g_)*D333^1.5</f>
        <v>0</v>
      </c>
      <c r="G333" s="29" t="n">
        <f aca="false">MAX(A333-SC_Z,0)</f>
        <v>3.28</v>
      </c>
      <c r="H333" s="30" t="n">
        <f aca="false">1-0.2*(SC_xmb+(SC_n-1)*SC_xmt)*G333/(SC_n*SC_b)</f>
        <v>0.90816</v>
      </c>
      <c r="I333" s="31" t="n">
        <f aca="false">SC_s*H333*SC_m*SC_n*SC_b*SQRT(2*g_)*G333^1.5</f>
        <v>53.7656814534355</v>
      </c>
      <c r="J333" s="32" t="n">
        <f aca="false">F333+I333</f>
        <v>53.7656814534355</v>
      </c>
      <c r="K333" s="32" t="n">
        <f aca="false">F333</f>
        <v>0</v>
      </c>
      <c r="L333" s="32" t="n">
        <f aca="false">C333*1000000/dt_s+J333/2</f>
        <v>9426.84728517116</v>
      </c>
      <c r="M333" s="32" t="n">
        <f aca="false">C333*1000000/dt_s+K333/2</f>
        <v>9399.96444444445</v>
      </c>
    </row>
    <row r="334" customFormat="false" ht="15" hidden="false" customHeight="false" outlineLevel="0" collapsed="false">
      <c r="A334" s="24" t="n">
        <f aca="false">ROUND(A333+0.01,2)</f>
        <v>74.29</v>
      </c>
      <c r="B334" s="25" t="n">
        <f aca="false">INDEX(Bang_F,MATCH(A334,Bang_Z,1))+(A334-INDEX(Bang_Z,MATCH(A334,Bang_Z,1)))*(INDEX(Bang_F,MATCH(A334,Bang_Z,1)+1)-INDEX(Bang_F,MATCH(A334,Bang_Z,1)))</f>
        <v>5.9914</v>
      </c>
      <c r="C334" s="25" t="n">
        <f aca="false">INDEX(Bang_W,MATCH(A334,Bang_Z,1))+(A334-INDEX(Bang_Z,MATCH(A334,Bang_Z,1)))*(INDEX(Bang_F,MATCH(A334,Bang_Z,1))+B334)/2</f>
        <v>33.899753</v>
      </c>
      <c r="D334" s="26" t="n">
        <f aca="false">MAX(A334-TC_Z,0)</f>
        <v>0</v>
      </c>
      <c r="E334" s="27" t="n">
        <f aca="false">1-0.2*(TC_xmb+(TC_n-1)*TC_xmt)*D334/(TC_n*TC_b)</f>
        <v>1</v>
      </c>
      <c r="F334" s="28" t="n">
        <f aca="false">TC_s*E334*TC_m*TC_n*TC_b*SQRT(2*g_)*D334^1.5</f>
        <v>0</v>
      </c>
      <c r="G334" s="29" t="n">
        <f aca="false">MAX(A334-SC_Z,0)</f>
        <v>3.29000000000001</v>
      </c>
      <c r="H334" s="30" t="n">
        <f aca="false">1-0.2*(SC_xmb+(SC_n-1)*SC_xmt)*G334/(SC_n*SC_b)</f>
        <v>0.90788</v>
      </c>
      <c r="I334" s="31" t="n">
        <f aca="false">SC_s*H334*SC_m*SC_n*SC_b*SQRT(2*g_)*G334^1.5</f>
        <v>53.9950957365281</v>
      </c>
      <c r="J334" s="32" t="n">
        <f aca="false">F334+I334</f>
        <v>53.9950957365281</v>
      </c>
      <c r="K334" s="32" t="n">
        <f aca="false">F334</f>
        <v>0</v>
      </c>
      <c r="L334" s="32" t="n">
        <f aca="false">C334*1000000/dt_s+J334/2</f>
        <v>9443.59560342383</v>
      </c>
      <c r="M334" s="32" t="n">
        <f aca="false">C334*1000000/dt_s+K334/2</f>
        <v>9416.59805555556</v>
      </c>
    </row>
    <row r="335" customFormat="false" ht="15" hidden="false" customHeight="false" outlineLevel="0" collapsed="false">
      <c r="A335" s="24" t="n">
        <f aca="false">ROUND(A334+0.01,2)</f>
        <v>74.3</v>
      </c>
      <c r="B335" s="25" t="n">
        <f aca="false">INDEX(Bang_F,MATCH(A335,Bang_Z,1))+(A335-INDEX(Bang_Z,MATCH(A335,Bang_Z,1)))*(INDEX(Bang_F,MATCH(A335,Bang_Z,1)+1)-INDEX(Bang_F,MATCH(A335,Bang_Z,1)))</f>
        <v>5.998</v>
      </c>
      <c r="C335" s="25" t="n">
        <f aca="false">INDEX(Bang_W,MATCH(A335,Bang_Z,1))+(A335-INDEX(Bang_Z,MATCH(A335,Bang_Z,1)))*(INDEX(Bang_F,MATCH(A335,Bang_Z,1))+B335)/2</f>
        <v>33.9597</v>
      </c>
      <c r="D335" s="26" t="n">
        <f aca="false">MAX(A335-TC_Z,0)</f>
        <v>0</v>
      </c>
      <c r="E335" s="27" t="n">
        <f aca="false">1-0.2*(TC_xmb+(TC_n-1)*TC_xmt)*D335/(TC_n*TC_b)</f>
        <v>1</v>
      </c>
      <c r="F335" s="28" t="n">
        <f aca="false">TC_s*E335*TC_m*TC_n*TC_b*SQRT(2*g_)*D335^1.5</f>
        <v>0</v>
      </c>
      <c r="G335" s="29" t="n">
        <f aca="false">MAX(A335-SC_Z,0)</f>
        <v>3.3</v>
      </c>
      <c r="H335" s="30" t="n">
        <f aca="false">1-0.2*(SC_xmb+(SC_n-1)*SC_xmt)*G335/(SC_n*SC_b)</f>
        <v>0.9076</v>
      </c>
      <c r="I335" s="31" t="n">
        <f aca="false">SC_s*H335*SC_m*SC_n*SC_b*SQRT(2*g_)*G335^1.5</f>
        <v>54.2247323029085</v>
      </c>
      <c r="J335" s="32" t="n">
        <f aca="false">F335+I335</f>
        <v>54.2247323029085</v>
      </c>
      <c r="K335" s="32" t="n">
        <f aca="false">F335</f>
        <v>0</v>
      </c>
      <c r="L335" s="32" t="n">
        <f aca="false">C335*1000000/dt_s+J335/2</f>
        <v>9460.36236615145</v>
      </c>
      <c r="M335" s="32" t="n">
        <f aca="false">C335*1000000/dt_s+K335/2</f>
        <v>9433.25</v>
      </c>
    </row>
    <row r="336" customFormat="false" ht="15" hidden="false" customHeight="false" outlineLevel="0" collapsed="false">
      <c r="A336" s="24" t="n">
        <f aca="false">ROUND(A335+0.01,2)</f>
        <v>74.31</v>
      </c>
      <c r="B336" s="25" t="n">
        <f aca="false">INDEX(Bang_F,MATCH(A336,Bang_Z,1))+(A336-INDEX(Bang_Z,MATCH(A336,Bang_Z,1)))*(INDEX(Bang_F,MATCH(A336,Bang_Z,1)+1)-INDEX(Bang_F,MATCH(A336,Bang_Z,1)))</f>
        <v>6.0046</v>
      </c>
      <c r="C336" s="25" t="n">
        <f aca="false">INDEX(Bang_W,MATCH(A336,Bang_Z,1))+(A336-INDEX(Bang_Z,MATCH(A336,Bang_Z,1)))*(INDEX(Bang_F,MATCH(A336,Bang_Z,1))+B336)/2</f>
        <v>34.019713</v>
      </c>
      <c r="D336" s="26" t="n">
        <f aca="false">MAX(A336-TC_Z,0)</f>
        <v>0</v>
      </c>
      <c r="E336" s="27" t="n">
        <f aca="false">1-0.2*(TC_xmb+(TC_n-1)*TC_xmt)*D336/(TC_n*TC_b)</f>
        <v>1</v>
      </c>
      <c r="F336" s="28" t="n">
        <f aca="false">TC_s*E336*TC_m*TC_n*TC_b*SQRT(2*g_)*D336^1.5</f>
        <v>0</v>
      </c>
      <c r="G336" s="29" t="n">
        <f aca="false">MAX(A336-SC_Z,0)</f>
        <v>3.31</v>
      </c>
      <c r="H336" s="30" t="n">
        <f aca="false">1-0.2*(SC_xmb+(SC_n-1)*SC_xmt)*G336/(SC_n*SC_b)</f>
        <v>0.90732</v>
      </c>
      <c r="I336" s="31" t="n">
        <f aca="false">SC_s*H336*SC_m*SC_n*SC_b*SQRT(2*g_)*G336^1.5</f>
        <v>54.4545902394719</v>
      </c>
      <c r="J336" s="32" t="n">
        <f aca="false">F336+I336</f>
        <v>54.4545902394719</v>
      </c>
      <c r="K336" s="32" t="n">
        <f aca="false">F336</f>
        <v>0</v>
      </c>
      <c r="L336" s="32" t="n">
        <f aca="false">C336*1000000/dt_s+J336/2</f>
        <v>9477.14757289752</v>
      </c>
      <c r="M336" s="32" t="n">
        <f aca="false">C336*1000000/dt_s+K336/2</f>
        <v>9449.92027777778</v>
      </c>
    </row>
    <row r="337" customFormat="false" ht="15" hidden="false" customHeight="false" outlineLevel="0" collapsed="false">
      <c r="A337" s="24" t="n">
        <f aca="false">ROUND(A336+0.01,2)</f>
        <v>74.32</v>
      </c>
      <c r="B337" s="25" t="n">
        <f aca="false">INDEX(Bang_F,MATCH(A337,Bang_Z,1))+(A337-INDEX(Bang_Z,MATCH(A337,Bang_Z,1)))*(INDEX(Bang_F,MATCH(A337,Bang_Z,1)+1)-INDEX(Bang_F,MATCH(A337,Bang_Z,1)))</f>
        <v>6.0112</v>
      </c>
      <c r="C337" s="25" t="n">
        <f aca="false">INDEX(Bang_W,MATCH(A337,Bang_Z,1))+(A337-INDEX(Bang_Z,MATCH(A337,Bang_Z,1)))*(INDEX(Bang_F,MATCH(A337,Bang_Z,1))+B337)/2</f>
        <v>34.079792</v>
      </c>
      <c r="D337" s="26" t="n">
        <f aca="false">MAX(A337-TC_Z,0)</f>
        <v>0</v>
      </c>
      <c r="E337" s="27" t="n">
        <f aca="false">1-0.2*(TC_xmb+(TC_n-1)*TC_xmt)*D337/(TC_n*TC_b)</f>
        <v>1</v>
      </c>
      <c r="F337" s="28" t="n">
        <f aca="false">TC_s*E337*TC_m*TC_n*TC_b*SQRT(2*g_)*D337^1.5</f>
        <v>0</v>
      </c>
      <c r="G337" s="29" t="n">
        <f aca="false">MAX(A337-SC_Z,0)</f>
        <v>3.31999999999999</v>
      </c>
      <c r="H337" s="30" t="n">
        <f aca="false">1-0.2*(SC_xmb+(SC_n-1)*SC_xmt)*G337/(SC_n*SC_b)</f>
        <v>0.90704</v>
      </c>
      <c r="I337" s="31" t="n">
        <f aca="false">SC_s*H337*SC_m*SC_n*SC_b*SQRT(2*g_)*G337^1.5</f>
        <v>54.6846686363823</v>
      </c>
      <c r="J337" s="32" t="n">
        <f aca="false">F337+I337</f>
        <v>54.6846686363823</v>
      </c>
      <c r="K337" s="32" t="n">
        <f aca="false">F337</f>
        <v>0</v>
      </c>
      <c r="L337" s="32" t="n">
        <f aca="false">C337*1000000/dt_s+J337/2</f>
        <v>9493.95122320707</v>
      </c>
      <c r="M337" s="32" t="n">
        <f aca="false">C337*1000000/dt_s+K337/2</f>
        <v>9466.60888888888</v>
      </c>
    </row>
    <row r="338" customFormat="false" ht="15" hidden="false" customHeight="false" outlineLevel="0" collapsed="false">
      <c r="A338" s="24" t="n">
        <f aca="false">ROUND(A337+0.01,2)</f>
        <v>74.33</v>
      </c>
      <c r="B338" s="25" t="n">
        <f aca="false">INDEX(Bang_F,MATCH(A338,Bang_Z,1))+(A338-INDEX(Bang_Z,MATCH(A338,Bang_Z,1)))*(INDEX(Bang_F,MATCH(A338,Bang_Z,1)+1)-INDEX(Bang_F,MATCH(A338,Bang_Z,1)))</f>
        <v>6.0178</v>
      </c>
      <c r="C338" s="25" t="n">
        <f aca="false">INDEX(Bang_W,MATCH(A338,Bang_Z,1))+(A338-INDEX(Bang_Z,MATCH(A338,Bang_Z,1)))*(INDEX(Bang_F,MATCH(A338,Bang_Z,1))+B338)/2</f>
        <v>34.139937</v>
      </c>
      <c r="D338" s="26" t="n">
        <f aca="false">MAX(A338-TC_Z,0)</f>
        <v>0</v>
      </c>
      <c r="E338" s="27" t="n">
        <f aca="false">1-0.2*(TC_xmb+(TC_n-1)*TC_xmt)*D338/(TC_n*TC_b)</f>
        <v>1</v>
      </c>
      <c r="F338" s="28" t="n">
        <f aca="false">TC_s*E338*TC_m*TC_n*TC_b*SQRT(2*g_)*D338^1.5</f>
        <v>0</v>
      </c>
      <c r="G338" s="29" t="n">
        <f aca="false">MAX(A338-SC_Z,0)</f>
        <v>3.33</v>
      </c>
      <c r="H338" s="30" t="n">
        <f aca="false">1-0.2*(SC_xmb+(SC_n-1)*SC_xmt)*G338/(SC_n*SC_b)</f>
        <v>0.90676</v>
      </c>
      <c r="I338" s="31" t="n">
        <f aca="false">SC_s*H338*SC_m*SC_n*SC_b*SQRT(2*g_)*G338^1.5</f>
        <v>54.9149665870522</v>
      </c>
      <c r="J338" s="32" t="n">
        <f aca="false">F338+I338</f>
        <v>54.9149665870522</v>
      </c>
      <c r="K338" s="32" t="n">
        <f aca="false">F338</f>
        <v>0</v>
      </c>
      <c r="L338" s="32" t="n">
        <f aca="false">C338*1000000/dt_s+J338/2</f>
        <v>9510.77331662686</v>
      </c>
      <c r="M338" s="32" t="n">
        <f aca="false">C338*1000000/dt_s+K338/2</f>
        <v>9483.31583333333</v>
      </c>
    </row>
    <row r="339" customFormat="false" ht="15" hidden="false" customHeight="false" outlineLevel="0" collapsed="false">
      <c r="A339" s="24" t="n">
        <f aca="false">ROUND(A338+0.01,2)</f>
        <v>74.34</v>
      </c>
      <c r="B339" s="25" t="n">
        <f aca="false">INDEX(Bang_F,MATCH(A339,Bang_Z,1))+(A339-INDEX(Bang_Z,MATCH(A339,Bang_Z,1)))*(INDEX(Bang_F,MATCH(A339,Bang_Z,1)+1)-INDEX(Bang_F,MATCH(A339,Bang_Z,1)))</f>
        <v>6.0244</v>
      </c>
      <c r="C339" s="25" t="n">
        <f aca="false">INDEX(Bang_W,MATCH(A339,Bang_Z,1))+(A339-INDEX(Bang_Z,MATCH(A339,Bang_Z,1)))*(INDEX(Bang_F,MATCH(A339,Bang_Z,1))+B339)/2</f>
        <v>34.200148</v>
      </c>
      <c r="D339" s="26" t="n">
        <f aca="false">MAX(A339-TC_Z,0)</f>
        <v>0</v>
      </c>
      <c r="E339" s="27" t="n">
        <f aca="false">1-0.2*(TC_xmb+(TC_n-1)*TC_xmt)*D339/(TC_n*TC_b)</f>
        <v>1</v>
      </c>
      <c r="F339" s="28" t="n">
        <f aca="false">TC_s*E339*TC_m*TC_n*TC_b*SQRT(2*g_)*D339^1.5</f>
        <v>0</v>
      </c>
      <c r="G339" s="29" t="n">
        <f aca="false">MAX(A339-SC_Z,0)</f>
        <v>3.34</v>
      </c>
      <c r="H339" s="30" t="n">
        <f aca="false">1-0.2*(SC_xmb+(SC_n-1)*SC_xmt)*G339/(SC_n*SC_b)</f>
        <v>0.90648</v>
      </c>
      <c r="I339" s="31" t="n">
        <f aca="false">SC_s*H339*SC_m*SC_n*SC_b*SQRT(2*g_)*G339^1.5</f>
        <v>55.1454831881167</v>
      </c>
      <c r="J339" s="32" t="n">
        <f aca="false">F339+I339</f>
        <v>55.1454831881167</v>
      </c>
      <c r="K339" s="32" t="n">
        <f aca="false">F339</f>
        <v>0</v>
      </c>
      <c r="L339" s="32" t="n">
        <f aca="false">C339*1000000/dt_s+J339/2</f>
        <v>9527.61385270518</v>
      </c>
      <c r="M339" s="32" t="n">
        <f aca="false">C339*1000000/dt_s+K339/2</f>
        <v>9500.04111111112</v>
      </c>
    </row>
    <row r="340" customFormat="false" ht="15" hidden="false" customHeight="false" outlineLevel="0" collapsed="false">
      <c r="A340" s="24" t="n">
        <f aca="false">ROUND(A339+0.01,2)</f>
        <v>74.35</v>
      </c>
      <c r="B340" s="25" t="n">
        <f aca="false">INDEX(Bang_F,MATCH(A340,Bang_Z,1))+(A340-INDEX(Bang_Z,MATCH(A340,Bang_Z,1)))*(INDEX(Bang_F,MATCH(A340,Bang_Z,1)+1)-INDEX(Bang_F,MATCH(A340,Bang_Z,1)))</f>
        <v>6.031</v>
      </c>
      <c r="C340" s="25" t="n">
        <f aca="false">INDEX(Bang_W,MATCH(A340,Bang_Z,1))+(A340-INDEX(Bang_Z,MATCH(A340,Bang_Z,1)))*(INDEX(Bang_F,MATCH(A340,Bang_Z,1))+B340)/2</f>
        <v>34.260425</v>
      </c>
      <c r="D340" s="26" t="n">
        <f aca="false">MAX(A340-TC_Z,0)</f>
        <v>0</v>
      </c>
      <c r="E340" s="27" t="n">
        <f aca="false">1-0.2*(TC_xmb+(TC_n-1)*TC_xmt)*D340/(TC_n*TC_b)</f>
        <v>1</v>
      </c>
      <c r="F340" s="28" t="n">
        <f aca="false">TC_s*E340*TC_m*TC_n*TC_b*SQRT(2*g_)*D340^1.5</f>
        <v>0</v>
      </c>
      <c r="G340" s="29" t="n">
        <f aca="false">MAX(A340-SC_Z,0)</f>
        <v>3.34999999999999</v>
      </c>
      <c r="H340" s="30" t="n">
        <f aca="false">1-0.2*(SC_xmb+(SC_n-1)*SC_xmt)*G340/(SC_n*SC_b)</f>
        <v>0.9062</v>
      </c>
      <c r="I340" s="31" t="n">
        <f aca="false">SC_s*H340*SC_m*SC_n*SC_b*SQRT(2*g_)*G340^1.5</f>
        <v>55.3762175394121</v>
      </c>
      <c r="J340" s="32" t="n">
        <f aca="false">F340+I340</f>
        <v>55.3762175394121</v>
      </c>
      <c r="K340" s="32" t="n">
        <f aca="false">F340</f>
        <v>0</v>
      </c>
      <c r="L340" s="32" t="n">
        <f aca="false">C340*1000000/dt_s+J340/2</f>
        <v>9544.47283099192</v>
      </c>
      <c r="M340" s="32" t="n">
        <f aca="false">C340*1000000/dt_s+K340/2</f>
        <v>9516.78472222221</v>
      </c>
    </row>
    <row r="341" customFormat="false" ht="15" hidden="false" customHeight="false" outlineLevel="0" collapsed="false">
      <c r="A341" s="24" t="n">
        <f aca="false">ROUND(A340+0.01,2)</f>
        <v>74.36</v>
      </c>
      <c r="B341" s="25" t="n">
        <f aca="false">INDEX(Bang_F,MATCH(A341,Bang_Z,1))+(A341-INDEX(Bang_Z,MATCH(A341,Bang_Z,1)))*(INDEX(Bang_F,MATCH(A341,Bang_Z,1)+1)-INDEX(Bang_F,MATCH(A341,Bang_Z,1)))</f>
        <v>6.0376</v>
      </c>
      <c r="C341" s="25" t="n">
        <f aca="false">INDEX(Bang_W,MATCH(A341,Bang_Z,1))+(A341-INDEX(Bang_Z,MATCH(A341,Bang_Z,1)))*(INDEX(Bang_F,MATCH(A341,Bang_Z,1))+B341)/2</f>
        <v>34.320768</v>
      </c>
      <c r="D341" s="26" t="n">
        <f aca="false">MAX(A341-TC_Z,0)</f>
        <v>0</v>
      </c>
      <c r="E341" s="27" t="n">
        <f aca="false">1-0.2*(TC_xmb+(TC_n-1)*TC_xmt)*D341/(TC_n*TC_b)</f>
        <v>1</v>
      </c>
      <c r="F341" s="28" t="n">
        <f aca="false">TC_s*E341*TC_m*TC_n*TC_b*SQRT(2*g_)*D341^1.5</f>
        <v>0</v>
      </c>
      <c r="G341" s="29" t="n">
        <f aca="false">MAX(A341-SC_Z,0)</f>
        <v>3.36</v>
      </c>
      <c r="H341" s="30" t="n">
        <f aca="false">1-0.2*(SC_xmb+(SC_n-1)*SC_xmt)*G341/(SC_n*SC_b)</f>
        <v>0.90592</v>
      </c>
      <c r="I341" s="31" t="n">
        <f aca="false">SC_s*H341*SC_m*SC_n*SC_b*SQRT(2*g_)*G341^1.5</f>
        <v>55.6071687439538</v>
      </c>
      <c r="J341" s="32" t="n">
        <f aca="false">F341+I341</f>
        <v>55.6071687439538</v>
      </c>
      <c r="K341" s="32" t="n">
        <f aca="false">F341</f>
        <v>0</v>
      </c>
      <c r="L341" s="32" t="n">
        <f aca="false">C341*1000000/dt_s+J341/2</f>
        <v>9561.35025103864</v>
      </c>
      <c r="M341" s="32" t="n">
        <f aca="false">C341*1000000/dt_s+K341/2</f>
        <v>9533.54666666667</v>
      </c>
    </row>
    <row r="342" customFormat="false" ht="15" hidden="false" customHeight="false" outlineLevel="0" collapsed="false">
      <c r="A342" s="24" t="n">
        <f aca="false">ROUND(A341+0.01,2)</f>
        <v>74.37</v>
      </c>
      <c r="B342" s="25" t="n">
        <f aca="false">INDEX(Bang_F,MATCH(A342,Bang_Z,1))+(A342-INDEX(Bang_Z,MATCH(A342,Bang_Z,1)))*(INDEX(Bang_F,MATCH(A342,Bang_Z,1)+1)-INDEX(Bang_F,MATCH(A342,Bang_Z,1)))</f>
        <v>6.0442</v>
      </c>
      <c r="C342" s="25" t="n">
        <f aca="false">INDEX(Bang_W,MATCH(A342,Bang_Z,1))+(A342-INDEX(Bang_Z,MATCH(A342,Bang_Z,1)))*(INDEX(Bang_F,MATCH(A342,Bang_Z,1))+B342)/2</f>
        <v>34.381177</v>
      </c>
      <c r="D342" s="26" t="n">
        <f aca="false">MAX(A342-TC_Z,0)</f>
        <v>0</v>
      </c>
      <c r="E342" s="27" t="n">
        <f aca="false">1-0.2*(TC_xmb+(TC_n-1)*TC_xmt)*D342/(TC_n*TC_b)</f>
        <v>1</v>
      </c>
      <c r="F342" s="28" t="n">
        <f aca="false">TC_s*E342*TC_m*TC_n*TC_b*SQRT(2*g_)*D342^1.5</f>
        <v>0</v>
      </c>
      <c r="G342" s="29" t="n">
        <f aca="false">MAX(A342-SC_Z,0)</f>
        <v>3.37</v>
      </c>
      <c r="H342" s="30" t="n">
        <f aca="false">1-0.2*(SC_xmb+(SC_n-1)*SC_xmt)*G342/(SC_n*SC_b)</f>
        <v>0.90564</v>
      </c>
      <c r="I342" s="31" t="n">
        <f aca="false">SC_s*H342*SC_m*SC_n*SC_b*SQRT(2*g_)*G342^1.5</f>
        <v>55.8383359079122</v>
      </c>
      <c r="J342" s="32" t="n">
        <f aca="false">F342+I342</f>
        <v>55.8383359079122</v>
      </c>
      <c r="K342" s="32" t="n">
        <f aca="false">F342</f>
        <v>0</v>
      </c>
      <c r="L342" s="32" t="n">
        <f aca="false">C342*1000000/dt_s+J342/2</f>
        <v>9578.24611239841</v>
      </c>
      <c r="M342" s="32" t="n">
        <f aca="false">C342*1000000/dt_s+K342/2</f>
        <v>9550.32694444445</v>
      </c>
    </row>
    <row r="343" customFormat="false" ht="15" hidden="false" customHeight="false" outlineLevel="0" collapsed="false">
      <c r="A343" s="24" t="n">
        <f aca="false">ROUND(A342+0.01,2)</f>
        <v>74.38</v>
      </c>
      <c r="B343" s="25" t="n">
        <f aca="false">INDEX(Bang_F,MATCH(A343,Bang_Z,1))+(A343-INDEX(Bang_Z,MATCH(A343,Bang_Z,1)))*(INDEX(Bang_F,MATCH(A343,Bang_Z,1)+1)-INDEX(Bang_F,MATCH(A343,Bang_Z,1)))</f>
        <v>6.0508</v>
      </c>
      <c r="C343" s="25" t="n">
        <f aca="false">INDEX(Bang_W,MATCH(A343,Bang_Z,1))+(A343-INDEX(Bang_Z,MATCH(A343,Bang_Z,1)))*(INDEX(Bang_F,MATCH(A343,Bang_Z,1))+B343)/2</f>
        <v>34.441652</v>
      </c>
      <c r="D343" s="26" t="n">
        <f aca="false">MAX(A343-TC_Z,0)</f>
        <v>0</v>
      </c>
      <c r="E343" s="27" t="n">
        <f aca="false">1-0.2*(TC_xmb+(TC_n-1)*TC_xmt)*D343/(TC_n*TC_b)</f>
        <v>1</v>
      </c>
      <c r="F343" s="28" t="n">
        <f aca="false">TC_s*E343*TC_m*TC_n*TC_b*SQRT(2*g_)*D343^1.5</f>
        <v>0</v>
      </c>
      <c r="G343" s="29" t="n">
        <f aca="false">MAX(A343-SC_Z,0)</f>
        <v>3.38</v>
      </c>
      <c r="H343" s="30" t="n">
        <f aca="false">1-0.2*(SC_xmb+(SC_n-1)*SC_xmt)*G343/(SC_n*SC_b)</f>
        <v>0.90536</v>
      </c>
      <c r="I343" s="31" t="n">
        <f aca="false">SC_s*H343*SC_m*SC_n*SC_b*SQRT(2*g_)*G343^1.5</f>
        <v>56.0697181405917</v>
      </c>
      <c r="J343" s="32" t="n">
        <f aca="false">F343+I343</f>
        <v>56.0697181405917</v>
      </c>
      <c r="K343" s="32" t="n">
        <f aca="false">F343</f>
        <v>0</v>
      </c>
      <c r="L343" s="32" t="n">
        <f aca="false">C343*1000000/dt_s+J343/2</f>
        <v>9595.16041462584</v>
      </c>
      <c r="M343" s="32" t="n">
        <f aca="false">C343*1000000/dt_s+K343/2</f>
        <v>9567.12555555555</v>
      </c>
    </row>
    <row r="344" customFormat="false" ht="15" hidden="false" customHeight="false" outlineLevel="0" collapsed="false">
      <c r="A344" s="24" t="n">
        <f aca="false">ROUND(A343+0.01,2)</f>
        <v>74.39</v>
      </c>
      <c r="B344" s="25" t="n">
        <f aca="false">INDEX(Bang_F,MATCH(A344,Bang_Z,1))+(A344-INDEX(Bang_Z,MATCH(A344,Bang_Z,1)))*(INDEX(Bang_F,MATCH(A344,Bang_Z,1)+1)-INDEX(Bang_F,MATCH(A344,Bang_Z,1)))</f>
        <v>6.0574</v>
      </c>
      <c r="C344" s="25" t="n">
        <f aca="false">INDEX(Bang_W,MATCH(A344,Bang_Z,1))+(A344-INDEX(Bang_Z,MATCH(A344,Bang_Z,1)))*(INDEX(Bang_F,MATCH(A344,Bang_Z,1))+B344)/2</f>
        <v>34.502193</v>
      </c>
      <c r="D344" s="26" t="n">
        <f aca="false">MAX(A344-TC_Z,0)</f>
        <v>0</v>
      </c>
      <c r="E344" s="27" t="n">
        <f aca="false">1-0.2*(TC_xmb+(TC_n-1)*TC_xmt)*D344/(TC_n*TC_b)</f>
        <v>1</v>
      </c>
      <c r="F344" s="28" t="n">
        <f aca="false">TC_s*E344*TC_m*TC_n*TC_b*SQRT(2*g_)*D344^1.5</f>
        <v>0</v>
      </c>
      <c r="G344" s="29" t="n">
        <f aca="false">MAX(A344-SC_Z,0)</f>
        <v>3.39</v>
      </c>
      <c r="H344" s="30" t="n">
        <f aca="false">1-0.2*(SC_xmb+(SC_n-1)*SC_xmt)*G344/(SC_n*SC_b)</f>
        <v>0.90508</v>
      </c>
      <c r="I344" s="31" t="n">
        <f aca="false">SC_s*H344*SC_m*SC_n*SC_b*SQRT(2*g_)*G344^1.5</f>
        <v>56.3013145544092</v>
      </c>
      <c r="J344" s="32" t="n">
        <f aca="false">F344+I344</f>
        <v>56.3013145544092</v>
      </c>
      <c r="K344" s="32" t="n">
        <f aca="false">F344</f>
        <v>0</v>
      </c>
      <c r="L344" s="32" t="n">
        <f aca="false">C344*1000000/dt_s+J344/2</f>
        <v>9612.0931572772</v>
      </c>
      <c r="M344" s="32" t="n">
        <f aca="false">C344*1000000/dt_s+K344/2</f>
        <v>9583.9425</v>
      </c>
    </row>
    <row r="345" customFormat="false" ht="15" hidden="false" customHeight="false" outlineLevel="0" collapsed="false">
      <c r="A345" s="24" t="n">
        <f aca="false">ROUND(A344+0.01,2)</f>
        <v>74.4</v>
      </c>
      <c r="B345" s="25" t="n">
        <f aca="false">INDEX(Bang_F,MATCH(A345,Bang_Z,1))+(A345-INDEX(Bang_Z,MATCH(A345,Bang_Z,1)))*(INDEX(Bang_F,MATCH(A345,Bang_Z,1)+1)-INDEX(Bang_F,MATCH(A345,Bang_Z,1)))</f>
        <v>6.064</v>
      </c>
      <c r="C345" s="25" t="n">
        <f aca="false">INDEX(Bang_W,MATCH(A345,Bang_Z,1))+(A345-INDEX(Bang_Z,MATCH(A345,Bang_Z,1)))*(INDEX(Bang_F,MATCH(A345,Bang_Z,1))+B345)/2</f>
        <v>34.5628</v>
      </c>
      <c r="D345" s="26" t="n">
        <f aca="false">MAX(A345-TC_Z,0)</f>
        <v>0</v>
      </c>
      <c r="E345" s="27" t="n">
        <f aca="false">1-0.2*(TC_xmb+(TC_n-1)*TC_xmt)*D345/(TC_n*TC_b)</f>
        <v>1</v>
      </c>
      <c r="F345" s="28" t="n">
        <f aca="false">TC_s*E345*TC_m*TC_n*TC_b*SQRT(2*g_)*D345^1.5</f>
        <v>0</v>
      </c>
      <c r="G345" s="29" t="n">
        <f aca="false">MAX(A345-SC_Z,0)</f>
        <v>3.40000000000001</v>
      </c>
      <c r="H345" s="30" t="n">
        <f aca="false">1-0.2*(SC_xmb+(SC_n-1)*SC_xmt)*G345/(SC_n*SC_b)</f>
        <v>0.9048</v>
      </c>
      <c r="I345" s="31" t="n">
        <f aca="false">SC_s*H345*SC_m*SC_n*SC_b*SQRT(2*g_)*G345^1.5</f>
        <v>56.5331242648711</v>
      </c>
      <c r="J345" s="32" t="n">
        <f aca="false">F345+I345</f>
        <v>56.5331242648711</v>
      </c>
      <c r="K345" s="32" t="n">
        <f aca="false">F345</f>
        <v>0</v>
      </c>
      <c r="L345" s="32" t="n">
        <f aca="false">C345*1000000/dt_s+J345/2</f>
        <v>9629.04433991022</v>
      </c>
      <c r="M345" s="32" t="n">
        <f aca="false">C345*1000000/dt_s+K345/2</f>
        <v>9600.77777777779</v>
      </c>
    </row>
    <row r="346" customFormat="false" ht="15" hidden="false" customHeight="false" outlineLevel="0" collapsed="false">
      <c r="A346" s="24" t="n">
        <f aca="false">ROUND(A345+0.01,2)</f>
        <v>74.41</v>
      </c>
      <c r="B346" s="25" t="n">
        <f aca="false">INDEX(Bang_F,MATCH(A346,Bang_Z,1))+(A346-INDEX(Bang_Z,MATCH(A346,Bang_Z,1)))*(INDEX(Bang_F,MATCH(A346,Bang_Z,1)+1)-INDEX(Bang_F,MATCH(A346,Bang_Z,1)))</f>
        <v>6.0706</v>
      </c>
      <c r="C346" s="25" t="n">
        <f aca="false">INDEX(Bang_W,MATCH(A346,Bang_Z,1))+(A346-INDEX(Bang_Z,MATCH(A346,Bang_Z,1)))*(INDEX(Bang_F,MATCH(A346,Bang_Z,1))+B346)/2</f>
        <v>34.623473</v>
      </c>
      <c r="D346" s="26" t="n">
        <f aca="false">MAX(A346-TC_Z,0)</f>
        <v>0</v>
      </c>
      <c r="E346" s="27" t="n">
        <f aca="false">1-0.2*(TC_xmb+(TC_n-1)*TC_xmt)*D346/(TC_n*TC_b)</f>
        <v>1</v>
      </c>
      <c r="F346" s="28" t="n">
        <f aca="false">TC_s*E346*TC_m*TC_n*TC_b*SQRT(2*g_)*D346^1.5</f>
        <v>0</v>
      </c>
      <c r="G346" s="29" t="n">
        <f aca="false">MAX(A346-SC_Z,0)</f>
        <v>3.41</v>
      </c>
      <c r="H346" s="30" t="n">
        <f aca="false">1-0.2*(SC_xmb+(SC_n-1)*SC_xmt)*G346/(SC_n*SC_b)</f>
        <v>0.90452</v>
      </c>
      <c r="I346" s="31" t="n">
        <f aca="false">SC_s*H346*SC_m*SC_n*SC_b*SQRT(2*g_)*G346^1.5</f>
        <v>56.7651463905523</v>
      </c>
      <c r="J346" s="32" t="n">
        <f aca="false">F346+I346</f>
        <v>56.7651463905523</v>
      </c>
      <c r="K346" s="32" t="n">
        <f aca="false">F346</f>
        <v>0</v>
      </c>
      <c r="L346" s="32" t="n">
        <f aca="false">C346*1000000/dt_s+J346/2</f>
        <v>9646.01396208416</v>
      </c>
      <c r="M346" s="32" t="n">
        <f aca="false">C346*1000000/dt_s+K346/2</f>
        <v>9617.63138888888</v>
      </c>
    </row>
    <row r="347" customFormat="false" ht="15" hidden="false" customHeight="false" outlineLevel="0" collapsed="false">
      <c r="A347" s="24" t="n">
        <f aca="false">ROUND(A346+0.01,2)</f>
        <v>74.42</v>
      </c>
      <c r="B347" s="25" t="n">
        <f aca="false">INDEX(Bang_F,MATCH(A347,Bang_Z,1))+(A347-INDEX(Bang_Z,MATCH(A347,Bang_Z,1)))*(INDEX(Bang_F,MATCH(A347,Bang_Z,1)+1)-INDEX(Bang_F,MATCH(A347,Bang_Z,1)))</f>
        <v>6.0772</v>
      </c>
      <c r="C347" s="25" t="n">
        <f aca="false">INDEX(Bang_W,MATCH(A347,Bang_Z,1))+(A347-INDEX(Bang_Z,MATCH(A347,Bang_Z,1)))*(INDEX(Bang_F,MATCH(A347,Bang_Z,1))+B347)/2</f>
        <v>34.684212</v>
      </c>
      <c r="D347" s="26" t="n">
        <f aca="false">MAX(A347-TC_Z,0)</f>
        <v>0</v>
      </c>
      <c r="E347" s="27" t="n">
        <f aca="false">1-0.2*(TC_xmb+(TC_n-1)*TC_xmt)*D347/(TC_n*TC_b)</f>
        <v>1</v>
      </c>
      <c r="F347" s="28" t="n">
        <f aca="false">TC_s*E347*TC_m*TC_n*TC_b*SQRT(2*g_)*D347^1.5</f>
        <v>0</v>
      </c>
      <c r="G347" s="29" t="n">
        <f aca="false">MAX(A347-SC_Z,0)</f>
        <v>3.42</v>
      </c>
      <c r="H347" s="30" t="n">
        <f aca="false">1-0.2*(SC_xmb+(SC_n-1)*SC_xmt)*G347/(SC_n*SC_b)</f>
        <v>0.90424</v>
      </c>
      <c r="I347" s="31" t="n">
        <f aca="false">SC_s*H347*SC_m*SC_n*SC_b*SQRT(2*g_)*G347^1.5</f>
        <v>56.9973800530758</v>
      </c>
      <c r="J347" s="32" t="n">
        <f aca="false">F347+I347</f>
        <v>56.9973800530758</v>
      </c>
      <c r="K347" s="32" t="n">
        <f aca="false">F347</f>
        <v>0</v>
      </c>
      <c r="L347" s="32" t="n">
        <f aca="false">C347*1000000/dt_s+J347/2</f>
        <v>9663.00202335987</v>
      </c>
      <c r="M347" s="32" t="n">
        <f aca="false">C347*1000000/dt_s+K347/2</f>
        <v>9634.50333333334</v>
      </c>
    </row>
    <row r="348" customFormat="false" ht="15" hidden="false" customHeight="false" outlineLevel="0" collapsed="false">
      <c r="A348" s="24" t="n">
        <f aca="false">ROUND(A347+0.01,2)</f>
        <v>74.43</v>
      </c>
      <c r="B348" s="25" t="n">
        <f aca="false">INDEX(Bang_F,MATCH(A348,Bang_Z,1))+(A348-INDEX(Bang_Z,MATCH(A348,Bang_Z,1)))*(INDEX(Bang_F,MATCH(A348,Bang_Z,1)+1)-INDEX(Bang_F,MATCH(A348,Bang_Z,1)))</f>
        <v>6.0838</v>
      </c>
      <c r="C348" s="25" t="n">
        <f aca="false">INDEX(Bang_W,MATCH(A348,Bang_Z,1))+(A348-INDEX(Bang_Z,MATCH(A348,Bang_Z,1)))*(INDEX(Bang_F,MATCH(A348,Bang_Z,1))+B348)/2</f>
        <v>34.745017</v>
      </c>
      <c r="D348" s="26" t="n">
        <f aca="false">MAX(A348-TC_Z,0)</f>
        <v>0</v>
      </c>
      <c r="E348" s="27" t="n">
        <f aca="false">1-0.2*(TC_xmb+(TC_n-1)*TC_xmt)*D348/(TC_n*TC_b)</f>
        <v>1</v>
      </c>
      <c r="F348" s="28" t="n">
        <f aca="false">TC_s*E348*TC_m*TC_n*TC_b*SQRT(2*g_)*D348^1.5</f>
        <v>0</v>
      </c>
      <c r="G348" s="29" t="n">
        <f aca="false">MAX(A348-SC_Z,0)</f>
        <v>3.43000000000001</v>
      </c>
      <c r="H348" s="30" t="n">
        <f aca="false">1-0.2*(SC_xmb+(SC_n-1)*SC_xmt)*G348/(SC_n*SC_b)</f>
        <v>0.90396</v>
      </c>
      <c r="I348" s="31" t="n">
        <f aca="false">SC_s*H348*SC_m*SC_n*SC_b*SQRT(2*g_)*G348^1.5</f>
        <v>57.2298243770902</v>
      </c>
      <c r="J348" s="32" t="n">
        <f aca="false">F348+I348</f>
        <v>57.2298243770902</v>
      </c>
      <c r="K348" s="32" t="n">
        <f aca="false">F348</f>
        <v>0</v>
      </c>
      <c r="L348" s="32" t="n">
        <f aca="false">C348*1000000/dt_s+J348/2</f>
        <v>9680.00852329967</v>
      </c>
      <c r="M348" s="32" t="n">
        <f aca="false">C348*1000000/dt_s+K348/2</f>
        <v>9651.39361111112</v>
      </c>
    </row>
    <row r="349" customFormat="false" ht="15" hidden="false" customHeight="false" outlineLevel="0" collapsed="false">
      <c r="A349" s="24" t="n">
        <f aca="false">ROUND(A348+0.01,2)</f>
        <v>74.44</v>
      </c>
      <c r="B349" s="25" t="n">
        <f aca="false">INDEX(Bang_F,MATCH(A349,Bang_Z,1))+(A349-INDEX(Bang_Z,MATCH(A349,Bang_Z,1)))*(INDEX(Bang_F,MATCH(A349,Bang_Z,1)+1)-INDEX(Bang_F,MATCH(A349,Bang_Z,1)))</f>
        <v>6.0904</v>
      </c>
      <c r="C349" s="25" t="n">
        <f aca="false">INDEX(Bang_W,MATCH(A349,Bang_Z,1))+(A349-INDEX(Bang_Z,MATCH(A349,Bang_Z,1)))*(INDEX(Bang_F,MATCH(A349,Bang_Z,1))+B349)/2</f>
        <v>34.805888</v>
      </c>
      <c r="D349" s="26" t="n">
        <f aca="false">MAX(A349-TC_Z,0)</f>
        <v>0</v>
      </c>
      <c r="E349" s="27" t="n">
        <f aca="false">1-0.2*(TC_xmb+(TC_n-1)*TC_xmt)*D349/(TC_n*TC_b)</f>
        <v>1</v>
      </c>
      <c r="F349" s="28" t="n">
        <f aca="false">TC_s*E349*TC_m*TC_n*TC_b*SQRT(2*g_)*D349^1.5</f>
        <v>0</v>
      </c>
      <c r="G349" s="29" t="n">
        <f aca="false">MAX(A349-SC_Z,0)</f>
        <v>3.44</v>
      </c>
      <c r="H349" s="30" t="n">
        <f aca="false">1-0.2*(SC_xmb+(SC_n-1)*SC_xmt)*G349/(SC_n*SC_b)</f>
        <v>0.90368</v>
      </c>
      <c r="I349" s="31" t="n">
        <f aca="false">SC_s*H349*SC_m*SC_n*SC_b*SQRT(2*g_)*G349^1.5</f>
        <v>57.4624784902492</v>
      </c>
      <c r="J349" s="32" t="n">
        <f aca="false">F349+I349</f>
        <v>57.4624784902492</v>
      </c>
      <c r="K349" s="32" t="n">
        <f aca="false">F349</f>
        <v>0</v>
      </c>
      <c r="L349" s="32" t="n">
        <f aca="false">C349*1000000/dt_s+J349/2</f>
        <v>9697.03346146734</v>
      </c>
      <c r="M349" s="32" t="n">
        <f aca="false">C349*1000000/dt_s+K349/2</f>
        <v>9668.30222222222</v>
      </c>
    </row>
    <row r="350" customFormat="false" ht="15" hidden="false" customHeight="false" outlineLevel="0" collapsed="false">
      <c r="A350" s="24" t="n">
        <f aca="false">ROUND(A349+0.01,2)</f>
        <v>74.45</v>
      </c>
      <c r="B350" s="25" t="n">
        <f aca="false">INDEX(Bang_F,MATCH(A350,Bang_Z,1))+(A350-INDEX(Bang_Z,MATCH(A350,Bang_Z,1)))*(INDEX(Bang_F,MATCH(A350,Bang_Z,1)+1)-INDEX(Bang_F,MATCH(A350,Bang_Z,1)))</f>
        <v>6.097</v>
      </c>
      <c r="C350" s="25" t="n">
        <f aca="false">INDEX(Bang_W,MATCH(A350,Bang_Z,1))+(A350-INDEX(Bang_Z,MATCH(A350,Bang_Z,1)))*(INDEX(Bang_F,MATCH(A350,Bang_Z,1))+B350)/2</f>
        <v>34.866825</v>
      </c>
      <c r="D350" s="26" t="n">
        <f aca="false">MAX(A350-TC_Z,0)</f>
        <v>0</v>
      </c>
      <c r="E350" s="27" t="n">
        <f aca="false">1-0.2*(TC_xmb+(TC_n-1)*TC_xmt)*D350/(TC_n*TC_b)</f>
        <v>1</v>
      </c>
      <c r="F350" s="28" t="n">
        <f aca="false">TC_s*E350*TC_m*TC_n*TC_b*SQRT(2*g_)*D350^1.5</f>
        <v>0</v>
      </c>
      <c r="G350" s="29" t="n">
        <f aca="false">MAX(A350-SC_Z,0)</f>
        <v>3.45</v>
      </c>
      <c r="H350" s="30" t="n">
        <f aca="false">1-0.2*(SC_xmb+(SC_n-1)*SC_xmt)*G350/(SC_n*SC_b)</f>
        <v>0.9034</v>
      </c>
      <c r="I350" s="31" t="n">
        <f aca="false">SC_s*H350*SC_m*SC_n*SC_b*SQRT(2*g_)*G350^1.5</f>
        <v>57.6953415231926</v>
      </c>
      <c r="J350" s="32" t="n">
        <f aca="false">F350+I350</f>
        <v>57.6953415231926</v>
      </c>
      <c r="K350" s="32" t="n">
        <f aca="false">F350</f>
        <v>0</v>
      </c>
      <c r="L350" s="32" t="n">
        <f aca="false">C350*1000000/dt_s+J350/2</f>
        <v>9714.07683742827</v>
      </c>
      <c r="M350" s="32" t="n">
        <f aca="false">C350*1000000/dt_s+K350/2</f>
        <v>9685.22916666667</v>
      </c>
    </row>
    <row r="351" customFormat="false" ht="15" hidden="false" customHeight="false" outlineLevel="0" collapsed="false">
      <c r="A351" s="24" t="n">
        <f aca="false">ROUND(A350+0.01,2)</f>
        <v>74.46</v>
      </c>
      <c r="B351" s="25" t="n">
        <f aca="false">INDEX(Bang_F,MATCH(A351,Bang_Z,1))+(A351-INDEX(Bang_Z,MATCH(A351,Bang_Z,1)))*(INDEX(Bang_F,MATCH(A351,Bang_Z,1)+1)-INDEX(Bang_F,MATCH(A351,Bang_Z,1)))</f>
        <v>6.1036</v>
      </c>
      <c r="C351" s="25" t="n">
        <f aca="false">INDEX(Bang_W,MATCH(A351,Bang_Z,1))+(A351-INDEX(Bang_Z,MATCH(A351,Bang_Z,1)))*(INDEX(Bang_F,MATCH(A351,Bang_Z,1))+B351)/2</f>
        <v>34.927828</v>
      </c>
      <c r="D351" s="26" t="n">
        <f aca="false">MAX(A351-TC_Z,0)</f>
        <v>0</v>
      </c>
      <c r="E351" s="27" t="n">
        <f aca="false">1-0.2*(TC_xmb+(TC_n-1)*TC_xmt)*D351/(TC_n*TC_b)</f>
        <v>1</v>
      </c>
      <c r="F351" s="28" t="n">
        <f aca="false">TC_s*E351*TC_m*TC_n*TC_b*SQRT(2*g_)*D351^1.5</f>
        <v>0</v>
      </c>
      <c r="G351" s="29" t="n">
        <f aca="false">MAX(A351-SC_Z,0)</f>
        <v>3.45999999999999</v>
      </c>
      <c r="H351" s="30" t="n">
        <f aca="false">1-0.2*(SC_xmb+(SC_n-1)*SC_xmt)*G351/(SC_n*SC_b)</f>
        <v>0.90312</v>
      </c>
      <c r="I351" s="31" t="n">
        <f aca="false">SC_s*H351*SC_m*SC_n*SC_b*SQRT(2*g_)*G351^1.5</f>
        <v>57.9284126095228</v>
      </c>
      <c r="J351" s="32" t="n">
        <f aca="false">F351+I351</f>
        <v>57.9284126095228</v>
      </c>
      <c r="K351" s="32" t="n">
        <f aca="false">F351</f>
        <v>0</v>
      </c>
      <c r="L351" s="32" t="n">
        <f aca="false">C351*1000000/dt_s+J351/2</f>
        <v>9731.1386507492</v>
      </c>
      <c r="M351" s="32" t="n">
        <f aca="false">C351*1000000/dt_s+K351/2</f>
        <v>9702.17444444443</v>
      </c>
    </row>
    <row r="352" customFormat="false" ht="15" hidden="false" customHeight="false" outlineLevel="0" collapsed="false">
      <c r="A352" s="24" t="n">
        <f aca="false">ROUND(A351+0.01,2)</f>
        <v>74.47</v>
      </c>
      <c r="B352" s="25" t="n">
        <f aca="false">INDEX(Bang_F,MATCH(A352,Bang_Z,1))+(A352-INDEX(Bang_Z,MATCH(A352,Bang_Z,1)))*(INDEX(Bang_F,MATCH(A352,Bang_Z,1)+1)-INDEX(Bang_F,MATCH(A352,Bang_Z,1)))</f>
        <v>6.1102</v>
      </c>
      <c r="C352" s="25" t="n">
        <f aca="false">INDEX(Bang_W,MATCH(A352,Bang_Z,1))+(A352-INDEX(Bang_Z,MATCH(A352,Bang_Z,1)))*(INDEX(Bang_F,MATCH(A352,Bang_Z,1))+B352)/2</f>
        <v>34.988897</v>
      </c>
      <c r="D352" s="26" t="n">
        <f aca="false">MAX(A352-TC_Z,0)</f>
        <v>0</v>
      </c>
      <c r="E352" s="27" t="n">
        <f aca="false">1-0.2*(TC_xmb+(TC_n-1)*TC_xmt)*D352/(TC_n*TC_b)</f>
        <v>1</v>
      </c>
      <c r="F352" s="28" t="n">
        <f aca="false">TC_s*E352*TC_m*TC_n*TC_b*SQRT(2*g_)*D352^1.5</f>
        <v>0</v>
      </c>
      <c r="G352" s="29" t="n">
        <f aca="false">MAX(A352-SC_Z,0)</f>
        <v>3.47</v>
      </c>
      <c r="H352" s="30" t="n">
        <f aca="false">1-0.2*(SC_xmb+(SC_n-1)*SC_xmt)*G352/(SC_n*SC_b)</f>
        <v>0.90284</v>
      </c>
      <c r="I352" s="31" t="n">
        <f aca="false">SC_s*H352*SC_m*SC_n*SC_b*SQRT(2*g_)*G352^1.5</f>
        <v>58.1616908857879</v>
      </c>
      <c r="J352" s="32" t="n">
        <f aca="false">F352+I352</f>
        <v>58.1616908857879</v>
      </c>
      <c r="K352" s="32" t="n">
        <f aca="false">F352</f>
        <v>0</v>
      </c>
      <c r="L352" s="32" t="n">
        <f aca="false">C352*1000000/dt_s+J352/2</f>
        <v>9748.21890099845</v>
      </c>
      <c r="M352" s="32" t="n">
        <f aca="false">C352*1000000/dt_s+K352/2</f>
        <v>9719.13805555555</v>
      </c>
    </row>
    <row r="353" customFormat="false" ht="15" hidden="false" customHeight="false" outlineLevel="0" collapsed="false">
      <c r="A353" s="24" t="n">
        <f aca="false">ROUND(A352+0.01,2)</f>
        <v>74.48</v>
      </c>
      <c r="B353" s="25" t="n">
        <f aca="false">INDEX(Bang_F,MATCH(A353,Bang_Z,1))+(A353-INDEX(Bang_Z,MATCH(A353,Bang_Z,1)))*(INDEX(Bang_F,MATCH(A353,Bang_Z,1)+1)-INDEX(Bang_F,MATCH(A353,Bang_Z,1)))</f>
        <v>6.1168</v>
      </c>
      <c r="C353" s="25" t="n">
        <f aca="false">INDEX(Bang_W,MATCH(A353,Bang_Z,1))+(A353-INDEX(Bang_Z,MATCH(A353,Bang_Z,1)))*(INDEX(Bang_F,MATCH(A353,Bang_Z,1))+B353)/2</f>
        <v>35.050032</v>
      </c>
      <c r="D353" s="26" t="n">
        <f aca="false">MAX(A353-TC_Z,0)</f>
        <v>0</v>
      </c>
      <c r="E353" s="27" t="n">
        <f aca="false">1-0.2*(TC_xmb+(TC_n-1)*TC_xmt)*D353/(TC_n*TC_b)</f>
        <v>1</v>
      </c>
      <c r="F353" s="28" t="n">
        <f aca="false">TC_s*E353*TC_m*TC_n*TC_b*SQRT(2*g_)*D353^1.5</f>
        <v>0</v>
      </c>
      <c r="G353" s="29" t="n">
        <f aca="false">MAX(A353-SC_Z,0)</f>
        <v>3.48</v>
      </c>
      <c r="H353" s="30" t="n">
        <f aca="false">1-0.2*(SC_xmb+(SC_n-1)*SC_xmt)*G353/(SC_n*SC_b)</f>
        <v>0.90256</v>
      </c>
      <c r="I353" s="31" t="n">
        <f aca="false">SC_s*H353*SC_m*SC_n*SC_b*SQRT(2*g_)*G353^1.5</f>
        <v>58.3951754914587</v>
      </c>
      <c r="J353" s="32" t="n">
        <f aca="false">F353+I353</f>
        <v>58.3951754914587</v>
      </c>
      <c r="K353" s="32" t="n">
        <f aca="false">F353</f>
        <v>0</v>
      </c>
      <c r="L353" s="32" t="n">
        <f aca="false">C353*1000000/dt_s+J353/2</f>
        <v>9765.31758774574</v>
      </c>
      <c r="M353" s="32" t="n">
        <f aca="false">C353*1000000/dt_s+K353/2</f>
        <v>9736.12000000001</v>
      </c>
    </row>
    <row r="354" customFormat="false" ht="15" hidden="false" customHeight="false" outlineLevel="0" collapsed="false">
      <c r="A354" s="24" t="n">
        <f aca="false">ROUND(A353+0.01,2)</f>
        <v>74.49</v>
      </c>
      <c r="B354" s="25" t="n">
        <f aca="false">INDEX(Bang_F,MATCH(A354,Bang_Z,1))+(A354-INDEX(Bang_Z,MATCH(A354,Bang_Z,1)))*(INDEX(Bang_F,MATCH(A354,Bang_Z,1)+1)-INDEX(Bang_F,MATCH(A354,Bang_Z,1)))</f>
        <v>6.1234</v>
      </c>
      <c r="C354" s="25" t="n">
        <f aca="false">INDEX(Bang_W,MATCH(A354,Bang_Z,1))+(A354-INDEX(Bang_Z,MATCH(A354,Bang_Z,1)))*(INDEX(Bang_F,MATCH(A354,Bang_Z,1))+B354)/2</f>
        <v>35.111233</v>
      </c>
      <c r="D354" s="26" t="n">
        <f aca="false">MAX(A354-TC_Z,0)</f>
        <v>0</v>
      </c>
      <c r="E354" s="27" t="n">
        <f aca="false">1-0.2*(TC_xmb+(TC_n-1)*TC_xmt)*D354/(TC_n*TC_b)</f>
        <v>1</v>
      </c>
      <c r="F354" s="28" t="n">
        <f aca="false">TC_s*E354*TC_m*TC_n*TC_b*SQRT(2*g_)*D354^1.5</f>
        <v>0</v>
      </c>
      <c r="G354" s="29" t="n">
        <f aca="false">MAX(A354-SC_Z,0)</f>
        <v>3.49</v>
      </c>
      <c r="H354" s="30" t="n">
        <f aca="false">1-0.2*(SC_xmb+(SC_n-1)*SC_xmt)*G354/(SC_n*SC_b)</f>
        <v>0.90228</v>
      </c>
      <c r="I354" s="31" t="n">
        <f aca="false">SC_s*H354*SC_m*SC_n*SC_b*SQRT(2*g_)*G354^1.5</f>
        <v>58.6288655689103</v>
      </c>
      <c r="J354" s="32" t="n">
        <f aca="false">F354+I354</f>
        <v>58.6288655689103</v>
      </c>
      <c r="K354" s="32" t="n">
        <f aca="false">F354</f>
        <v>0</v>
      </c>
      <c r="L354" s="32" t="n">
        <f aca="false">C354*1000000/dt_s+J354/2</f>
        <v>9782.43471056222</v>
      </c>
      <c r="M354" s="32" t="n">
        <f aca="false">C354*1000000/dt_s+K354/2</f>
        <v>9753.12027777777</v>
      </c>
    </row>
    <row r="355" customFormat="false" ht="15" hidden="false" customHeight="false" outlineLevel="0" collapsed="false">
      <c r="A355" s="24" t="n">
        <f aca="false">ROUND(A354+0.01,2)</f>
        <v>74.5</v>
      </c>
      <c r="B355" s="25" t="n">
        <f aca="false">INDEX(Bang_F,MATCH(A355,Bang_Z,1))+(A355-INDEX(Bang_Z,MATCH(A355,Bang_Z,1)))*(INDEX(Bang_F,MATCH(A355,Bang_Z,1)+1)-INDEX(Bang_F,MATCH(A355,Bang_Z,1)))</f>
        <v>6.13</v>
      </c>
      <c r="C355" s="25" t="n">
        <f aca="false">INDEX(Bang_W,MATCH(A355,Bang_Z,1))+(A355-INDEX(Bang_Z,MATCH(A355,Bang_Z,1)))*(INDEX(Bang_F,MATCH(A355,Bang_Z,1))+B355)/2</f>
        <v>35.1725</v>
      </c>
      <c r="D355" s="26" t="n">
        <f aca="false">MAX(A355-TC_Z,0)</f>
        <v>0</v>
      </c>
      <c r="E355" s="27" t="n">
        <f aca="false">1-0.2*(TC_xmb+(TC_n-1)*TC_xmt)*D355/(TC_n*TC_b)</f>
        <v>1</v>
      </c>
      <c r="F355" s="28" t="n">
        <f aca="false">TC_s*E355*TC_m*TC_n*TC_b*SQRT(2*g_)*D355^1.5</f>
        <v>0</v>
      </c>
      <c r="G355" s="29" t="n">
        <f aca="false">MAX(A355-SC_Z,0)</f>
        <v>3.5</v>
      </c>
      <c r="H355" s="30" t="n">
        <f aca="false">1-0.2*(SC_xmb+(SC_n-1)*SC_xmt)*G355/(SC_n*SC_b)</f>
        <v>0.902</v>
      </c>
      <c r="I355" s="31" t="n">
        <f aca="false">SC_s*H355*SC_m*SC_n*SC_b*SQRT(2*g_)*G355^1.5</f>
        <v>58.8627602634032</v>
      </c>
      <c r="J355" s="32" t="n">
        <f aca="false">F355+I355</f>
        <v>58.8627602634032</v>
      </c>
      <c r="K355" s="32" t="n">
        <f aca="false">F355</f>
        <v>0</v>
      </c>
      <c r="L355" s="32" t="n">
        <f aca="false">C355*1000000/dt_s+J355/2</f>
        <v>9799.57026902059</v>
      </c>
      <c r="M355" s="32" t="n">
        <f aca="false">C355*1000000/dt_s+K355/2</f>
        <v>9770.13888888889</v>
      </c>
    </row>
    <row r="356" customFormat="false" ht="15" hidden="false" customHeight="false" outlineLevel="0" collapsed="false">
      <c r="A356" s="24" t="n">
        <f aca="false">ROUND(A355+0.01,2)</f>
        <v>74.51</v>
      </c>
      <c r="B356" s="25" t="n">
        <f aca="false">INDEX(Bang_F,MATCH(A356,Bang_Z,1))+(A356-INDEX(Bang_Z,MATCH(A356,Bang_Z,1)))*(INDEX(Bang_F,MATCH(A356,Bang_Z,1)+1)-INDEX(Bang_F,MATCH(A356,Bang_Z,1)))</f>
        <v>6.1366</v>
      </c>
      <c r="C356" s="25" t="n">
        <f aca="false">INDEX(Bang_W,MATCH(A356,Bang_Z,1))+(A356-INDEX(Bang_Z,MATCH(A356,Bang_Z,1)))*(INDEX(Bang_F,MATCH(A356,Bang_Z,1))+B356)/2</f>
        <v>35.233833</v>
      </c>
      <c r="D356" s="26" t="n">
        <f aca="false">MAX(A356-TC_Z,0)</f>
        <v>0</v>
      </c>
      <c r="E356" s="27" t="n">
        <f aca="false">1-0.2*(TC_xmb+(TC_n-1)*TC_xmt)*D356/(TC_n*TC_b)</f>
        <v>1</v>
      </c>
      <c r="F356" s="28" t="n">
        <f aca="false">TC_s*E356*TC_m*TC_n*TC_b*SQRT(2*g_)*D356^1.5</f>
        <v>0</v>
      </c>
      <c r="G356" s="29" t="n">
        <f aca="false">MAX(A356-SC_Z,0)</f>
        <v>3.51000000000001</v>
      </c>
      <c r="H356" s="30" t="n">
        <f aca="false">1-0.2*(SC_xmb+(SC_n-1)*SC_xmt)*G356/(SC_n*SC_b)</f>
        <v>0.90172</v>
      </c>
      <c r="I356" s="31" t="n">
        <f aca="false">SC_s*H356*SC_m*SC_n*SC_b*SQRT(2*g_)*G356^1.5</f>
        <v>59.096858723062</v>
      </c>
      <c r="J356" s="32" t="n">
        <f aca="false">F356+I356</f>
        <v>59.096858723062</v>
      </c>
      <c r="K356" s="32" t="n">
        <f aca="false">F356</f>
        <v>0</v>
      </c>
      <c r="L356" s="32" t="n">
        <f aca="false">C356*1000000/dt_s+J356/2</f>
        <v>9816.72426269487</v>
      </c>
      <c r="M356" s="32" t="n">
        <f aca="false">C356*1000000/dt_s+K356/2</f>
        <v>9787.17583333334</v>
      </c>
    </row>
    <row r="357" customFormat="false" ht="15" hidden="false" customHeight="false" outlineLevel="0" collapsed="false">
      <c r="A357" s="24" t="n">
        <f aca="false">ROUND(A356+0.01,2)</f>
        <v>74.52</v>
      </c>
      <c r="B357" s="25" t="n">
        <f aca="false">INDEX(Bang_F,MATCH(A357,Bang_Z,1))+(A357-INDEX(Bang_Z,MATCH(A357,Bang_Z,1)))*(INDEX(Bang_F,MATCH(A357,Bang_Z,1)+1)-INDEX(Bang_F,MATCH(A357,Bang_Z,1)))</f>
        <v>6.1432</v>
      </c>
      <c r="C357" s="25" t="n">
        <f aca="false">INDEX(Bang_W,MATCH(A357,Bang_Z,1))+(A357-INDEX(Bang_Z,MATCH(A357,Bang_Z,1)))*(INDEX(Bang_F,MATCH(A357,Bang_Z,1))+B357)/2</f>
        <v>35.295232</v>
      </c>
      <c r="D357" s="26" t="n">
        <f aca="false">MAX(A357-TC_Z,0)</f>
        <v>0</v>
      </c>
      <c r="E357" s="27" t="n">
        <f aca="false">1-0.2*(TC_xmb+(TC_n-1)*TC_xmt)*D357/(TC_n*TC_b)</f>
        <v>1</v>
      </c>
      <c r="F357" s="28" t="n">
        <f aca="false">TC_s*E357*TC_m*TC_n*TC_b*SQRT(2*g_)*D357^1.5</f>
        <v>0</v>
      </c>
      <c r="G357" s="29" t="n">
        <f aca="false">MAX(A357-SC_Z,0)</f>
        <v>3.52</v>
      </c>
      <c r="H357" s="30" t="n">
        <f aca="false">1-0.2*(SC_xmb+(SC_n-1)*SC_xmt)*G357/(SC_n*SC_b)</f>
        <v>0.90144</v>
      </c>
      <c r="I357" s="31" t="n">
        <f aca="false">SC_s*H357*SC_m*SC_n*SC_b*SQRT(2*g_)*G357^1.5</f>
        <v>59.3311600988569</v>
      </c>
      <c r="J357" s="32" t="n">
        <f aca="false">F357+I357</f>
        <v>59.3311600988569</v>
      </c>
      <c r="K357" s="32" t="n">
        <f aca="false">F357</f>
        <v>0</v>
      </c>
      <c r="L357" s="32" t="n">
        <f aca="false">C357*1000000/dt_s+J357/2</f>
        <v>9833.89669116053</v>
      </c>
      <c r="M357" s="32" t="n">
        <f aca="false">C357*1000000/dt_s+K357/2</f>
        <v>9804.2311111111</v>
      </c>
    </row>
    <row r="358" customFormat="false" ht="15" hidden="false" customHeight="false" outlineLevel="0" collapsed="false">
      <c r="A358" s="24" t="n">
        <f aca="false">ROUND(A357+0.01,2)</f>
        <v>74.53</v>
      </c>
      <c r="B358" s="25" t="n">
        <f aca="false">INDEX(Bang_F,MATCH(A358,Bang_Z,1))+(A358-INDEX(Bang_Z,MATCH(A358,Bang_Z,1)))*(INDEX(Bang_F,MATCH(A358,Bang_Z,1)+1)-INDEX(Bang_F,MATCH(A358,Bang_Z,1)))</f>
        <v>6.1498</v>
      </c>
      <c r="C358" s="25" t="n">
        <f aca="false">INDEX(Bang_W,MATCH(A358,Bang_Z,1))+(A358-INDEX(Bang_Z,MATCH(A358,Bang_Z,1)))*(INDEX(Bang_F,MATCH(A358,Bang_Z,1))+B358)/2</f>
        <v>35.356697</v>
      </c>
      <c r="D358" s="26" t="n">
        <f aca="false">MAX(A358-TC_Z,0)</f>
        <v>0</v>
      </c>
      <c r="E358" s="27" t="n">
        <f aca="false">1-0.2*(TC_xmb+(TC_n-1)*TC_xmt)*D358/(TC_n*TC_b)</f>
        <v>1</v>
      </c>
      <c r="F358" s="28" t="n">
        <f aca="false">TC_s*E358*TC_m*TC_n*TC_b*SQRT(2*g_)*D358^1.5</f>
        <v>0</v>
      </c>
      <c r="G358" s="29" t="n">
        <f aca="false">MAX(A358-SC_Z,0)</f>
        <v>3.53</v>
      </c>
      <c r="H358" s="30" t="n">
        <f aca="false">1-0.2*(SC_xmb+(SC_n-1)*SC_xmt)*G358/(SC_n*SC_b)</f>
        <v>0.90116</v>
      </c>
      <c r="I358" s="31" t="n">
        <f aca="false">SC_s*H358*SC_m*SC_n*SC_b*SQRT(2*g_)*G358^1.5</f>
        <v>59.5656635445859</v>
      </c>
      <c r="J358" s="32" t="n">
        <f aca="false">F358+I358</f>
        <v>59.5656635445859</v>
      </c>
      <c r="K358" s="32" t="n">
        <f aca="false">F358</f>
        <v>0</v>
      </c>
      <c r="L358" s="32" t="n">
        <f aca="false">C358*1000000/dt_s+J358/2</f>
        <v>9851.08755399452</v>
      </c>
      <c r="M358" s="32" t="n">
        <f aca="false">C358*1000000/dt_s+K358/2</f>
        <v>9821.30472222223</v>
      </c>
    </row>
    <row r="359" customFormat="false" ht="15" hidden="false" customHeight="false" outlineLevel="0" collapsed="false">
      <c r="A359" s="24" t="n">
        <f aca="false">ROUND(A358+0.01,2)</f>
        <v>74.54</v>
      </c>
      <c r="B359" s="25" t="n">
        <f aca="false">INDEX(Bang_F,MATCH(A359,Bang_Z,1))+(A359-INDEX(Bang_Z,MATCH(A359,Bang_Z,1)))*(INDEX(Bang_F,MATCH(A359,Bang_Z,1)+1)-INDEX(Bang_F,MATCH(A359,Bang_Z,1)))</f>
        <v>6.1564</v>
      </c>
      <c r="C359" s="25" t="n">
        <f aca="false">INDEX(Bang_W,MATCH(A359,Bang_Z,1))+(A359-INDEX(Bang_Z,MATCH(A359,Bang_Z,1)))*(INDEX(Bang_F,MATCH(A359,Bang_Z,1))+B359)/2</f>
        <v>35.418228</v>
      </c>
      <c r="D359" s="26" t="n">
        <f aca="false">MAX(A359-TC_Z,0)</f>
        <v>0</v>
      </c>
      <c r="E359" s="27" t="n">
        <f aca="false">1-0.2*(TC_xmb+(TC_n-1)*TC_xmt)*D359/(TC_n*TC_b)</f>
        <v>1</v>
      </c>
      <c r="F359" s="28" t="n">
        <f aca="false">TC_s*E359*TC_m*TC_n*TC_b*SQRT(2*g_)*D359^1.5</f>
        <v>0</v>
      </c>
      <c r="G359" s="29" t="n">
        <f aca="false">MAX(A359-SC_Z,0)</f>
        <v>3.54000000000001</v>
      </c>
      <c r="H359" s="30" t="n">
        <f aca="false">1-0.2*(SC_xmb+(SC_n-1)*SC_xmt)*G359/(SC_n*SC_b)</f>
        <v>0.90088</v>
      </c>
      <c r="I359" s="31" t="n">
        <f aca="false">SC_s*H359*SC_m*SC_n*SC_b*SQRT(2*g_)*G359^1.5</f>
        <v>59.8003682168536</v>
      </c>
      <c r="J359" s="32" t="n">
        <f aca="false">F359+I359</f>
        <v>59.8003682168536</v>
      </c>
      <c r="K359" s="32" t="n">
        <f aca="false">F359</f>
        <v>0</v>
      </c>
      <c r="L359" s="32" t="n">
        <f aca="false">C359*1000000/dt_s+J359/2</f>
        <v>9868.2968507751</v>
      </c>
      <c r="M359" s="32" t="n">
        <f aca="false">C359*1000000/dt_s+K359/2</f>
        <v>9838.39666666668</v>
      </c>
    </row>
    <row r="360" customFormat="false" ht="15" hidden="false" customHeight="false" outlineLevel="0" collapsed="false">
      <c r="A360" s="24" t="n">
        <f aca="false">ROUND(A359+0.01,2)</f>
        <v>74.55</v>
      </c>
      <c r="B360" s="25" t="n">
        <f aca="false">INDEX(Bang_F,MATCH(A360,Bang_Z,1))+(A360-INDEX(Bang_Z,MATCH(A360,Bang_Z,1)))*(INDEX(Bang_F,MATCH(A360,Bang_Z,1)+1)-INDEX(Bang_F,MATCH(A360,Bang_Z,1)))</f>
        <v>6.163</v>
      </c>
      <c r="C360" s="25" t="n">
        <f aca="false">INDEX(Bang_W,MATCH(A360,Bang_Z,1))+(A360-INDEX(Bang_Z,MATCH(A360,Bang_Z,1)))*(INDEX(Bang_F,MATCH(A360,Bang_Z,1))+B360)/2</f>
        <v>35.479825</v>
      </c>
      <c r="D360" s="26" t="n">
        <f aca="false">MAX(A360-TC_Z,0)</f>
        <v>0</v>
      </c>
      <c r="E360" s="27" t="n">
        <f aca="false">1-0.2*(TC_xmb+(TC_n-1)*TC_xmt)*D360/(TC_n*TC_b)</f>
        <v>1</v>
      </c>
      <c r="F360" s="28" t="n">
        <f aca="false">TC_s*E360*TC_m*TC_n*TC_b*SQRT(2*g_)*D360^1.5</f>
        <v>0</v>
      </c>
      <c r="G360" s="29" t="n">
        <f aca="false">MAX(A360-SC_Z,0)</f>
        <v>3.55</v>
      </c>
      <c r="H360" s="30" t="n">
        <f aca="false">1-0.2*(SC_xmb+(SC_n-1)*SC_xmt)*G360/(SC_n*SC_b)</f>
        <v>0.9006</v>
      </c>
      <c r="I360" s="31" t="n">
        <f aca="false">SC_s*H360*SC_m*SC_n*SC_b*SQRT(2*g_)*G360^1.5</f>
        <v>60.0352732750537</v>
      </c>
      <c r="J360" s="32" t="n">
        <f aca="false">F360+I360</f>
        <v>60.0352732750537</v>
      </c>
      <c r="K360" s="32" t="n">
        <f aca="false">F360</f>
        <v>0</v>
      </c>
      <c r="L360" s="32" t="n">
        <f aca="false">C360*1000000/dt_s+J360/2</f>
        <v>9885.52458108197</v>
      </c>
      <c r="M360" s="32" t="n">
        <f aca="false">C360*1000000/dt_s+K360/2</f>
        <v>9855.50694444444</v>
      </c>
    </row>
    <row r="361" customFormat="false" ht="15" hidden="false" customHeight="false" outlineLevel="0" collapsed="false">
      <c r="A361" s="24" t="n">
        <f aca="false">ROUND(A360+0.01,2)</f>
        <v>74.56</v>
      </c>
      <c r="B361" s="25" t="n">
        <f aca="false">INDEX(Bang_F,MATCH(A361,Bang_Z,1))+(A361-INDEX(Bang_Z,MATCH(A361,Bang_Z,1)))*(INDEX(Bang_F,MATCH(A361,Bang_Z,1)+1)-INDEX(Bang_F,MATCH(A361,Bang_Z,1)))</f>
        <v>6.1696</v>
      </c>
      <c r="C361" s="25" t="n">
        <f aca="false">INDEX(Bang_W,MATCH(A361,Bang_Z,1))+(A361-INDEX(Bang_Z,MATCH(A361,Bang_Z,1)))*(INDEX(Bang_F,MATCH(A361,Bang_Z,1))+B361)/2</f>
        <v>35.541488</v>
      </c>
      <c r="D361" s="26" t="n">
        <f aca="false">MAX(A361-TC_Z,0)</f>
        <v>0</v>
      </c>
      <c r="E361" s="27" t="n">
        <f aca="false">1-0.2*(TC_xmb+(TC_n-1)*TC_xmt)*D361/(TC_n*TC_b)</f>
        <v>1</v>
      </c>
      <c r="F361" s="28" t="n">
        <f aca="false">TC_s*E361*TC_m*TC_n*TC_b*SQRT(2*g_)*D361^1.5</f>
        <v>0</v>
      </c>
      <c r="G361" s="29" t="n">
        <f aca="false">MAX(A361-SC_Z,0)</f>
        <v>3.56</v>
      </c>
      <c r="H361" s="30" t="n">
        <f aca="false">1-0.2*(SC_xmb+(SC_n-1)*SC_xmt)*G361/(SC_n*SC_b)</f>
        <v>0.90032</v>
      </c>
      <c r="I361" s="31" t="n">
        <f aca="false">SC_s*H361*SC_m*SC_n*SC_b*SQRT(2*g_)*G361^1.5</f>
        <v>60.2703778813511</v>
      </c>
      <c r="J361" s="32" t="n">
        <f aca="false">F361+I361</f>
        <v>60.2703778813511</v>
      </c>
      <c r="K361" s="32" t="n">
        <f aca="false">F361</f>
        <v>0</v>
      </c>
      <c r="L361" s="32" t="n">
        <f aca="false">C361*1000000/dt_s+J361/2</f>
        <v>9902.77074449624</v>
      </c>
      <c r="M361" s="32" t="n">
        <f aca="false">C361*1000000/dt_s+K361/2</f>
        <v>9872.63555555556</v>
      </c>
    </row>
    <row r="362" customFormat="false" ht="15" hidden="false" customHeight="false" outlineLevel="0" collapsed="false">
      <c r="A362" s="24" t="n">
        <f aca="false">ROUND(A361+0.01,2)</f>
        <v>74.57</v>
      </c>
      <c r="B362" s="25" t="n">
        <f aca="false">INDEX(Bang_F,MATCH(A362,Bang_Z,1))+(A362-INDEX(Bang_Z,MATCH(A362,Bang_Z,1)))*(INDEX(Bang_F,MATCH(A362,Bang_Z,1)+1)-INDEX(Bang_F,MATCH(A362,Bang_Z,1)))</f>
        <v>6.1762</v>
      </c>
      <c r="C362" s="25" t="n">
        <f aca="false">INDEX(Bang_W,MATCH(A362,Bang_Z,1))+(A362-INDEX(Bang_Z,MATCH(A362,Bang_Z,1)))*(INDEX(Bang_F,MATCH(A362,Bang_Z,1))+B362)/2</f>
        <v>35.603217</v>
      </c>
      <c r="D362" s="26" t="n">
        <f aca="false">MAX(A362-TC_Z,0)</f>
        <v>0</v>
      </c>
      <c r="E362" s="27" t="n">
        <f aca="false">1-0.2*(TC_xmb+(TC_n-1)*TC_xmt)*D362/(TC_n*TC_b)</f>
        <v>1</v>
      </c>
      <c r="F362" s="28" t="n">
        <f aca="false">TC_s*E362*TC_m*TC_n*TC_b*SQRT(2*g_)*D362^1.5</f>
        <v>0</v>
      </c>
      <c r="G362" s="29" t="n">
        <f aca="false">MAX(A362-SC_Z,0)</f>
        <v>3.56999999999999</v>
      </c>
      <c r="H362" s="30" t="n">
        <f aca="false">1-0.2*(SC_xmb+(SC_n-1)*SC_xmt)*G362/(SC_n*SC_b)</f>
        <v>0.90004</v>
      </c>
      <c r="I362" s="31" t="n">
        <f aca="false">SC_s*H362*SC_m*SC_n*SC_b*SQRT(2*g_)*G362^1.5</f>
        <v>60.5056812006619</v>
      </c>
      <c r="J362" s="32" t="n">
        <f aca="false">F362+I362</f>
        <v>60.5056812006619</v>
      </c>
      <c r="K362" s="32" t="n">
        <f aca="false">F362</f>
        <v>0</v>
      </c>
      <c r="L362" s="32" t="n">
        <f aca="false">C362*1000000/dt_s+J362/2</f>
        <v>9920.03534060032</v>
      </c>
      <c r="M362" s="32" t="n">
        <f aca="false">C362*1000000/dt_s+K362/2</f>
        <v>9889.78249999999</v>
      </c>
    </row>
    <row r="363" customFormat="false" ht="15" hidden="false" customHeight="false" outlineLevel="0" collapsed="false">
      <c r="A363" s="24" t="n">
        <f aca="false">ROUND(A362+0.01,2)</f>
        <v>74.58</v>
      </c>
      <c r="B363" s="25" t="n">
        <f aca="false">INDEX(Bang_F,MATCH(A363,Bang_Z,1))+(A363-INDEX(Bang_Z,MATCH(A363,Bang_Z,1)))*(INDEX(Bang_F,MATCH(A363,Bang_Z,1)+1)-INDEX(Bang_F,MATCH(A363,Bang_Z,1)))</f>
        <v>6.1828</v>
      </c>
      <c r="C363" s="25" t="n">
        <f aca="false">INDEX(Bang_W,MATCH(A363,Bang_Z,1))+(A363-INDEX(Bang_Z,MATCH(A363,Bang_Z,1)))*(INDEX(Bang_F,MATCH(A363,Bang_Z,1))+B363)/2</f>
        <v>35.665012</v>
      </c>
      <c r="D363" s="26" t="n">
        <f aca="false">MAX(A363-TC_Z,0)</f>
        <v>0</v>
      </c>
      <c r="E363" s="27" t="n">
        <f aca="false">1-0.2*(TC_xmb+(TC_n-1)*TC_xmt)*D363/(TC_n*TC_b)</f>
        <v>1</v>
      </c>
      <c r="F363" s="28" t="n">
        <f aca="false">TC_s*E363*TC_m*TC_n*TC_b*SQRT(2*g_)*D363^1.5</f>
        <v>0</v>
      </c>
      <c r="G363" s="29" t="n">
        <f aca="false">MAX(A363-SC_Z,0)</f>
        <v>3.58</v>
      </c>
      <c r="H363" s="30" t="n">
        <f aca="false">1-0.2*(SC_xmb+(SC_n-1)*SC_xmt)*G363/(SC_n*SC_b)</f>
        <v>0.89976</v>
      </c>
      <c r="I363" s="31" t="n">
        <f aca="false">SC_s*H363*SC_m*SC_n*SC_b*SQRT(2*g_)*G363^1.5</f>
        <v>60.741182400637</v>
      </c>
      <c r="J363" s="32" t="n">
        <f aca="false">F363+I363</f>
        <v>60.741182400637</v>
      </c>
      <c r="K363" s="32" t="n">
        <f aca="false">F363</f>
        <v>0</v>
      </c>
      <c r="L363" s="32" t="n">
        <f aca="false">C363*1000000/dt_s+J363/2</f>
        <v>9937.31836897809</v>
      </c>
      <c r="M363" s="32" t="n">
        <f aca="false">C363*1000000/dt_s+K363/2</f>
        <v>9906.94777777778</v>
      </c>
    </row>
    <row r="364" customFormat="false" ht="15" hidden="false" customHeight="false" outlineLevel="0" collapsed="false">
      <c r="A364" s="24" t="n">
        <f aca="false">ROUND(A363+0.01,2)</f>
        <v>74.59</v>
      </c>
      <c r="B364" s="25" t="n">
        <f aca="false">INDEX(Bang_F,MATCH(A364,Bang_Z,1))+(A364-INDEX(Bang_Z,MATCH(A364,Bang_Z,1)))*(INDEX(Bang_F,MATCH(A364,Bang_Z,1)+1)-INDEX(Bang_F,MATCH(A364,Bang_Z,1)))</f>
        <v>6.1894</v>
      </c>
      <c r="C364" s="25" t="n">
        <f aca="false">INDEX(Bang_W,MATCH(A364,Bang_Z,1))+(A364-INDEX(Bang_Z,MATCH(A364,Bang_Z,1)))*(INDEX(Bang_F,MATCH(A364,Bang_Z,1))+B364)/2</f>
        <v>35.726873</v>
      </c>
      <c r="D364" s="26" t="n">
        <f aca="false">MAX(A364-TC_Z,0)</f>
        <v>0</v>
      </c>
      <c r="E364" s="27" t="n">
        <f aca="false">1-0.2*(TC_xmb+(TC_n-1)*TC_xmt)*D364/(TC_n*TC_b)</f>
        <v>1</v>
      </c>
      <c r="F364" s="28" t="n">
        <f aca="false">TC_s*E364*TC_m*TC_n*TC_b*SQRT(2*g_)*D364^1.5</f>
        <v>0</v>
      </c>
      <c r="G364" s="29" t="n">
        <f aca="false">MAX(A364-SC_Z,0)</f>
        <v>3.59</v>
      </c>
      <c r="H364" s="30" t="n">
        <f aca="false">1-0.2*(SC_xmb+(SC_n-1)*SC_xmt)*G364/(SC_n*SC_b)</f>
        <v>0.89948</v>
      </c>
      <c r="I364" s="31" t="n">
        <f aca="false">SC_s*H364*SC_m*SC_n*SC_b*SQRT(2*g_)*G364^1.5</f>
        <v>60.9768806516425</v>
      </c>
      <c r="J364" s="32" t="n">
        <f aca="false">F364+I364</f>
        <v>60.9768806516425</v>
      </c>
      <c r="K364" s="32" t="n">
        <f aca="false">F364</f>
        <v>0</v>
      </c>
      <c r="L364" s="32" t="n">
        <f aca="false">C364*1000000/dt_s+J364/2</f>
        <v>9954.61982921472</v>
      </c>
      <c r="M364" s="32" t="n">
        <f aca="false">C364*1000000/dt_s+K364/2</f>
        <v>9924.13138888889</v>
      </c>
    </row>
    <row r="365" customFormat="false" ht="15" hidden="false" customHeight="false" outlineLevel="0" collapsed="false">
      <c r="A365" s="24" t="n">
        <f aca="false">ROUND(A364+0.01,2)</f>
        <v>74.6</v>
      </c>
      <c r="B365" s="25" t="n">
        <f aca="false">INDEX(Bang_F,MATCH(A365,Bang_Z,1))+(A365-INDEX(Bang_Z,MATCH(A365,Bang_Z,1)))*(INDEX(Bang_F,MATCH(A365,Bang_Z,1)+1)-INDEX(Bang_F,MATCH(A365,Bang_Z,1)))</f>
        <v>6.196</v>
      </c>
      <c r="C365" s="25" t="n">
        <f aca="false">INDEX(Bang_W,MATCH(A365,Bang_Z,1))+(A365-INDEX(Bang_Z,MATCH(A365,Bang_Z,1)))*(INDEX(Bang_F,MATCH(A365,Bang_Z,1))+B365)/2</f>
        <v>35.7888</v>
      </c>
      <c r="D365" s="26" t="n">
        <f aca="false">MAX(A365-TC_Z,0)</f>
        <v>0</v>
      </c>
      <c r="E365" s="27" t="n">
        <f aca="false">1-0.2*(TC_xmb+(TC_n-1)*TC_xmt)*D365/(TC_n*TC_b)</f>
        <v>1</v>
      </c>
      <c r="F365" s="28" t="n">
        <f aca="false">TC_s*E365*TC_m*TC_n*TC_b*SQRT(2*g_)*D365^1.5</f>
        <v>0</v>
      </c>
      <c r="G365" s="29" t="n">
        <f aca="false">MAX(A365-SC_Z,0)</f>
        <v>3.59999999999999</v>
      </c>
      <c r="H365" s="30" t="n">
        <f aca="false">1-0.2*(SC_xmb+(SC_n-1)*SC_xmt)*G365/(SC_n*SC_b)</f>
        <v>0.8992</v>
      </c>
      <c r="I365" s="31" t="n">
        <f aca="false">SC_s*H365*SC_m*SC_n*SC_b*SQRT(2*g_)*G365^1.5</f>
        <v>61.2127751267423</v>
      </c>
      <c r="J365" s="32" t="n">
        <f aca="false">F365+I365</f>
        <v>61.2127751267423</v>
      </c>
      <c r="K365" s="32" t="n">
        <f aca="false">F365</f>
        <v>0</v>
      </c>
      <c r="L365" s="32" t="n">
        <f aca="false">C365*1000000/dt_s+J365/2</f>
        <v>9971.9397208967</v>
      </c>
      <c r="M365" s="32" t="n">
        <f aca="false">C365*1000000/dt_s+K365/2</f>
        <v>9941.33333333332</v>
      </c>
    </row>
    <row r="366" customFormat="false" ht="15" hidden="false" customHeight="false" outlineLevel="0" collapsed="false">
      <c r="A366" s="24" t="n">
        <f aca="false">ROUND(A365+0.01,2)</f>
        <v>74.61</v>
      </c>
      <c r="B366" s="25" t="n">
        <f aca="false">INDEX(Bang_F,MATCH(A366,Bang_Z,1))+(A366-INDEX(Bang_Z,MATCH(A366,Bang_Z,1)))*(INDEX(Bang_F,MATCH(A366,Bang_Z,1)+1)-INDEX(Bang_F,MATCH(A366,Bang_Z,1)))</f>
        <v>6.2026</v>
      </c>
      <c r="C366" s="25" t="n">
        <f aca="false">INDEX(Bang_W,MATCH(A366,Bang_Z,1))+(A366-INDEX(Bang_Z,MATCH(A366,Bang_Z,1)))*(INDEX(Bang_F,MATCH(A366,Bang_Z,1))+B366)/2</f>
        <v>35.850793</v>
      </c>
      <c r="D366" s="26" t="n">
        <f aca="false">MAX(A366-TC_Z,0)</f>
        <v>0</v>
      </c>
      <c r="E366" s="27" t="n">
        <f aca="false">1-0.2*(TC_xmb+(TC_n-1)*TC_xmt)*D366/(TC_n*TC_b)</f>
        <v>1</v>
      </c>
      <c r="F366" s="28" t="n">
        <f aca="false">TC_s*E366*TC_m*TC_n*TC_b*SQRT(2*g_)*D366^1.5</f>
        <v>0</v>
      </c>
      <c r="G366" s="29" t="n">
        <f aca="false">MAX(A366-SC_Z,0)</f>
        <v>3.61</v>
      </c>
      <c r="H366" s="30" t="n">
        <f aca="false">1-0.2*(SC_xmb+(SC_n-1)*SC_xmt)*G366/(SC_n*SC_b)</f>
        <v>0.89892</v>
      </c>
      <c r="I366" s="31" t="n">
        <f aca="false">SC_s*H366*SC_m*SC_n*SC_b*SQRT(2*g_)*G366^1.5</f>
        <v>61.4488650016818</v>
      </c>
      <c r="J366" s="32" t="n">
        <f aca="false">F366+I366</f>
        <v>61.4488650016818</v>
      </c>
      <c r="K366" s="32" t="n">
        <f aca="false">F366</f>
        <v>0</v>
      </c>
      <c r="L366" s="32" t="n">
        <f aca="false">C366*1000000/dt_s+J366/2</f>
        <v>9989.27804361195</v>
      </c>
      <c r="M366" s="32" t="n">
        <f aca="false">C366*1000000/dt_s+K366/2</f>
        <v>9958.55361111111</v>
      </c>
    </row>
    <row r="367" customFormat="false" ht="15" hidden="false" customHeight="false" outlineLevel="0" collapsed="false">
      <c r="A367" s="24" t="n">
        <f aca="false">ROUND(A366+0.01,2)</f>
        <v>74.62</v>
      </c>
      <c r="B367" s="25" t="n">
        <f aca="false">INDEX(Bang_F,MATCH(A367,Bang_Z,1))+(A367-INDEX(Bang_Z,MATCH(A367,Bang_Z,1)))*(INDEX(Bang_F,MATCH(A367,Bang_Z,1)+1)-INDEX(Bang_F,MATCH(A367,Bang_Z,1)))</f>
        <v>6.2092</v>
      </c>
      <c r="C367" s="25" t="n">
        <f aca="false">INDEX(Bang_W,MATCH(A367,Bang_Z,1))+(A367-INDEX(Bang_Z,MATCH(A367,Bang_Z,1)))*(INDEX(Bang_F,MATCH(A367,Bang_Z,1))+B367)/2</f>
        <v>35.912852</v>
      </c>
      <c r="D367" s="26" t="n">
        <f aca="false">MAX(A367-TC_Z,0)</f>
        <v>0</v>
      </c>
      <c r="E367" s="27" t="n">
        <f aca="false">1-0.2*(TC_xmb+(TC_n-1)*TC_xmt)*D367/(TC_n*TC_b)</f>
        <v>1</v>
      </c>
      <c r="F367" s="28" t="n">
        <f aca="false">TC_s*E367*TC_m*TC_n*TC_b*SQRT(2*g_)*D367^1.5</f>
        <v>0</v>
      </c>
      <c r="G367" s="29" t="n">
        <f aca="false">MAX(A367-SC_Z,0)</f>
        <v>3.62</v>
      </c>
      <c r="H367" s="30" t="n">
        <f aca="false">1-0.2*(SC_xmb+(SC_n-1)*SC_xmt)*G367/(SC_n*SC_b)</f>
        <v>0.89864</v>
      </c>
      <c r="I367" s="31" t="n">
        <f aca="false">SC_s*H367*SC_m*SC_n*SC_b*SQRT(2*g_)*G367^1.5</f>
        <v>61.6851494548681</v>
      </c>
      <c r="J367" s="32" t="n">
        <f aca="false">F367+I367</f>
        <v>61.6851494548681</v>
      </c>
      <c r="K367" s="32" t="n">
        <f aca="false">F367</f>
        <v>0</v>
      </c>
      <c r="L367" s="32" t="n">
        <f aca="false">C367*1000000/dt_s+J367/2</f>
        <v>10006.6347969497</v>
      </c>
      <c r="M367" s="32" t="n">
        <f aca="false">C367*1000000/dt_s+K367/2</f>
        <v>9975.79222222223</v>
      </c>
    </row>
    <row r="368" customFormat="false" ht="15" hidden="false" customHeight="false" outlineLevel="0" collapsed="false">
      <c r="A368" s="24" t="n">
        <f aca="false">ROUND(A367+0.01,2)</f>
        <v>74.63</v>
      </c>
      <c r="B368" s="25" t="n">
        <f aca="false">INDEX(Bang_F,MATCH(A368,Bang_Z,1))+(A368-INDEX(Bang_Z,MATCH(A368,Bang_Z,1)))*(INDEX(Bang_F,MATCH(A368,Bang_Z,1)+1)-INDEX(Bang_F,MATCH(A368,Bang_Z,1)))</f>
        <v>6.2158</v>
      </c>
      <c r="C368" s="25" t="n">
        <f aca="false">INDEX(Bang_W,MATCH(A368,Bang_Z,1))+(A368-INDEX(Bang_Z,MATCH(A368,Bang_Z,1)))*(INDEX(Bang_F,MATCH(A368,Bang_Z,1))+B368)/2</f>
        <v>35.974977</v>
      </c>
      <c r="D368" s="26" t="n">
        <f aca="false">MAX(A368-TC_Z,0)</f>
        <v>0</v>
      </c>
      <c r="E368" s="27" t="n">
        <f aca="false">1-0.2*(TC_xmb+(TC_n-1)*TC_xmt)*D368/(TC_n*TC_b)</f>
        <v>1</v>
      </c>
      <c r="F368" s="28" t="n">
        <f aca="false">TC_s*E368*TC_m*TC_n*TC_b*SQRT(2*g_)*D368^1.5</f>
        <v>0</v>
      </c>
      <c r="G368" s="29" t="n">
        <f aca="false">MAX(A368-SC_Z,0)</f>
        <v>3.63</v>
      </c>
      <c r="H368" s="30" t="n">
        <f aca="false">1-0.2*(SC_xmb+(SC_n-1)*SC_xmt)*G368/(SC_n*SC_b)</f>
        <v>0.89836</v>
      </c>
      <c r="I368" s="31" t="n">
        <f aca="false">SC_s*H368*SC_m*SC_n*SC_b*SQRT(2*g_)*G368^1.5</f>
        <v>61.921627667354</v>
      </c>
      <c r="J368" s="32" t="n">
        <f aca="false">F368+I368</f>
        <v>61.921627667354</v>
      </c>
      <c r="K368" s="32" t="n">
        <f aca="false">F368</f>
        <v>0</v>
      </c>
      <c r="L368" s="32" t="n">
        <f aca="false">C368*1000000/dt_s+J368/2</f>
        <v>10024.0099805003</v>
      </c>
      <c r="M368" s="32" t="n">
        <f aca="false">C368*1000000/dt_s+K368/2</f>
        <v>9993.04916666666</v>
      </c>
    </row>
    <row r="369" customFormat="false" ht="15" hidden="false" customHeight="false" outlineLevel="0" collapsed="false">
      <c r="A369" s="24" t="n">
        <f aca="false">ROUND(A368+0.01,2)</f>
        <v>74.64</v>
      </c>
      <c r="B369" s="25" t="n">
        <f aca="false">INDEX(Bang_F,MATCH(A369,Bang_Z,1))+(A369-INDEX(Bang_Z,MATCH(A369,Bang_Z,1)))*(INDEX(Bang_F,MATCH(A369,Bang_Z,1)+1)-INDEX(Bang_F,MATCH(A369,Bang_Z,1)))</f>
        <v>6.2224</v>
      </c>
      <c r="C369" s="25" t="n">
        <f aca="false">INDEX(Bang_W,MATCH(A369,Bang_Z,1))+(A369-INDEX(Bang_Z,MATCH(A369,Bang_Z,1)))*(INDEX(Bang_F,MATCH(A369,Bang_Z,1))+B369)/2</f>
        <v>36.037168</v>
      </c>
      <c r="D369" s="26" t="n">
        <f aca="false">MAX(A369-TC_Z,0)</f>
        <v>0</v>
      </c>
      <c r="E369" s="27" t="n">
        <f aca="false">1-0.2*(TC_xmb+(TC_n-1)*TC_xmt)*D369/(TC_n*TC_b)</f>
        <v>1</v>
      </c>
      <c r="F369" s="28" t="n">
        <f aca="false">TC_s*E369*TC_m*TC_n*TC_b*SQRT(2*g_)*D369^1.5</f>
        <v>0</v>
      </c>
      <c r="G369" s="29" t="n">
        <f aca="false">MAX(A369-SC_Z,0)</f>
        <v>3.64</v>
      </c>
      <c r="H369" s="30" t="n">
        <f aca="false">1-0.2*(SC_xmb+(SC_n-1)*SC_xmt)*G369/(SC_n*SC_b)</f>
        <v>0.89808</v>
      </c>
      <c r="I369" s="31" t="n">
        <f aca="false">SC_s*H369*SC_m*SC_n*SC_b*SQRT(2*g_)*G369^1.5</f>
        <v>62.1582988228216</v>
      </c>
      <c r="J369" s="32" t="n">
        <f aca="false">F369+I369</f>
        <v>62.1582988228216</v>
      </c>
      <c r="K369" s="32" t="n">
        <f aca="false">F369</f>
        <v>0</v>
      </c>
      <c r="L369" s="32" t="n">
        <f aca="false">C369*1000000/dt_s+J369/2</f>
        <v>10041.4035938559</v>
      </c>
      <c r="M369" s="32" t="n">
        <f aca="false">C369*1000000/dt_s+K369/2</f>
        <v>10010.3244444444</v>
      </c>
    </row>
    <row r="370" customFormat="false" ht="15" hidden="false" customHeight="false" outlineLevel="0" collapsed="false">
      <c r="A370" s="24" t="n">
        <f aca="false">ROUND(A369+0.01,2)</f>
        <v>74.65</v>
      </c>
      <c r="B370" s="25" t="n">
        <f aca="false">INDEX(Bang_F,MATCH(A370,Bang_Z,1))+(A370-INDEX(Bang_Z,MATCH(A370,Bang_Z,1)))*(INDEX(Bang_F,MATCH(A370,Bang_Z,1)+1)-INDEX(Bang_F,MATCH(A370,Bang_Z,1)))</f>
        <v>6.229</v>
      </c>
      <c r="C370" s="25" t="n">
        <f aca="false">INDEX(Bang_W,MATCH(A370,Bang_Z,1))+(A370-INDEX(Bang_Z,MATCH(A370,Bang_Z,1)))*(INDEX(Bang_F,MATCH(A370,Bang_Z,1))+B370)/2</f>
        <v>36.099425</v>
      </c>
      <c r="D370" s="26" t="n">
        <f aca="false">MAX(A370-TC_Z,0)</f>
        <v>0</v>
      </c>
      <c r="E370" s="27" t="n">
        <f aca="false">1-0.2*(TC_xmb+(TC_n-1)*TC_xmt)*D370/(TC_n*TC_b)</f>
        <v>1</v>
      </c>
      <c r="F370" s="28" t="n">
        <f aca="false">TC_s*E370*TC_m*TC_n*TC_b*SQRT(2*g_)*D370^1.5</f>
        <v>0</v>
      </c>
      <c r="G370" s="29" t="n">
        <f aca="false">MAX(A370-SC_Z,0)</f>
        <v>3.65000000000001</v>
      </c>
      <c r="H370" s="30" t="n">
        <f aca="false">1-0.2*(SC_xmb+(SC_n-1)*SC_xmt)*G370/(SC_n*SC_b)</f>
        <v>0.8978</v>
      </c>
      <c r="I370" s="31" t="n">
        <f aca="false">SC_s*H370*SC_m*SC_n*SC_b*SQRT(2*g_)*G370^1.5</f>
        <v>62.395162107563</v>
      </c>
      <c r="J370" s="32" t="n">
        <f aca="false">F370+I370</f>
        <v>62.395162107563</v>
      </c>
      <c r="K370" s="32" t="n">
        <f aca="false">F370</f>
        <v>0</v>
      </c>
      <c r="L370" s="32" t="n">
        <f aca="false">C370*1000000/dt_s+J370/2</f>
        <v>10058.8156366093</v>
      </c>
      <c r="M370" s="32" t="n">
        <f aca="false">C370*1000000/dt_s+K370/2</f>
        <v>10027.6180555556</v>
      </c>
    </row>
    <row r="371" customFormat="false" ht="15" hidden="false" customHeight="false" outlineLevel="0" collapsed="false">
      <c r="A371" s="24" t="n">
        <f aca="false">ROUND(A370+0.01,2)</f>
        <v>74.66</v>
      </c>
      <c r="B371" s="25" t="n">
        <f aca="false">INDEX(Bang_F,MATCH(A371,Bang_Z,1))+(A371-INDEX(Bang_Z,MATCH(A371,Bang_Z,1)))*(INDEX(Bang_F,MATCH(A371,Bang_Z,1)+1)-INDEX(Bang_F,MATCH(A371,Bang_Z,1)))</f>
        <v>6.2356</v>
      </c>
      <c r="C371" s="25" t="n">
        <f aca="false">INDEX(Bang_W,MATCH(A371,Bang_Z,1))+(A371-INDEX(Bang_Z,MATCH(A371,Bang_Z,1)))*(INDEX(Bang_F,MATCH(A371,Bang_Z,1))+B371)/2</f>
        <v>36.161748</v>
      </c>
      <c r="D371" s="26" t="n">
        <f aca="false">MAX(A371-TC_Z,0)</f>
        <v>0</v>
      </c>
      <c r="E371" s="27" t="n">
        <f aca="false">1-0.2*(TC_xmb+(TC_n-1)*TC_xmt)*D371/(TC_n*TC_b)</f>
        <v>1</v>
      </c>
      <c r="F371" s="28" t="n">
        <f aca="false">TC_s*E371*TC_m*TC_n*TC_b*SQRT(2*g_)*D371^1.5</f>
        <v>0</v>
      </c>
      <c r="G371" s="29" t="n">
        <f aca="false">MAX(A371-SC_Z,0)</f>
        <v>3.66</v>
      </c>
      <c r="H371" s="30" t="n">
        <f aca="false">1-0.2*(SC_xmb+(SC_n-1)*SC_xmt)*G371/(SC_n*SC_b)</f>
        <v>0.89752</v>
      </c>
      <c r="I371" s="31" t="n">
        <f aca="false">SC_s*H371*SC_m*SC_n*SC_b*SQRT(2*g_)*G371^1.5</f>
        <v>62.632216710465</v>
      </c>
      <c r="J371" s="32" t="n">
        <f aca="false">F371+I371</f>
        <v>62.632216710465</v>
      </c>
      <c r="K371" s="32" t="n">
        <f aca="false">F371</f>
        <v>0</v>
      </c>
      <c r="L371" s="32" t="n">
        <f aca="false">C371*1000000/dt_s+J371/2</f>
        <v>10076.2461083552</v>
      </c>
      <c r="M371" s="32" t="n">
        <f aca="false">C371*1000000/dt_s+K371/2</f>
        <v>10044.93</v>
      </c>
    </row>
    <row r="372" customFormat="false" ht="15" hidden="false" customHeight="false" outlineLevel="0" collapsed="false">
      <c r="A372" s="24" t="n">
        <f aca="false">ROUND(A371+0.01,2)</f>
        <v>74.67</v>
      </c>
      <c r="B372" s="25" t="n">
        <f aca="false">INDEX(Bang_F,MATCH(A372,Bang_Z,1))+(A372-INDEX(Bang_Z,MATCH(A372,Bang_Z,1)))*(INDEX(Bang_F,MATCH(A372,Bang_Z,1)+1)-INDEX(Bang_F,MATCH(A372,Bang_Z,1)))</f>
        <v>6.2422</v>
      </c>
      <c r="C372" s="25" t="n">
        <f aca="false">INDEX(Bang_W,MATCH(A372,Bang_Z,1))+(A372-INDEX(Bang_Z,MATCH(A372,Bang_Z,1)))*(INDEX(Bang_F,MATCH(A372,Bang_Z,1))+B372)/2</f>
        <v>36.224137</v>
      </c>
      <c r="D372" s="26" t="n">
        <f aca="false">MAX(A372-TC_Z,0)</f>
        <v>0</v>
      </c>
      <c r="E372" s="27" t="n">
        <f aca="false">1-0.2*(TC_xmb+(TC_n-1)*TC_xmt)*D372/(TC_n*TC_b)</f>
        <v>1</v>
      </c>
      <c r="F372" s="28" t="n">
        <f aca="false">TC_s*E372*TC_m*TC_n*TC_b*SQRT(2*g_)*D372^1.5</f>
        <v>0</v>
      </c>
      <c r="G372" s="29" t="n">
        <f aca="false">MAX(A372-SC_Z,0)</f>
        <v>3.67</v>
      </c>
      <c r="H372" s="30" t="n">
        <f aca="false">1-0.2*(SC_xmb+(SC_n-1)*SC_xmt)*G372/(SC_n*SC_b)</f>
        <v>0.89724</v>
      </c>
      <c r="I372" s="31" t="n">
        <f aca="false">SC_s*H372*SC_m*SC_n*SC_b*SQRT(2*g_)*G372^1.5</f>
        <v>62.8694618229931</v>
      </c>
      <c r="J372" s="32" t="n">
        <f aca="false">F372+I372</f>
        <v>62.8694618229931</v>
      </c>
      <c r="K372" s="32" t="n">
        <f aca="false">F372</f>
        <v>0</v>
      </c>
      <c r="L372" s="32" t="n">
        <f aca="false">C372*1000000/dt_s+J372/2</f>
        <v>10093.6950086893</v>
      </c>
      <c r="M372" s="32" t="n">
        <f aca="false">C372*1000000/dt_s+K372/2</f>
        <v>10062.2602777778</v>
      </c>
    </row>
    <row r="373" customFormat="false" ht="15" hidden="false" customHeight="false" outlineLevel="0" collapsed="false">
      <c r="A373" s="24" t="n">
        <f aca="false">ROUND(A372+0.01,2)</f>
        <v>74.68</v>
      </c>
      <c r="B373" s="25" t="n">
        <f aca="false">INDEX(Bang_F,MATCH(A373,Bang_Z,1))+(A373-INDEX(Bang_Z,MATCH(A373,Bang_Z,1)))*(INDEX(Bang_F,MATCH(A373,Bang_Z,1)+1)-INDEX(Bang_F,MATCH(A373,Bang_Z,1)))</f>
        <v>6.24880000000001</v>
      </c>
      <c r="C373" s="25" t="n">
        <f aca="false">INDEX(Bang_W,MATCH(A373,Bang_Z,1))+(A373-INDEX(Bang_Z,MATCH(A373,Bang_Z,1)))*(INDEX(Bang_F,MATCH(A373,Bang_Z,1))+B373)/2</f>
        <v>36.286592</v>
      </c>
      <c r="D373" s="26" t="n">
        <f aca="false">MAX(A373-TC_Z,0)</f>
        <v>0</v>
      </c>
      <c r="E373" s="27" t="n">
        <f aca="false">1-0.2*(TC_xmb+(TC_n-1)*TC_xmt)*D373/(TC_n*TC_b)</f>
        <v>1</v>
      </c>
      <c r="F373" s="28" t="n">
        <f aca="false">TC_s*E373*TC_m*TC_n*TC_b*SQRT(2*g_)*D373^1.5</f>
        <v>0</v>
      </c>
      <c r="G373" s="29" t="n">
        <f aca="false">MAX(A373-SC_Z,0)</f>
        <v>3.68000000000001</v>
      </c>
      <c r="H373" s="30" t="n">
        <f aca="false">1-0.2*(SC_xmb+(SC_n-1)*SC_xmt)*G373/(SC_n*SC_b)</f>
        <v>0.89696</v>
      </c>
      <c r="I373" s="31" t="n">
        <f aca="false">SC_s*H373*SC_m*SC_n*SC_b*SQRT(2*g_)*G373^1.5</f>
        <v>63.1068966391728</v>
      </c>
      <c r="J373" s="32" t="n">
        <f aca="false">F373+I373</f>
        <v>63.1068966391728</v>
      </c>
      <c r="K373" s="32" t="n">
        <f aca="false">F373</f>
        <v>0</v>
      </c>
      <c r="L373" s="32" t="n">
        <f aca="false">C373*1000000/dt_s+J373/2</f>
        <v>10111.1623372085</v>
      </c>
      <c r="M373" s="32" t="n">
        <f aca="false">C373*1000000/dt_s+K373/2</f>
        <v>10079.6088888889</v>
      </c>
    </row>
    <row r="374" customFormat="false" ht="15" hidden="false" customHeight="false" outlineLevel="0" collapsed="false">
      <c r="A374" s="24" t="n">
        <f aca="false">ROUND(A373+0.01,2)</f>
        <v>74.69</v>
      </c>
      <c r="B374" s="25" t="n">
        <f aca="false">INDEX(Bang_F,MATCH(A374,Bang_Z,1))+(A374-INDEX(Bang_Z,MATCH(A374,Bang_Z,1)))*(INDEX(Bang_F,MATCH(A374,Bang_Z,1)+1)-INDEX(Bang_F,MATCH(A374,Bang_Z,1)))</f>
        <v>6.2554</v>
      </c>
      <c r="C374" s="25" t="n">
        <f aca="false">INDEX(Bang_W,MATCH(A374,Bang_Z,1))+(A374-INDEX(Bang_Z,MATCH(A374,Bang_Z,1)))*(INDEX(Bang_F,MATCH(A374,Bang_Z,1))+B374)/2</f>
        <v>36.349113</v>
      </c>
      <c r="D374" s="26" t="n">
        <f aca="false">MAX(A374-TC_Z,0)</f>
        <v>0</v>
      </c>
      <c r="E374" s="27" t="n">
        <f aca="false">1-0.2*(TC_xmb+(TC_n-1)*TC_xmt)*D374/(TC_n*TC_b)</f>
        <v>1</v>
      </c>
      <c r="F374" s="28" t="n">
        <f aca="false">TC_s*E374*TC_m*TC_n*TC_b*SQRT(2*g_)*D374^1.5</f>
        <v>0</v>
      </c>
      <c r="G374" s="29" t="n">
        <f aca="false">MAX(A374-SC_Z,0)</f>
        <v>3.69</v>
      </c>
      <c r="H374" s="30" t="n">
        <f aca="false">1-0.2*(SC_xmb+(SC_n-1)*SC_xmt)*G374/(SC_n*SC_b)</f>
        <v>0.89668</v>
      </c>
      <c r="I374" s="31" t="n">
        <f aca="false">SC_s*H374*SC_m*SC_n*SC_b*SQRT(2*g_)*G374^1.5</f>
        <v>63.3445203555747</v>
      </c>
      <c r="J374" s="32" t="n">
        <f aca="false">F374+I374</f>
        <v>63.3445203555747</v>
      </c>
      <c r="K374" s="32" t="n">
        <f aca="false">F374</f>
        <v>0</v>
      </c>
      <c r="L374" s="32" t="n">
        <f aca="false">C374*1000000/dt_s+J374/2</f>
        <v>10128.6480935111</v>
      </c>
      <c r="M374" s="32" t="n">
        <f aca="false">C374*1000000/dt_s+K374/2</f>
        <v>10096.9758333333</v>
      </c>
    </row>
    <row r="375" customFormat="false" ht="15" hidden="false" customHeight="false" outlineLevel="0" collapsed="false">
      <c r="A375" s="24" t="n">
        <f aca="false">ROUND(A374+0.01,2)</f>
        <v>74.7</v>
      </c>
      <c r="B375" s="25" t="n">
        <f aca="false">INDEX(Bang_F,MATCH(A375,Bang_Z,1))+(A375-INDEX(Bang_Z,MATCH(A375,Bang_Z,1)))*(INDEX(Bang_F,MATCH(A375,Bang_Z,1)+1)-INDEX(Bang_F,MATCH(A375,Bang_Z,1)))</f>
        <v>6.262</v>
      </c>
      <c r="C375" s="25" t="n">
        <f aca="false">INDEX(Bang_W,MATCH(A375,Bang_Z,1))+(A375-INDEX(Bang_Z,MATCH(A375,Bang_Z,1)))*(INDEX(Bang_F,MATCH(A375,Bang_Z,1))+B375)/2</f>
        <v>36.4117</v>
      </c>
      <c r="D375" s="26" t="n">
        <f aca="false">MAX(A375-TC_Z,0)</f>
        <v>0</v>
      </c>
      <c r="E375" s="27" t="n">
        <f aca="false">1-0.2*(TC_xmb+(TC_n-1)*TC_xmt)*D375/(TC_n*TC_b)</f>
        <v>1</v>
      </c>
      <c r="F375" s="28" t="n">
        <f aca="false">TC_s*E375*TC_m*TC_n*TC_b*SQRT(2*g_)*D375^1.5</f>
        <v>0</v>
      </c>
      <c r="G375" s="29" t="n">
        <f aca="false">MAX(A375-SC_Z,0)</f>
        <v>3.7</v>
      </c>
      <c r="H375" s="30" t="n">
        <f aca="false">1-0.2*(SC_xmb+(SC_n-1)*SC_xmt)*G375/(SC_n*SC_b)</f>
        <v>0.8964</v>
      </c>
      <c r="I375" s="31" t="n">
        <f aca="false">SC_s*H375*SC_m*SC_n*SC_b*SQRT(2*g_)*G375^1.5</f>
        <v>63.5823321712985</v>
      </c>
      <c r="J375" s="32" t="n">
        <f aca="false">F375+I375</f>
        <v>63.5823321712985</v>
      </c>
      <c r="K375" s="32" t="n">
        <f aca="false">F375</f>
        <v>0</v>
      </c>
      <c r="L375" s="32" t="n">
        <f aca="false">C375*1000000/dt_s+J375/2</f>
        <v>10146.1522771968</v>
      </c>
      <c r="M375" s="32" t="n">
        <f aca="false">C375*1000000/dt_s+K375/2</f>
        <v>10114.3611111111</v>
      </c>
    </row>
    <row r="376" customFormat="false" ht="15" hidden="false" customHeight="false" outlineLevel="0" collapsed="false">
      <c r="A376" s="24" t="n">
        <f aca="false">ROUND(A375+0.01,2)</f>
        <v>74.71</v>
      </c>
      <c r="B376" s="25" t="n">
        <f aca="false">INDEX(Bang_F,MATCH(A376,Bang_Z,1))+(A376-INDEX(Bang_Z,MATCH(A376,Bang_Z,1)))*(INDEX(Bang_F,MATCH(A376,Bang_Z,1)+1)-INDEX(Bang_F,MATCH(A376,Bang_Z,1)))</f>
        <v>6.2686</v>
      </c>
      <c r="C376" s="25" t="n">
        <f aca="false">INDEX(Bang_W,MATCH(A376,Bang_Z,1))+(A376-INDEX(Bang_Z,MATCH(A376,Bang_Z,1)))*(INDEX(Bang_F,MATCH(A376,Bang_Z,1))+B376)/2</f>
        <v>36.474353</v>
      </c>
      <c r="D376" s="26" t="n">
        <f aca="false">MAX(A376-TC_Z,0)</f>
        <v>0.00999999999999091</v>
      </c>
      <c r="E376" s="27" t="n">
        <f aca="false">1-0.2*(TC_xmb+(TC_n-1)*TC_xmt)*D376/(TC_n*TC_b)</f>
        <v>0.999601851851852</v>
      </c>
      <c r="F376" s="28" t="n">
        <f aca="false">TC_s*E376*TC_m*TC_n*TC_b*SQRT(2*g_)*D376^1.5</f>
        <v>0.043037082084009</v>
      </c>
      <c r="G376" s="29" t="n">
        <f aca="false">MAX(A376-SC_Z,0)</f>
        <v>3.70999999999999</v>
      </c>
      <c r="H376" s="30" t="n">
        <f aca="false">1-0.2*(SC_xmb+(SC_n-1)*SC_xmt)*G376/(SC_n*SC_b)</f>
        <v>0.89612</v>
      </c>
      <c r="I376" s="31" t="n">
        <f aca="false">SC_s*H376*SC_m*SC_n*SC_b*SQRT(2*g_)*G376^1.5</f>
        <v>63.8203312879554</v>
      </c>
      <c r="J376" s="32" t="n">
        <f aca="false">F376+I376</f>
        <v>63.8633683700395</v>
      </c>
      <c r="K376" s="32" t="n">
        <f aca="false">F376</f>
        <v>0.043037082084009</v>
      </c>
      <c r="L376" s="32" t="n">
        <f aca="false">C376*1000000/dt_s+J376/2</f>
        <v>10163.6964064072</v>
      </c>
      <c r="M376" s="32" t="n">
        <f aca="false">C376*1000000/dt_s+K376/2</f>
        <v>10131.7862407633</v>
      </c>
    </row>
    <row r="377" customFormat="false" ht="15" hidden="false" customHeight="false" outlineLevel="0" collapsed="false">
      <c r="A377" s="24" t="n">
        <f aca="false">ROUND(A376+0.01,2)</f>
        <v>74.72</v>
      </c>
      <c r="B377" s="25" t="n">
        <f aca="false">INDEX(Bang_F,MATCH(A377,Bang_Z,1))+(A377-INDEX(Bang_Z,MATCH(A377,Bang_Z,1)))*(INDEX(Bang_F,MATCH(A377,Bang_Z,1)+1)-INDEX(Bang_F,MATCH(A377,Bang_Z,1)))</f>
        <v>6.2752</v>
      </c>
      <c r="C377" s="25" t="n">
        <f aca="false">INDEX(Bang_W,MATCH(A377,Bang_Z,1))+(A377-INDEX(Bang_Z,MATCH(A377,Bang_Z,1)))*(INDEX(Bang_F,MATCH(A377,Bang_Z,1))+B377)/2</f>
        <v>36.537072</v>
      </c>
      <c r="D377" s="26" t="n">
        <f aca="false">MAX(A377-TC_Z,0)</f>
        <v>0.019999999999996</v>
      </c>
      <c r="E377" s="27" t="n">
        <f aca="false">1-0.2*(TC_xmb+(TC_n-1)*TC_xmt)*D377/(TC_n*TC_b)</f>
        <v>0.999203703703704</v>
      </c>
      <c r="F377" s="28" t="n">
        <f aca="false">TC_s*E377*TC_m*TC_n*TC_b*SQRT(2*g_)*D377^1.5</f>
        <v>0.121678765553042</v>
      </c>
      <c r="G377" s="29" t="n">
        <f aca="false">MAX(A377-SC_Z,0)</f>
        <v>3.72</v>
      </c>
      <c r="H377" s="30" t="n">
        <f aca="false">1-0.2*(SC_xmb+(SC_n-1)*SC_xmt)*G377/(SC_n*SC_b)</f>
        <v>0.89584</v>
      </c>
      <c r="I377" s="31" t="n">
        <f aca="false">SC_s*H377*SC_m*SC_n*SC_b*SQRT(2*g_)*G377^1.5</f>
        <v>64.0585169096542</v>
      </c>
      <c r="J377" s="32" t="n">
        <f aca="false">F377+I377</f>
        <v>64.1801956752073</v>
      </c>
      <c r="K377" s="32" t="n">
        <f aca="false">F377</f>
        <v>0.121678765553042</v>
      </c>
      <c r="L377" s="32" t="n">
        <f aca="false">C377*1000000/dt_s+J377/2</f>
        <v>10181.2767645043</v>
      </c>
      <c r="M377" s="32" t="n">
        <f aca="false">C377*1000000/dt_s+K377/2</f>
        <v>10149.2475060494</v>
      </c>
    </row>
    <row r="378" customFormat="false" ht="15" hidden="false" customHeight="false" outlineLevel="0" collapsed="false">
      <c r="A378" s="24" t="n">
        <f aca="false">ROUND(A377+0.01,2)</f>
        <v>74.73</v>
      </c>
      <c r="B378" s="25" t="n">
        <f aca="false">INDEX(Bang_F,MATCH(A378,Bang_Z,1))+(A378-INDEX(Bang_Z,MATCH(A378,Bang_Z,1)))*(INDEX(Bang_F,MATCH(A378,Bang_Z,1)+1)-INDEX(Bang_F,MATCH(A378,Bang_Z,1)))</f>
        <v>6.2818</v>
      </c>
      <c r="C378" s="25" t="n">
        <f aca="false">INDEX(Bang_W,MATCH(A378,Bang_Z,1))+(A378-INDEX(Bang_Z,MATCH(A378,Bang_Z,1)))*(INDEX(Bang_F,MATCH(A378,Bang_Z,1))+B378)/2</f>
        <v>36.599857</v>
      </c>
      <c r="D378" s="26" t="n">
        <f aca="false">MAX(A378-TC_Z,0)</f>
        <v>0.0300000000000011</v>
      </c>
      <c r="E378" s="27" t="n">
        <f aca="false">1-0.2*(TC_xmb+(TC_n-1)*TC_xmt)*D378/(TC_n*TC_b)</f>
        <v>0.998805555555556</v>
      </c>
      <c r="F378" s="28" t="n">
        <f aca="false">TC_s*E378*TC_m*TC_n*TC_b*SQRT(2*g_)*D378^1.5</f>
        <v>0.223449093867835</v>
      </c>
      <c r="G378" s="29" t="n">
        <f aca="false">MAX(A378-SC_Z,0)</f>
        <v>3.73</v>
      </c>
      <c r="H378" s="30" t="n">
        <f aca="false">1-0.2*(SC_xmb+(SC_n-1)*SC_xmt)*G378/(SC_n*SC_b)</f>
        <v>0.89556</v>
      </c>
      <c r="I378" s="31" t="n">
        <f aca="false">SC_s*H378*SC_m*SC_n*SC_b*SQRT(2*g_)*G378^1.5</f>
        <v>64.2968882429835</v>
      </c>
      <c r="J378" s="32" t="n">
        <f aca="false">F378+I378</f>
        <v>64.5203373368513</v>
      </c>
      <c r="K378" s="32" t="n">
        <f aca="false">F378</f>
        <v>0.223449093867835</v>
      </c>
      <c r="L378" s="32" t="n">
        <f aca="false">C378*1000000/dt_s+J378/2</f>
        <v>10198.8871131129</v>
      </c>
      <c r="M378" s="32" t="n">
        <f aca="false">C378*1000000/dt_s+K378/2</f>
        <v>10166.7386689914</v>
      </c>
    </row>
    <row r="379" customFormat="false" ht="15" hidden="false" customHeight="false" outlineLevel="0" collapsed="false">
      <c r="A379" s="24" t="n">
        <f aca="false">ROUND(A378+0.01,2)</f>
        <v>74.74</v>
      </c>
      <c r="B379" s="25" t="n">
        <f aca="false">INDEX(Bang_F,MATCH(A379,Bang_Z,1))+(A379-INDEX(Bang_Z,MATCH(A379,Bang_Z,1)))*(INDEX(Bang_F,MATCH(A379,Bang_Z,1)+1)-INDEX(Bang_F,MATCH(A379,Bang_Z,1)))</f>
        <v>6.2884</v>
      </c>
      <c r="C379" s="25" t="n">
        <f aca="false">INDEX(Bang_W,MATCH(A379,Bang_Z,1))+(A379-INDEX(Bang_Z,MATCH(A379,Bang_Z,1)))*(INDEX(Bang_F,MATCH(A379,Bang_Z,1))+B379)/2</f>
        <v>36.662708</v>
      </c>
      <c r="D379" s="26" t="n">
        <f aca="false">MAX(A379-TC_Z,0)</f>
        <v>0.039999999999992</v>
      </c>
      <c r="E379" s="27" t="n">
        <f aca="false">1-0.2*(TC_xmb+(TC_n-1)*TC_xmt)*D379/(TC_n*TC_b)</f>
        <v>0.998407407407408</v>
      </c>
      <c r="F379" s="28" t="n">
        <f aca="false">TC_s*E379*TC_m*TC_n*TC_b*SQRT(2*g_)*D379^1.5</f>
        <v>0.343885249642689</v>
      </c>
      <c r="G379" s="29" t="n">
        <f aca="false">MAX(A379-SC_Z,0)</f>
        <v>3.74</v>
      </c>
      <c r="H379" s="30" t="n">
        <f aca="false">1-0.2*(SC_xmb+(SC_n-1)*SC_xmt)*G379/(SC_n*SC_b)</f>
        <v>0.89528</v>
      </c>
      <c r="I379" s="31" t="n">
        <f aca="false">SC_s*H379*SC_m*SC_n*SC_b*SQRT(2*g_)*G379^1.5</f>
        <v>64.5354444969967</v>
      </c>
      <c r="J379" s="32" t="n">
        <f aca="false">F379+I379</f>
        <v>64.8793297466394</v>
      </c>
      <c r="K379" s="32" t="n">
        <f aca="false">F379</f>
        <v>0.343885249642689</v>
      </c>
      <c r="L379" s="32" t="n">
        <f aca="false">C379*1000000/dt_s+J379/2</f>
        <v>10216.5252204289</v>
      </c>
      <c r="M379" s="32" t="n">
        <f aca="false">C379*1000000/dt_s+K379/2</f>
        <v>10184.2574981804</v>
      </c>
    </row>
    <row r="380" customFormat="false" ht="15" hidden="false" customHeight="false" outlineLevel="0" collapsed="false">
      <c r="A380" s="24" t="n">
        <f aca="false">ROUND(A379+0.01,2)</f>
        <v>74.75</v>
      </c>
      <c r="B380" s="25" t="n">
        <f aca="false">INDEX(Bang_F,MATCH(A380,Bang_Z,1))+(A380-INDEX(Bang_Z,MATCH(A380,Bang_Z,1)))*(INDEX(Bang_F,MATCH(A380,Bang_Z,1)+1)-INDEX(Bang_F,MATCH(A380,Bang_Z,1)))</f>
        <v>6.295</v>
      </c>
      <c r="C380" s="25" t="n">
        <f aca="false">INDEX(Bang_W,MATCH(A380,Bang_Z,1))+(A380-INDEX(Bang_Z,MATCH(A380,Bang_Z,1)))*(INDEX(Bang_F,MATCH(A380,Bang_Z,1))+B380)/2</f>
        <v>36.725625</v>
      </c>
      <c r="D380" s="26" t="n">
        <f aca="false">MAX(A380-TC_Z,0)</f>
        <v>0.0499999999999972</v>
      </c>
      <c r="E380" s="27" t="n">
        <f aca="false">1-0.2*(TC_xmb+(TC_n-1)*TC_xmt)*D380/(TC_n*TC_b)</f>
        <v>0.998009259259259</v>
      </c>
      <c r="F380" s="28" t="n">
        <f aca="false">TC_s*E380*TC_m*TC_n*TC_b*SQRT(2*g_)*D380^1.5</f>
        <v>0.480402593728575</v>
      </c>
      <c r="G380" s="29" t="n">
        <f aca="false">MAX(A380-SC_Z,0)</f>
        <v>3.75</v>
      </c>
      <c r="H380" s="30" t="n">
        <f aca="false">1-0.2*(SC_xmb+(SC_n-1)*SC_xmt)*G380/(SC_n*SC_b)</f>
        <v>0.895</v>
      </c>
      <c r="I380" s="31" t="n">
        <f aca="false">SC_s*H380*SC_m*SC_n*SC_b*SQRT(2*g_)*G380^1.5</f>
        <v>64.774184883198</v>
      </c>
      <c r="J380" s="32" t="n">
        <f aca="false">F380+I380</f>
        <v>65.2545874769266</v>
      </c>
      <c r="K380" s="32" t="n">
        <f aca="false">F380</f>
        <v>0.480402593728575</v>
      </c>
      <c r="L380" s="32" t="n">
        <f aca="false">C380*1000000/dt_s+J380/2</f>
        <v>10234.1897937385</v>
      </c>
      <c r="M380" s="32" t="n">
        <f aca="false">C380*1000000/dt_s+K380/2</f>
        <v>10201.8027012969</v>
      </c>
    </row>
    <row r="381" customFormat="false" ht="15" hidden="false" customHeight="false" outlineLevel="0" collapsed="false">
      <c r="A381" s="24" t="n">
        <f aca="false">ROUND(A380+0.01,2)</f>
        <v>74.76</v>
      </c>
      <c r="B381" s="25" t="n">
        <f aca="false">INDEX(Bang_F,MATCH(A381,Bang_Z,1))+(A381-INDEX(Bang_Z,MATCH(A381,Bang_Z,1)))*(INDEX(Bang_F,MATCH(A381,Bang_Z,1)+1)-INDEX(Bang_F,MATCH(A381,Bang_Z,1)))</f>
        <v>6.3016</v>
      </c>
      <c r="C381" s="25" t="n">
        <f aca="false">INDEX(Bang_W,MATCH(A381,Bang_Z,1))+(A381-INDEX(Bang_Z,MATCH(A381,Bang_Z,1)))*(INDEX(Bang_F,MATCH(A381,Bang_Z,1))+B381)/2</f>
        <v>36.788608</v>
      </c>
      <c r="D381" s="26" t="n">
        <f aca="false">MAX(A381-TC_Z,0)</f>
        <v>0.0600000000000023</v>
      </c>
      <c r="E381" s="27" t="n">
        <f aca="false">1-0.2*(TC_xmb+(TC_n-1)*TC_xmt)*D381/(TC_n*TC_b)</f>
        <v>0.997611111111111</v>
      </c>
      <c r="F381" s="28" t="n">
        <f aca="false">TC_s*E381*TC_m*TC_n*TC_b*SQRT(2*g_)*D381^1.5</f>
        <v>0.631253675121131</v>
      </c>
      <c r="G381" s="29" t="n">
        <f aca="false">MAX(A381-SC_Z,0)</f>
        <v>3.76000000000001</v>
      </c>
      <c r="H381" s="30" t="n">
        <f aca="false">1-0.2*(SC_xmb+(SC_n-1)*SC_xmt)*G381/(SC_n*SC_b)</f>
        <v>0.89472</v>
      </c>
      <c r="I381" s="31" t="n">
        <f aca="false">SC_s*H381*SC_m*SC_n*SC_b*SQRT(2*g_)*G381^1.5</f>
        <v>65.0131086155246</v>
      </c>
      <c r="J381" s="32" t="n">
        <f aca="false">F381+I381</f>
        <v>65.6443622906457</v>
      </c>
      <c r="K381" s="32" t="n">
        <f aca="false">F381</f>
        <v>0.631253675121131</v>
      </c>
      <c r="L381" s="32" t="n">
        <f aca="false">C381*1000000/dt_s+J381/2</f>
        <v>10251.8799589231</v>
      </c>
      <c r="M381" s="32" t="n">
        <f aca="false">C381*1000000/dt_s+K381/2</f>
        <v>10219.3734046153</v>
      </c>
    </row>
    <row r="382" customFormat="false" ht="15" hidden="false" customHeight="false" outlineLevel="0" collapsed="false">
      <c r="A382" s="24" t="n">
        <f aca="false">ROUND(A381+0.01,2)</f>
        <v>74.77</v>
      </c>
      <c r="B382" s="25" t="n">
        <f aca="false">INDEX(Bang_F,MATCH(A382,Bang_Z,1))+(A382-INDEX(Bang_Z,MATCH(A382,Bang_Z,1)))*(INDEX(Bang_F,MATCH(A382,Bang_Z,1)+1)-INDEX(Bang_F,MATCH(A382,Bang_Z,1)))</f>
        <v>6.3082</v>
      </c>
      <c r="C382" s="25" t="n">
        <f aca="false">INDEX(Bang_W,MATCH(A382,Bang_Z,1))+(A382-INDEX(Bang_Z,MATCH(A382,Bang_Z,1)))*(INDEX(Bang_F,MATCH(A382,Bang_Z,1))+B382)/2</f>
        <v>36.851657</v>
      </c>
      <c r="D382" s="26" t="n">
        <f aca="false">MAX(A382-TC_Z,0)</f>
        <v>0.0699999999999932</v>
      </c>
      <c r="E382" s="27" t="n">
        <f aca="false">1-0.2*(TC_xmb+(TC_n-1)*TC_xmt)*D382/(TC_n*TC_b)</f>
        <v>0.997212962962963</v>
      </c>
      <c r="F382" s="28" t="n">
        <f aca="false">TC_s*E382*TC_m*TC_n*TC_b*SQRT(2*g_)*D382^1.5</f>
        <v>0.795153073233498</v>
      </c>
      <c r="G382" s="29" t="n">
        <f aca="false">MAX(A382-SC_Z,0)</f>
        <v>3.77</v>
      </c>
      <c r="H382" s="30" t="n">
        <f aca="false">1-0.2*(SC_xmb+(SC_n-1)*SC_xmt)*G382/(SC_n*SC_b)</f>
        <v>0.89444</v>
      </c>
      <c r="I382" s="31" t="n">
        <f aca="false">SC_s*H382*SC_m*SC_n*SC_b*SQRT(2*g_)*G382^1.5</f>
        <v>65.2522149103325</v>
      </c>
      <c r="J382" s="32" t="n">
        <f aca="false">F382+I382</f>
        <v>66.047367983566</v>
      </c>
      <c r="K382" s="32" t="n">
        <f aca="false">F382</f>
        <v>0.795153073233498</v>
      </c>
      <c r="L382" s="32" t="n">
        <f aca="false">C382*1000000/dt_s+J382/2</f>
        <v>10269.5950728807</v>
      </c>
      <c r="M382" s="32" t="n">
        <f aca="false">C382*1000000/dt_s+K382/2</f>
        <v>10236.9689654255</v>
      </c>
    </row>
    <row r="383" customFormat="false" ht="15" hidden="false" customHeight="false" outlineLevel="0" collapsed="false">
      <c r="A383" s="24" t="n">
        <f aca="false">ROUND(A382+0.01,2)</f>
        <v>74.78</v>
      </c>
      <c r="B383" s="25" t="n">
        <f aca="false">INDEX(Bang_F,MATCH(A383,Bang_Z,1))+(A383-INDEX(Bang_Z,MATCH(A383,Bang_Z,1)))*(INDEX(Bang_F,MATCH(A383,Bang_Z,1)+1)-INDEX(Bang_F,MATCH(A383,Bang_Z,1)))</f>
        <v>6.3148</v>
      </c>
      <c r="C383" s="25" t="n">
        <f aca="false">INDEX(Bang_W,MATCH(A383,Bang_Z,1))+(A383-INDEX(Bang_Z,MATCH(A383,Bang_Z,1)))*(INDEX(Bang_F,MATCH(A383,Bang_Z,1))+B383)/2</f>
        <v>36.914772</v>
      </c>
      <c r="D383" s="26" t="n">
        <f aca="false">MAX(A383-TC_Z,0)</f>
        <v>0.0799999999999983</v>
      </c>
      <c r="E383" s="27" t="n">
        <f aca="false">1-0.2*(TC_xmb+(TC_n-1)*TC_xmt)*D383/(TC_n*TC_b)</f>
        <v>0.996814814814815</v>
      </c>
      <c r="F383" s="28" t="n">
        <f aca="false">TC_s*E383*TC_m*TC_n*TC_b*SQRT(2*g_)*D383^1.5</f>
        <v>0.971102854820078</v>
      </c>
      <c r="G383" s="29" t="n">
        <f aca="false">MAX(A383-SC_Z,0)</f>
        <v>3.78</v>
      </c>
      <c r="H383" s="30" t="n">
        <f aca="false">1-0.2*(SC_xmb+(SC_n-1)*SC_xmt)*G383/(SC_n*SC_b)</f>
        <v>0.89416</v>
      </c>
      <c r="I383" s="31" t="n">
        <f aca="false">SC_s*H383*SC_m*SC_n*SC_b*SQRT(2*g_)*G383^1.5</f>
        <v>65.4915029863827</v>
      </c>
      <c r="J383" s="32" t="n">
        <f aca="false">F383+I383</f>
        <v>66.4626058412028</v>
      </c>
      <c r="K383" s="32" t="n">
        <f aca="false">F383</f>
        <v>0.971102854820078</v>
      </c>
      <c r="L383" s="32" t="n">
        <f aca="false">C383*1000000/dt_s+J383/2</f>
        <v>10287.3346362539</v>
      </c>
      <c r="M383" s="32" t="n">
        <f aca="false">C383*1000000/dt_s+K383/2</f>
        <v>10254.5888847607</v>
      </c>
    </row>
    <row r="384" customFormat="false" ht="15" hidden="false" customHeight="false" outlineLevel="0" collapsed="false">
      <c r="A384" s="24" t="n">
        <f aca="false">ROUND(A383+0.01,2)</f>
        <v>74.79</v>
      </c>
      <c r="B384" s="25" t="n">
        <f aca="false">INDEX(Bang_F,MATCH(A384,Bang_Z,1))+(A384-INDEX(Bang_Z,MATCH(A384,Bang_Z,1)))*(INDEX(Bang_F,MATCH(A384,Bang_Z,1)+1)-INDEX(Bang_F,MATCH(A384,Bang_Z,1)))</f>
        <v>6.3214</v>
      </c>
      <c r="C384" s="25" t="n">
        <f aca="false">INDEX(Bang_W,MATCH(A384,Bang_Z,1))+(A384-INDEX(Bang_Z,MATCH(A384,Bang_Z,1)))*(INDEX(Bang_F,MATCH(A384,Bang_Z,1))+B384)/2</f>
        <v>36.977953</v>
      </c>
      <c r="D384" s="26" t="n">
        <f aca="false">MAX(A384-TC_Z,0)</f>
        <v>0.0900000000000034</v>
      </c>
      <c r="E384" s="27" t="n">
        <f aca="false">1-0.2*(TC_xmb+(TC_n-1)*TC_xmt)*D384/(TC_n*TC_b)</f>
        <v>0.996416666666667</v>
      </c>
      <c r="F384" s="28" t="n">
        <f aca="false">TC_s*E384*TC_m*TC_n*TC_b*SQRT(2*g_)*D384^1.5</f>
        <v>1.15829855300214</v>
      </c>
      <c r="G384" s="29" t="n">
        <f aca="false">MAX(A384-SC_Z,0)</f>
        <v>3.79000000000001</v>
      </c>
      <c r="H384" s="30" t="n">
        <f aca="false">1-0.2*(SC_xmb+(SC_n-1)*SC_xmt)*G384/(SC_n*SC_b)</f>
        <v>0.89388</v>
      </c>
      <c r="I384" s="31" t="n">
        <f aca="false">SC_s*H384*SC_m*SC_n*SC_b*SQRT(2*g_)*G384^1.5</f>
        <v>65.730972064824</v>
      </c>
      <c r="J384" s="32" t="n">
        <f aca="false">F384+I384</f>
        <v>66.8892706178261</v>
      </c>
      <c r="K384" s="32" t="n">
        <f aca="false">F384</f>
        <v>1.15829855300214</v>
      </c>
      <c r="L384" s="32" t="n">
        <f aca="false">C384*1000000/dt_s+J384/2</f>
        <v>10305.09824642</v>
      </c>
      <c r="M384" s="32" t="n">
        <f aca="false">C384*1000000/dt_s+K384/2</f>
        <v>10272.2327603876</v>
      </c>
    </row>
    <row r="385" customFormat="false" ht="15" hidden="false" customHeight="false" outlineLevel="0" collapsed="false">
      <c r="A385" s="24" t="n">
        <f aca="false">ROUND(A384+0.01,2)</f>
        <v>74.8</v>
      </c>
      <c r="B385" s="25" t="n">
        <f aca="false">INDEX(Bang_F,MATCH(A385,Bang_Z,1))+(A385-INDEX(Bang_Z,MATCH(A385,Bang_Z,1)))*(INDEX(Bang_F,MATCH(A385,Bang_Z,1)+1)-INDEX(Bang_F,MATCH(A385,Bang_Z,1)))</f>
        <v>6.328</v>
      </c>
      <c r="C385" s="25" t="n">
        <f aca="false">INDEX(Bang_W,MATCH(A385,Bang_Z,1))+(A385-INDEX(Bang_Z,MATCH(A385,Bang_Z,1)))*(INDEX(Bang_F,MATCH(A385,Bang_Z,1))+B385)/2</f>
        <v>37.0412</v>
      </c>
      <c r="D385" s="26" t="n">
        <f aca="false">MAX(A385-TC_Z,0)</f>
        <v>0.0999999999999943</v>
      </c>
      <c r="E385" s="27" t="n">
        <f aca="false">1-0.2*(TC_xmb+(TC_n-1)*TC_xmt)*D385/(TC_n*TC_b)</f>
        <v>0.996018518518519</v>
      </c>
      <c r="F385" s="28" t="n">
        <f aca="false">TC_s*E385*TC_m*TC_n*TC_b*SQRT(2*g_)*D385^1.5</f>
        <v>1.35607334510988</v>
      </c>
      <c r="G385" s="29" t="n">
        <f aca="false">MAX(A385-SC_Z,0)</f>
        <v>3.8</v>
      </c>
      <c r="H385" s="30" t="n">
        <f aca="false">1-0.2*(SC_xmb+(SC_n-1)*SC_xmt)*G385/(SC_n*SC_b)</f>
        <v>0.8936</v>
      </c>
      <c r="I385" s="31" t="n">
        <f aca="false">SC_s*H385*SC_m*SC_n*SC_b*SQRT(2*g_)*G385^1.5</f>
        <v>65.970621369179</v>
      </c>
      <c r="J385" s="32" t="n">
        <f aca="false">F385+I385</f>
        <v>67.3266947142889</v>
      </c>
      <c r="K385" s="32" t="n">
        <f aca="false">F385</f>
        <v>1.35607334510988</v>
      </c>
      <c r="L385" s="32" t="n">
        <f aca="false">C385*1000000/dt_s+J385/2</f>
        <v>10322.8855695794</v>
      </c>
      <c r="M385" s="32" t="n">
        <f aca="false">C385*1000000/dt_s+K385/2</f>
        <v>10289.9002588948</v>
      </c>
    </row>
    <row r="386" customFormat="false" ht="15" hidden="false" customHeight="false" outlineLevel="0" collapsed="false">
      <c r="A386" s="24" t="n">
        <f aca="false">ROUND(A385+0.01,2)</f>
        <v>74.81</v>
      </c>
      <c r="B386" s="25" t="n">
        <f aca="false">INDEX(Bang_F,MATCH(A386,Bang_Z,1))+(A386-INDEX(Bang_Z,MATCH(A386,Bang_Z,1)))*(INDEX(Bang_F,MATCH(A386,Bang_Z,1)+1)-INDEX(Bang_F,MATCH(A386,Bang_Z,1)))</f>
        <v>6.3346</v>
      </c>
      <c r="C386" s="25" t="n">
        <f aca="false">INDEX(Bang_W,MATCH(A386,Bang_Z,1))+(A386-INDEX(Bang_Z,MATCH(A386,Bang_Z,1)))*(INDEX(Bang_F,MATCH(A386,Bang_Z,1))+B386)/2</f>
        <v>37.104513</v>
      </c>
      <c r="D386" s="26" t="n">
        <f aca="false">MAX(A386-TC_Z,0)</f>
        <v>0.109999999999999</v>
      </c>
      <c r="E386" s="27" t="n">
        <f aca="false">1-0.2*(TC_xmb+(TC_n-1)*TC_xmt)*D386/(TC_n*TC_b)</f>
        <v>0.99562037037037</v>
      </c>
      <c r="F386" s="28" t="n">
        <f aca="false">TC_s*E386*TC_m*TC_n*TC_b*SQRT(2*g_)*D386^1.5</f>
        <v>1.56386250750212</v>
      </c>
      <c r="G386" s="29" t="n">
        <f aca="false">MAX(A386-SC_Z,0)</f>
        <v>3.81</v>
      </c>
      <c r="H386" s="30" t="n">
        <f aca="false">1-0.2*(SC_xmb+(SC_n-1)*SC_xmt)*G386/(SC_n*SC_b)</f>
        <v>0.89332</v>
      </c>
      <c r="I386" s="31" t="n">
        <f aca="false">SC_s*H386*SC_m*SC_n*SC_b*SQRT(2*g_)*G386^1.5</f>
        <v>66.2104501253311</v>
      </c>
      <c r="J386" s="32" t="n">
        <f aca="false">F386+I386</f>
        <v>67.7743126328332</v>
      </c>
      <c r="K386" s="32" t="n">
        <f aca="false">F386</f>
        <v>1.56386250750212</v>
      </c>
      <c r="L386" s="32" t="n">
        <f aca="false">C386*1000000/dt_s+J386/2</f>
        <v>10340.6963229831</v>
      </c>
      <c r="M386" s="32" t="n">
        <f aca="false">C386*1000000/dt_s+K386/2</f>
        <v>10307.5910979204</v>
      </c>
    </row>
    <row r="387" customFormat="false" ht="15" hidden="false" customHeight="false" outlineLevel="0" collapsed="false">
      <c r="A387" s="24" t="n">
        <f aca="false">ROUND(A386+0.01,2)</f>
        <v>74.82</v>
      </c>
      <c r="B387" s="25" t="n">
        <f aca="false">INDEX(Bang_F,MATCH(A387,Bang_Z,1))+(A387-INDEX(Bang_Z,MATCH(A387,Bang_Z,1)))*(INDEX(Bang_F,MATCH(A387,Bang_Z,1)+1)-INDEX(Bang_F,MATCH(A387,Bang_Z,1)))</f>
        <v>6.3412</v>
      </c>
      <c r="C387" s="25" t="n">
        <f aca="false">INDEX(Bang_W,MATCH(A387,Bang_Z,1))+(A387-INDEX(Bang_Z,MATCH(A387,Bang_Z,1)))*(INDEX(Bang_F,MATCH(A387,Bang_Z,1))+B387)/2</f>
        <v>37.167892</v>
      </c>
      <c r="D387" s="26" t="n">
        <f aca="false">MAX(A387-TC_Z,0)</f>
        <v>0.11999999999999</v>
      </c>
      <c r="E387" s="27" t="n">
        <f aca="false">1-0.2*(TC_xmb+(TC_n-1)*TC_xmt)*D387/(TC_n*TC_b)</f>
        <v>0.995222222222223</v>
      </c>
      <c r="F387" s="28" t="n">
        <f aca="false">TC_s*E387*TC_m*TC_n*TC_b*SQRT(2*g_)*D387^1.5</f>
        <v>1.7811795500393</v>
      </c>
      <c r="G387" s="29" t="n">
        <f aca="false">MAX(A387-SC_Z,0)</f>
        <v>3.81999999999999</v>
      </c>
      <c r="H387" s="30" t="n">
        <f aca="false">1-0.2*(SC_xmb+(SC_n-1)*SC_xmt)*G387/(SC_n*SC_b)</f>
        <v>0.89304</v>
      </c>
      <c r="I387" s="31" t="n">
        <f aca="false">SC_s*H387*SC_m*SC_n*SC_b*SQRT(2*g_)*G387^1.5</f>
        <v>66.4504575615065</v>
      </c>
      <c r="J387" s="32" t="n">
        <f aca="false">F387+I387</f>
        <v>68.2316371115458</v>
      </c>
      <c r="K387" s="32" t="n">
        <f aca="false">F387</f>
        <v>1.7811795500393</v>
      </c>
      <c r="L387" s="32" t="n">
        <f aca="false">C387*1000000/dt_s+J387/2</f>
        <v>10358.5302630002</v>
      </c>
      <c r="M387" s="32" t="n">
        <f aca="false">C387*1000000/dt_s+K387/2</f>
        <v>10325.3050342195</v>
      </c>
    </row>
    <row r="388" customFormat="false" ht="15" hidden="false" customHeight="false" outlineLevel="0" collapsed="false">
      <c r="A388" s="24" t="n">
        <f aca="false">ROUND(A387+0.01,2)</f>
        <v>74.83</v>
      </c>
      <c r="B388" s="25" t="n">
        <f aca="false">INDEX(Bang_F,MATCH(A388,Bang_Z,1))+(A388-INDEX(Bang_Z,MATCH(A388,Bang_Z,1)))*(INDEX(Bang_F,MATCH(A388,Bang_Z,1)+1)-INDEX(Bang_F,MATCH(A388,Bang_Z,1)))</f>
        <v>6.3478</v>
      </c>
      <c r="C388" s="25" t="n">
        <f aca="false">INDEX(Bang_W,MATCH(A388,Bang_Z,1))+(A388-INDEX(Bang_Z,MATCH(A388,Bang_Z,1)))*(INDEX(Bang_F,MATCH(A388,Bang_Z,1))+B388)/2</f>
        <v>37.231337</v>
      </c>
      <c r="D388" s="26" t="n">
        <f aca="false">MAX(A388-TC_Z,0)</f>
        <v>0.129999999999995</v>
      </c>
      <c r="E388" s="27" t="n">
        <f aca="false">1-0.2*(TC_xmb+(TC_n-1)*TC_xmt)*D388/(TC_n*TC_b)</f>
        <v>0.994824074074074</v>
      </c>
      <c r="F388" s="28" t="n">
        <f aca="false">TC_s*E388*TC_m*TC_n*TC_b*SQRT(2*g_)*D388^1.5</f>
        <v>2.00759951119032</v>
      </c>
      <c r="G388" s="29" t="n">
        <f aca="false">MAX(A388-SC_Z,0)</f>
        <v>3.83</v>
      </c>
      <c r="H388" s="30" t="n">
        <f aca="false">1-0.2*(SC_xmb+(SC_n-1)*SC_xmt)*G388/(SC_n*SC_b)</f>
        <v>0.89276</v>
      </c>
      <c r="I388" s="31" t="n">
        <f aca="false">SC_s*H388*SC_m*SC_n*SC_b*SQRT(2*g_)*G388^1.5</f>
        <v>66.6906429082637</v>
      </c>
      <c r="J388" s="32" t="n">
        <f aca="false">F388+I388</f>
        <v>68.698242419454</v>
      </c>
      <c r="K388" s="32" t="n">
        <f aca="false">F388</f>
        <v>2.00759951119032</v>
      </c>
      <c r="L388" s="32" t="n">
        <f aca="false">C388*1000000/dt_s+J388/2</f>
        <v>10376.3871767653</v>
      </c>
      <c r="M388" s="32" t="n">
        <f aca="false">C388*1000000/dt_s+K388/2</f>
        <v>10343.0418553111</v>
      </c>
    </row>
    <row r="389" customFormat="false" ht="15" hidden="false" customHeight="false" outlineLevel="0" collapsed="false">
      <c r="A389" s="24" t="n">
        <f aca="false">ROUND(A388+0.01,2)</f>
        <v>74.84</v>
      </c>
      <c r="B389" s="25" t="n">
        <f aca="false">INDEX(Bang_F,MATCH(A389,Bang_Z,1))+(A389-INDEX(Bang_Z,MATCH(A389,Bang_Z,1)))*(INDEX(Bang_F,MATCH(A389,Bang_Z,1)+1)-INDEX(Bang_F,MATCH(A389,Bang_Z,1)))</f>
        <v>6.3544</v>
      </c>
      <c r="C389" s="25" t="n">
        <f aca="false">INDEX(Bang_W,MATCH(A389,Bang_Z,1))+(A389-INDEX(Bang_Z,MATCH(A389,Bang_Z,1)))*(INDEX(Bang_F,MATCH(A389,Bang_Z,1))+B389)/2</f>
        <v>37.294848</v>
      </c>
      <c r="D389" s="26" t="n">
        <f aca="false">MAX(A389-TC_Z,0)</f>
        <v>0.140000000000001</v>
      </c>
      <c r="E389" s="27" t="n">
        <f aca="false">1-0.2*(TC_xmb+(TC_n-1)*TC_xmt)*D389/(TC_n*TC_b)</f>
        <v>0.994425925925926</v>
      </c>
      <c r="F389" s="28" t="n">
        <f aca="false">TC_s*E389*TC_m*TC_n*TC_b*SQRT(2*g_)*D389^1.5</f>
        <v>2.2427468653726</v>
      </c>
      <c r="G389" s="29" t="n">
        <f aca="false">MAX(A389-SC_Z,0)</f>
        <v>3.84</v>
      </c>
      <c r="H389" s="30" t="n">
        <f aca="false">1-0.2*(SC_xmb+(SC_n-1)*SC_xmt)*G389/(SC_n*SC_b)</f>
        <v>0.89248</v>
      </c>
      <c r="I389" s="31" t="n">
        <f aca="false">SC_s*H389*SC_m*SC_n*SC_b*SQRT(2*g_)*G389^1.5</f>
        <v>66.9310053984758</v>
      </c>
      <c r="J389" s="32" t="n">
        <f aca="false">F389+I389</f>
        <v>69.1737522638483</v>
      </c>
      <c r="K389" s="32" t="n">
        <f aca="false">F389</f>
        <v>2.2427468653726</v>
      </c>
      <c r="L389" s="32" t="n">
        <f aca="false">C389*1000000/dt_s+J389/2</f>
        <v>10394.2668761319</v>
      </c>
      <c r="M389" s="32" t="n">
        <f aca="false">C389*1000000/dt_s+K389/2</f>
        <v>10360.8013734327</v>
      </c>
    </row>
    <row r="390" customFormat="false" ht="15" hidden="false" customHeight="false" outlineLevel="0" collapsed="false">
      <c r="A390" s="24" t="n">
        <f aca="false">ROUND(A389+0.01,2)</f>
        <v>74.85</v>
      </c>
      <c r="B390" s="25" t="n">
        <f aca="false">INDEX(Bang_F,MATCH(A390,Bang_Z,1))+(A390-INDEX(Bang_Z,MATCH(A390,Bang_Z,1)))*(INDEX(Bang_F,MATCH(A390,Bang_Z,1)+1)-INDEX(Bang_F,MATCH(A390,Bang_Z,1)))</f>
        <v>6.361</v>
      </c>
      <c r="C390" s="25" t="n">
        <f aca="false">INDEX(Bang_W,MATCH(A390,Bang_Z,1))+(A390-INDEX(Bang_Z,MATCH(A390,Bang_Z,1)))*(INDEX(Bang_F,MATCH(A390,Bang_Z,1))+B390)/2</f>
        <v>37.358425</v>
      </c>
      <c r="D390" s="26" t="n">
        <f aca="false">MAX(A390-TC_Z,0)</f>
        <v>0.149999999999991</v>
      </c>
      <c r="E390" s="27" t="n">
        <f aca="false">1-0.2*(TC_xmb+(TC_n-1)*TC_xmt)*D390/(TC_n*TC_b)</f>
        <v>0.994027777777778</v>
      </c>
      <c r="F390" s="28" t="n">
        <f aca="false">TC_s*E390*TC_m*TC_n*TC_b*SQRT(2*g_)*D390^1.5</f>
        <v>2.48628652268519</v>
      </c>
      <c r="G390" s="29" t="n">
        <f aca="false">MAX(A390-SC_Z,0)</f>
        <v>3.84999999999999</v>
      </c>
      <c r="H390" s="30" t="n">
        <f aca="false">1-0.2*(SC_xmb+(SC_n-1)*SC_xmt)*G390/(SC_n*SC_b)</f>
        <v>0.8922</v>
      </c>
      <c r="I390" s="31" t="n">
        <f aca="false">SC_s*H390*SC_m*SC_n*SC_b*SQRT(2*g_)*G390^1.5</f>
        <v>67.1715442673178</v>
      </c>
      <c r="J390" s="32" t="n">
        <f aca="false">F390+I390</f>
        <v>69.657830790003</v>
      </c>
      <c r="K390" s="32" t="n">
        <f aca="false">F390</f>
        <v>2.48628652268519</v>
      </c>
      <c r="L390" s="32" t="n">
        <f aca="false">C390*1000000/dt_s+J390/2</f>
        <v>10412.1691931728</v>
      </c>
      <c r="M390" s="32" t="n">
        <f aca="false">C390*1000000/dt_s+K390/2</f>
        <v>10378.5834210391</v>
      </c>
    </row>
    <row r="391" customFormat="false" ht="15" hidden="false" customHeight="false" outlineLevel="0" collapsed="false">
      <c r="A391" s="24" t="n">
        <f aca="false">ROUND(A390+0.01,2)</f>
        <v>74.86</v>
      </c>
      <c r="B391" s="25" t="n">
        <f aca="false">INDEX(Bang_F,MATCH(A391,Bang_Z,1))+(A391-INDEX(Bang_Z,MATCH(A391,Bang_Z,1)))*(INDEX(Bang_F,MATCH(A391,Bang_Z,1)+1)-INDEX(Bang_F,MATCH(A391,Bang_Z,1)))</f>
        <v>6.3676</v>
      </c>
      <c r="C391" s="25" t="n">
        <f aca="false">INDEX(Bang_W,MATCH(A391,Bang_Z,1))+(A391-INDEX(Bang_Z,MATCH(A391,Bang_Z,1)))*(INDEX(Bang_F,MATCH(A391,Bang_Z,1))+B391)/2</f>
        <v>37.422068</v>
      </c>
      <c r="D391" s="26" t="n">
        <f aca="false">MAX(A391-TC_Z,0)</f>
        <v>0.159999999999997</v>
      </c>
      <c r="E391" s="27" t="n">
        <f aca="false">1-0.2*(TC_xmb+(TC_n-1)*TC_xmt)*D391/(TC_n*TC_b)</f>
        <v>0.99362962962963</v>
      </c>
      <c r="F391" s="28" t="n">
        <f aca="false">TC_s*E391*TC_m*TC_n*TC_b*SQRT(2*g_)*D391^1.5</f>
        <v>2.73791697219023</v>
      </c>
      <c r="G391" s="29" t="n">
        <f aca="false">MAX(A391-SC_Z,0)</f>
        <v>3.86</v>
      </c>
      <c r="H391" s="30" t="n">
        <f aca="false">1-0.2*(SC_xmb+(SC_n-1)*SC_xmt)*G391/(SC_n*SC_b)</f>
        <v>0.89192</v>
      </c>
      <c r="I391" s="31" t="n">
        <f aca="false">SC_s*H391*SC_m*SC_n*SC_b*SQRT(2*g_)*G391^1.5</f>
        <v>67.4122587522536</v>
      </c>
      <c r="J391" s="32" t="n">
        <f aca="false">F391+I391</f>
        <v>70.1501757244439</v>
      </c>
      <c r="K391" s="32" t="n">
        <f aca="false">F391</f>
        <v>2.73791697219023</v>
      </c>
      <c r="L391" s="32" t="n">
        <f aca="false">C391*1000000/dt_s+J391/2</f>
        <v>10430.0939767511</v>
      </c>
      <c r="M391" s="32" t="n">
        <f aca="false">C391*1000000/dt_s+K391/2</f>
        <v>10396.387847375</v>
      </c>
    </row>
    <row r="392" customFormat="false" ht="15" hidden="false" customHeight="false" outlineLevel="0" collapsed="false">
      <c r="A392" s="24" t="n">
        <f aca="false">ROUND(A391+0.01,2)</f>
        <v>74.87</v>
      </c>
      <c r="B392" s="25" t="n">
        <f aca="false">INDEX(Bang_F,MATCH(A392,Bang_Z,1))+(A392-INDEX(Bang_Z,MATCH(A392,Bang_Z,1)))*(INDEX(Bang_F,MATCH(A392,Bang_Z,1)+1)-INDEX(Bang_F,MATCH(A392,Bang_Z,1)))</f>
        <v>6.3742</v>
      </c>
      <c r="C392" s="25" t="n">
        <f aca="false">INDEX(Bang_W,MATCH(A392,Bang_Z,1))+(A392-INDEX(Bang_Z,MATCH(A392,Bang_Z,1)))*(INDEX(Bang_F,MATCH(A392,Bang_Z,1))+B392)/2</f>
        <v>37.485777</v>
      </c>
      <c r="D392" s="26" t="n">
        <f aca="false">MAX(A392-TC_Z,0)</f>
        <v>0.170000000000002</v>
      </c>
      <c r="E392" s="27" t="n">
        <f aca="false">1-0.2*(TC_xmb+(TC_n-1)*TC_xmt)*D392/(TC_n*TC_b)</f>
        <v>0.993231481481481</v>
      </c>
      <c r="F392" s="28" t="n">
        <f aca="false">TC_s*E392*TC_m*TC_n*TC_b*SQRT(2*g_)*D392^1.5</f>
        <v>2.99736495336065</v>
      </c>
      <c r="G392" s="29" t="n">
        <f aca="false">MAX(A392-SC_Z,0)</f>
        <v>3.87</v>
      </c>
      <c r="H392" s="30" t="n">
        <f aca="false">1-0.2*(SC_xmb+(SC_n-1)*SC_xmt)*G392/(SC_n*SC_b)</f>
        <v>0.89164</v>
      </c>
      <c r="I392" s="31" t="n">
        <f aca="false">SC_s*H392*SC_m*SC_n*SC_b*SQRT(2*g_)*G392^1.5</f>
        <v>67.65314809302</v>
      </c>
      <c r="J392" s="32" t="n">
        <f aca="false">F392+I392</f>
        <v>70.6505130463807</v>
      </c>
      <c r="K392" s="32" t="n">
        <f aca="false">F392</f>
        <v>2.99736495336065</v>
      </c>
      <c r="L392" s="32" t="n">
        <f aca="false">C392*1000000/dt_s+J392/2</f>
        <v>10448.0410898565</v>
      </c>
      <c r="M392" s="32" t="n">
        <f aca="false">C392*1000000/dt_s+K392/2</f>
        <v>10414.21451581</v>
      </c>
    </row>
    <row r="393" customFormat="false" ht="15" hidden="false" customHeight="false" outlineLevel="0" collapsed="false">
      <c r="A393" s="24" t="n">
        <f aca="false">ROUND(A392+0.01,2)</f>
        <v>74.88</v>
      </c>
      <c r="B393" s="25" t="n">
        <f aca="false">INDEX(Bang_F,MATCH(A393,Bang_Z,1))+(A393-INDEX(Bang_Z,MATCH(A393,Bang_Z,1)))*(INDEX(Bang_F,MATCH(A393,Bang_Z,1)+1)-INDEX(Bang_F,MATCH(A393,Bang_Z,1)))</f>
        <v>6.3808</v>
      </c>
      <c r="C393" s="25" t="n">
        <f aca="false">INDEX(Bang_W,MATCH(A393,Bang_Z,1))+(A393-INDEX(Bang_Z,MATCH(A393,Bang_Z,1)))*(INDEX(Bang_F,MATCH(A393,Bang_Z,1))+B393)/2</f>
        <v>37.549552</v>
      </c>
      <c r="D393" s="26" t="n">
        <f aca="false">MAX(A393-TC_Z,0)</f>
        <v>0.179999999999993</v>
      </c>
      <c r="E393" s="27" t="n">
        <f aca="false">1-0.2*(TC_xmb+(TC_n-1)*TC_xmt)*D393/(TC_n*TC_b)</f>
        <v>0.992833333333334</v>
      </c>
      <c r="F393" s="28" t="n">
        <f aca="false">TC_s*E393*TC_m*TC_n*TC_b*SQRT(2*g_)*D393^1.5</f>
        <v>3.26438124349228</v>
      </c>
      <c r="G393" s="29" t="n">
        <f aca="false">MAX(A393-SC_Z,0)</f>
        <v>3.88</v>
      </c>
      <c r="H393" s="30" t="n">
        <f aca="false">1-0.2*(SC_xmb+(SC_n-1)*SC_xmt)*G393/(SC_n*SC_b)</f>
        <v>0.89136</v>
      </c>
      <c r="I393" s="31" t="n">
        <f aca="false">SC_s*H393*SC_m*SC_n*SC_b*SQRT(2*g_)*G393^1.5</f>
        <v>67.8942115316139</v>
      </c>
      <c r="J393" s="32" t="n">
        <f aca="false">F393+I393</f>
        <v>71.1585927751062</v>
      </c>
      <c r="K393" s="32" t="n">
        <f aca="false">F393</f>
        <v>3.26438124349228</v>
      </c>
      <c r="L393" s="32" t="n">
        <f aca="false">C393*1000000/dt_s+J393/2</f>
        <v>10466.0104074987</v>
      </c>
      <c r="M393" s="32" t="n">
        <f aca="false">C393*1000000/dt_s+K393/2</f>
        <v>10432.0633017328</v>
      </c>
    </row>
    <row r="394" customFormat="false" ht="15" hidden="false" customHeight="false" outlineLevel="0" collapsed="false">
      <c r="A394" s="24" t="n">
        <f aca="false">ROUND(A393+0.01,2)</f>
        <v>74.89</v>
      </c>
      <c r="B394" s="25" t="n">
        <f aca="false">INDEX(Bang_F,MATCH(A394,Bang_Z,1))+(A394-INDEX(Bang_Z,MATCH(A394,Bang_Z,1)))*(INDEX(Bang_F,MATCH(A394,Bang_Z,1)+1)-INDEX(Bang_F,MATCH(A394,Bang_Z,1)))</f>
        <v>6.3874</v>
      </c>
      <c r="C394" s="25" t="n">
        <f aca="false">INDEX(Bang_W,MATCH(A394,Bang_Z,1))+(A394-INDEX(Bang_Z,MATCH(A394,Bang_Z,1)))*(INDEX(Bang_F,MATCH(A394,Bang_Z,1))+B394)/2</f>
        <v>37.613393</v>
      </c>
      <c r="D394" s="26" t="n">
        <f aca="false">MAX(A394-TC_Z,0)</f>
        <v>0.189999999999998</v>
      </c>
      <c r="E394" s="27" t="n">
        <f aca="false">1-0.2*(TC_xmb+(TC_n-1)*TC_xmt)*D394/(TC_n*TC_b)</f>
        <v>0.992435185185185</v>
      </c>
      <c r="F394" s="28" t="n">
        <f aca="false">TC_s*E394*TC_m*TC_n*TC_b*SQRT(2*g_)*D394^1.5</f>
        <v>3.53873727719729</v>
      </c>
      <c r="G394" s="29" t="n">
        <f aca="false">MAX(A394-SC_Z,0)</f>
        <v>3.89</v>
      </c>
      <c r="H394" s="30" t="n">
        <f aca="false">1-0.2*(SC_xmb+(SC_n-1)*SC_xmt)*G394/(SC_n*SC_b)</f>
        <v>0.89108</v>
      </c>
      <c r="I394" s="31" t="n">
        <f aca="false">SC_s*H394*SC_m*SC_n*SC_b*SQRT(2*g_)*G394^1.5</f>
        <v>68.1354483122793</v>
      </c>
      <c r="J394" s="32" t="n">
        <f aca="false">F394+I394</f>
        <v>71.6741855894766</v>
      </c>
      <c r="K394" s="32" t="n">
        <f aca="false">F394</f>
        <v>3.53873727719729</v>
      </c>
      <c r="L394" s="32" t="n">
        <f aca="false">C394*1000000/dt_s+J394/2</f>
        <v>10484.001815017</v>
      </c>
      <c r="M394" s="32" t="n">
        <f aca="false">C394*1000000/dt_s+K394/2</f>
        <v>10449.9340908608</v>
      </c>
    </row>
    <row r="395" customFormat="false" ht="15" hidden="false" customHeight="false" outlineLevel="0" collapsed="false">
      <c r="A395" s="24" t="n">
        <f aca="false">ROUND(A394+0.01,2)</f>
        <v>74.9</v>
      </c>
      <c r="B395" s="25" t="n">
        <f aca="false">INDEX(Bang_F,MATCH(A395,Bang_Z,1))+(A395-INDEX(Bang_Z,MATCH(A395,Bang_Z,1)))*(INDEX(Bang_F,MATCH(A395,Bang_Z,1)+1)-INDEX(Bang_F,MATCH(A395,Bang_Z,1)))</f>
        <v>6.394</v>
      </c>
      <c r="C395" s="25" t="n">
        <f aca="false">INDEX(Bang_W,MATCH(A395,Bang_Z,1))+(A395-INDEX(Bang_Z,MATCH(A395,Bang_Z,1)))*(INDEX(Bang_F,MATCH(A395,Bang_Z,1))+B395)/2</f>
        <v>37.6773</v>
      </c>
      <c r="D395" s="26" t="n">
        <f aca="false">MAX(A395-TC_Z,0)</f>
        <v>0.200000000000003</v>
      </c>
      <c r="E395" s="27" t="n">
        <f aca="false">1-0.2*(TC_xmb+(TC_n-1)*TC_xmt)*D395/(TC_n*TC_b)</f>
        <v>0.992037037037037</v>
      </c>
      <c r="F395" s="28" t="n">
        <f aca="false">TC_s*E395*TC_m*TC_n*TC_b*SQRT(2*g_)*D395^1.5</f>
        <v>3.82022239770543</v>
      </c>
      <c r="G395" s="29" t="n">
        <f aca="false">MAX(A395-SC_Z,0)</f>
        <v>3.90000000000001</v>
      </c>
      <c r="H395" s="30" t="n">
        <f aca="false">1-0.2*(SC_xmb+(SC_n-1)*SC_xmt)*G395/(SC_n*SC_b)</f>
        <v>0.8908</v>
      </c>
      <c r="I395" s="31" t="n">
        <f aca="false">SC_s*H395*SC_m*SC_n*SC_b*SQRT(2*g_)*G395^1.5</f>
        <v>68.3768576814924</v>
      </c>
      <c r="J395" s="32" t="n">
        <f aca="false">F395+I395</f>
        <v>72.1970800791978</v>
      </c>
      <c r="K395" s="32" t="n">
        <f aca="false">F395</f>
        <v>3.82022239770543</v>
      </c>
      <c r="L395" s="32" t="n">
        <f aca="false">C395*1000000/dt_s+J395/2</f>
        <v>10502.0152067063</v>
      </c>
      <c r="M395" s="32" t="n">
        <f aca="false">C395*1000000/dt_s+K395/2</f>
        <v>10467.8267778655</v>
      </c>
    </row>
    <row r="396" customFormat="false" ht="15" hidden="false" customHeight="false" outlineLevel="0" collapsed="false">
      <c r="A396" s="24" t="n">
        <f aca="false">ROUND(A395+0.01,2)</f>
        <v>74.91</v>
      </c>
      <c r="B396" s="25" t="n">
        <f aca="false">INDEX(Bang_F,MATCH(A396,Bang_Z,1))+(A396-INDEX(Bang_Z,MATCH(A396,Bang_Z,1)))*(INDEX(Bang_F,MATCH(A396,Bang_Z,1)+1)-INDEX(Bang_F,MATCH(A396,Bang_Z,1)))</f>
        <v>6.4006</v>
      </c>
      <c r="C396" s="25" t="n">
        <f aca="false">INDEX(Bang_W,MATCH(A396,Bang_Z,1))+(A396-INDEX(Bang_Z,MATCH(A396,Bang_Z,1)))*(INDEX(Bang_F,MATCH(A396,Bang_Z,1))+B396)/2</f>
        <v>37.741273</v>
      </c>
      <c r="D396" s="26" t="n">
        <f aca="false">MAX(A396-TC_Z,0)</f>
        <v>0.209999999999994</v>
      </c>
      <c r="E396" s="27" t="n">
        <f aca="false">1-0.2*(TC_xmb+(TC_n-1)*TC_xmt)*D396/(TC_n*TC_b)</f>
        <v>0.991638888888889</v>
      </c>
      <c r="F396" s="28" t="n">
        <f aca="false">TC_s*E396*TC_m*TC_n*TC_b*SQRT(2*g_)*D396^1.5</f>
        <v>4.10864159567826</v>
      </c>
      <c r="G396" s="29" t="n">
        <f aca="false">MAX(A396-SC_Z,0)</f>
        <v>3.91</v>
      </c>
      <c r="H396" s="30" t="n">
        <f aca="false">1-0.2*(SC_xmb+(SC_n-1)*SC_xmt)*G396/(SC_n*SC_b)</f>
        <v>0.89052</v>
      </c>
      <c r="I396" s="31" t="n">
        <f aca="false">SC_s*H396*SC_m*SC_n*SC_b*SQRT(2*g_)*G396^1.5</f>
        <v>68.6184388879484</v>
      </c>
      <c r="J396" s="32" t="n">
        <f aca="false">F396+I396</f>
        <v>72.7270804836267</v>
      </c>
      <c r="K396" s="32" t="n">
        <f aca="false">F396</f>
        <v>4.10864159567826</v>
      </c>
      <c r="L396" s="32" t="n">
        <f aca="false">C396*1000000/dt_s+J396/2</f>
        <v>10520.0504846863</v>
      </c>
      <c r="M396" s="32" t="n">
        <f aca="false">C396*1000000/dt_s+K396/2</f>
        <v>10485.7412652423</v>
      </c>
    </row>
    <row r="397" customFormat="false" ht="15" hidden="false" customHeight="false" outlineLevel="0" collapsed="false">
      <c r="A397" s="24" t="n">
        <f aca="false">ROUND(A396+0.01,2)</f>
        <v>74.92</v>
      </c>
      <c r="B397" s="25" t="n">
        <f aca="false">INDEX(Bang_F,MATCH(A397,Bang_Z,1))+(A397-INDEX(Bang_Z,MATCH(A397,Bang_Z,1)))*(INDEX(Bang_F,MATCH(A397,Bang_Z,1)+1)-INDEX(Bang_F,MATCH(A397,Bang_Z,1)))</f>
        <v>6.4072</v>
      </c>
      <c r="C397" s="25" t="n">
        <f aca="false">INDEX(Bang_W,MATCH(A397,Bang_Z,1))+(A397-INDEX(Bang_Z,MATCH(A397,Bang_Z,1)))*(INDEX(Bang_F,MATCH(A397,Bang_Z,1))+B397)/2</f>
        <v>37.805312</v>
      </c>
      <c r="D397" s="26" t="n">
        <f aca="false">MAX(A397-TC_Z,0)</f>
        <v>0.219999999999999</v>
      </c>
      <c r="E397" s="27" t="n">
        <f aca="false">1-0.2*(TC_xmb+(TC_n-1)*TC_xmt)*D397/(TC_n*TC_b)</f>
        <v>0.991240740740741</v>
      </c>
      <c r="F397" s="28" t="n">
        <f aca="false">TC_s*E397*TC_m*TC_n*TC_b*SQRT(2*g_)*D397^1.5</f>
        <v>4.4038136295975</v>
      </c>
      <c r="G397" s="29" t="n">
        <f aca="false">MAX(A397-SC_Z,0)</f>
        <v>3.92</v>
      </c>
      <c r="H397" s="30" t="n">
        <f aca="false">1-0.2*(SC_xmb+(SC_n-1)*SC_xmt)*G397/(SC_n*SC_b)</f>
        <v>0.89024</v>
      </c>
      <c r="I397" s="31" t="n">
        <f aca="false">SC_s*H397*SC_m*SC_n*SC_b*SQRT(2*g_)*G397^1.5</f>
        <v>68.8601911825499</v>
      </c>
      <c r="J397" s="32" t="n">
        <f aca="false">F397+I397</f>
        <v>73.2640048121474</v>
      </c>
      <c r="K397" s="32" t="n">
        <f aca="false">F397</f>
        <v>4.4038136295975</v>
      </c>
      <c r="L397" s="32" t="n">
        <f aca="false">C397*1000000/dt_s+J397/2</f>
        <v>10538.1075579616</v>
      </c>
      <c r="M397" s="32" t="n">
        <f aca="false">C397*1000000/dt_s+K397/2</f>
        <v>10503.6774623704</v>
      </c>
    </row>
    <row r="398" customFormat="false" ht="15" hidden="false" customHeight="false" outlineLevel="0" collapsed="false">
      <c r="A398" s="24" t="n">
        <f aca="false">ROUND(A397+0.01,2)</f>
        <v>74.93</v>
      </c>
      <c r="B398" s="25" t="n">
        <f aca="false">INDEX(Bang_F,MATCH(A398,Bang_Z,1))+(A398-INDEX(Bang_Z,MATCH(A398,Bang_Z,1)))*(INDEX(Bang_F,MATCH(A398,Bang_Z,1)+1)-INDEX(Bang_F,MATCH(A398,Bang_Z,1)))</f>
        <v>6.41380000000001</v>
      </c>
      <c r="C398" s="25" t="n">
        <f aca="false">INDEX(Bang_W,MATCH(A398,Bang_Z,1))+(A398-INDEX(Bang_Z,MATCH(A398,Bang_Z,1)))*(INDEX(Bang_F,MATCH(A398,Bang_Z,1))+B398)/2</f>
        <v>37.869417</v>
      </c>
      <c r="D398" s="26" t="n">
        <f aca="false">MAX(A398-TC_Z,0)</f>
        <v>0.230000000000004</v>
      </c>
      <c r="E398" s="27" t="n">
        <f aca="false">1-0.2*(TC_xmb+(TC_n-1)*TC_xmt)*D398/(TC_n*TC_b)</f>
        <v>0.990842592592592</v>
      </c>
      <c r="F398" s="28" t="n">
        <f aca="false">TC_s*E398*TC_m*TC_n*TC_b*SQRT(2*g_)*D398^1.5</f>
        <v>4.70556944864785</v>
      </c>
      <c r="G398" s="29" t="n">
        <f aca="false">MAX(A398-SC_Z,0)</f>
        <v>3.93000000000001</v>
      </c>
      <c r="H398" s="30" t="n">
        <f aca="false">1-0.2*(SC_xmb+(SC_n-1)*SC_xmt)*G398/(SC_n*SC_b)</f>
        <v>0.88996</v>
      </c>
      <c r="I398" s="31" t="n">
        <f aca="false">SC_s*H398*SC_m*SC_n*SC_b*SQRT(2*g_)*G398^1.5</f>
        <v>69.1021138183911</v>
      </c>
      <c r="J398" s="32" t="n">
        <f aca="false">F398+I398</f>
        <v>73.8076832670389</v>
      </c>
      <c r="K398" s="32" t="n">
        <f aca="false">F398</f>
        <v>4.70556944864785</v>
      </c>
      <c r="L398" s="32" t="n">
        <f aca="false">C398*1000000/dt_s+J398/2</f>
        <v>10556.1863416335</v>
      </c>
      <c r="M398" s="32" t="n">
        <f aca="false">C398*1000000/dt_s+K398/2</f>
        <v>10521.6352847243</v>
      </c>
    </row>
    <row r="399" customFormat="false" ht="15" hidden="false" customHeight="false" outlineLevel="0" collapsed="false">
      <c r="A399" s="24" t="n">
        <f aca="false">ROUND(A398+0.01,2)</f>
        <v>74.94</v>
      </c>
      <c r="B399" s="25" t="n">
        <f aca="false">INDEX(Bang_F,MATCH(A399,Bang_Z,1))+(A399-INDEX(Bang_Z,MATCH(A399,Bang_Z,1)))*(INDEX(Bang_F,MATCH(A399,Bang_Z,1)+1)-INDEX(Bang_F,MATCH(A399,Bang_Z,1)))</f>
        <v>6.4204</v>
      </c>
      <c r="C399" s="25" t="n">
        <f aca="false">INDEX(Bang_W,MATCH(A399,Bang_Z,1))+(A399-INDEX(Bang_Z,MATCH(A399,Bang_Z,1)))*(INDEX(Bang_F,MATCH(A399,Bang_Z,1))+B399)/2</f>
        <v>37.933588</v>
      </c>
      <c r="D399" s="26" t="n">
        <f aca="false">MAX(A399-TC_Z,0)</f>
        <v>0.239999999999995</v>
      </c>
      <c r="E399" s="27" t="n">
        <f aca="false">1-0.2*(TC_xmb+(TC_n-1)*TC_xmt)*D399/(TC_n*TC_b)</f>
        <v>0.990444444444445</v>
      </c>
      <c r="F399" s="28" t="n">
        <f aca="false">TC_s*E399*TC_m*TC_n*TC_b*SQRT(2*g_)*D399^1.5</f>
        <v>5.01375085818724</v>
      </c>
      <c r="G399" s="29" t="n">
        <f aca="false">MAX(A399-SC_Z,0)</f>
        <v>3.94</v>
      </c>
      <c r="H399" s="30" t="n">
        <f aca="false">1-0.2*(SC_xmb+(SC_n-1)*SC_xmt)*G399/(SC_n*SC_b)</f>
        <v>0.88968</v>
      </c>
      <c r="I399" s="31" t="n">
        <f aca="false">SC_s*H399*SC_m*SC_n*SC_b*SQRT(2*g_)*G399^1.5</f>
        <v>69.3442060507459</v>
      </c>
      <c r="J399" s="32" t="n">
        <f aca="false">F399+I399</f>
        <v>74.3579569089332</v>
      </c>
      <c r="K399" s="32" t="n">
        <f aca="false">F399</f>
        <v>5.01375085818724</v>
      </c>
      <c r="L399" s="32" t="n">
        <f aca="false">C399*1000000/dt_s+J399/2</f>
        <v>10574.2867562322</v>
      </c>
      <c r="M399" s="32" t="n">
        <f aca="false">C399*1000000/dt_s+K399/2</f>
        <v>10539.6146532069</v>
      </c>
    </row>
    <row r="400" customFormat="false" ht="15" hidden="false" customHeight="false" outlineLevel="0" collapsed="false">
      <c r="A400" s="24" t="n">
        <f aca="false">ROUND(A399+0.01,2)</f>
        <v>74.95</v>
      </c>
      <c r="B400" s="25" t="n">
        <f aca="false">INDEX(Bang_F,MATCH(A400,Bang_Z,1))+(A400-INDEX(Bang_Z,MATCH(A400,Bang_Z,1)))*(INDEX(Bang_F,MATCH(A400,Bang_Z,1)+1)-INDEX(Bang_F,MATCH(A400,Bang_Z,1)))</f>
        <v>6.427</v>
      </c>
      <c r="C400" s="25" t="n">
        <f aca="false">INDEX(Bang_W,MATCH(A400,Bang_Z,1))+(A400-INDEX(Bang_Z,MATCH(A400,Bang_Z,1)))*(INDEX(Bang_F,MATCH(A400,Bang_Z,1))+B400)/2</f>
        <v>37.997825</v>
      </c>
      <c r="D400" s="26" t="n">
        <f aca="false">MAX(A400-TC_Z,0)</f>
        <v>0.25</v>
      </c>
      <c r="E400" s="27" t="n">
        <f aca="false">1-0.2*(TC_xmb+(TC_n-1)*TC_xmt)*D400/(TC_n*TC_b)</f>
        <v>0.990046296296296</v>
      </c>
      <c r="F400" s="28" t="n">
        <f aca="false">TC_s*E400*TC_m*TC_n*TC_b*SQRT(2*g_)*D400^1.5</f>
        <v>5.32820938178967</v>
      </c>
      <c r="G400" s="29" t="n">
        <f aca="false">MAX(A400-SC_Z,0)</f>
        <v>3.95</v>
      </c>
      <c r="H400" s="30" t="n">
        <f aca="false">1-0.2*(SC_xmb+(SC_n-1)*SC_xmt)*G400/(SC_n*SC_b)</f>
        <v>0.8894</v>
      </c>
      <c r="I400" s="31" t="n">
        <f aca="false">SC_s*H400*SC_m*SC_n*SC_b*SQRT(2*g_)*G400^1.5</f>
        <v>69.5864671370563</v>
      </c>
      <c r="J400" s="32" t="n">
        <f aca="false">F400+I400</f>
        <v>74.9146765188459</v>
      </c>
      <c r="K400" s="32" t="n">
        <f aca="false">F400</f>
        <v>5.32820938178967</v>
      </c>
      <c r="L400" s="32" t="n">
        <f aca="false">C400*1000000/dt_s+J400/2</f>
        <v>10592.4087271483</v>
      </c>
      <c r="M400" s="32" t="n">
        <f aca="false">C400*1000000/dt_s+K400/2</f>
        <v>10557.6154935798</v>
      </c>
    </row>
    <row r="401" customFormat="false" ht="15" hidden="false" customHeight="false" outlineLevel="0" collapsed="false">
      <c r="A401" s="24" t="n">
        <f aca="false">ROUND(A400+0.01,2)</f>
        <v>74.96</v>
      </c>
      <c r="B401" s="25" t="n">
        <f aca="false">INDEX(Bang_F,MATCH(A401,Bang_Z,1))+(A401-INDEX(Bang_Z,MATCH(A401,Bang_Z,1)))*(INDEX(Bang_F,MATCH(A401,Bang_Z,1)+1)-INDEX(Bang_F,MATCH(A401,Bang_Z,1)))</f>
        <v>6.4336</v>
      </c>
      <c r="C401" s="25" t="n">
        <f aca="false">INDEX(Bang_W,MATCH(A401,Bang_Z,1))+(A401-INDEX(Bang_Z,MATCH(A401,Bang_Z,1)))*(INDEX(Bang_F,MATCH(A401,Bang_Z,1))+B401)/2</f>
        <v>38.062128</v>
      </c>
      <c r="D401" s="26" t="n">
        <f aca="false">MAX(A401-TC_Z,0)</f>
        <v>0.259999999999991</v>
      </c>
      <c r="E401" s="27" t="n">
        <f aca="false">1-0.2*(TC_xmb+(TC_n-1)*TC_xmt)*D401/(TC_n*TC_b)</f>
        <v>0.989648148148149</v>
      </c>
      <c r="F401" s="28" t="n">
        <f aca="false">TC_s*E401*TC_m*TC_n*TC_b*SQRT(2*g_)*D401^1.5</f>
        <v>5.64880528408701</v>
      </c>
      <c r="G401" s="29" t="n">
        <f aca="false">MAX(A401-SC_Z,0)</f>
        <v>3.95999999999999</v>
      </c>
      <c r="H401" s="30" t="n">
        <f aca="false">1-0.2*(SC_xmb+(SC_n-1)*SC_xmt)*G401/(SC_n*SC_b)</f>
        <v>0.88912</v>
      </c>
      <c r="I401" s="31" t="n">
        <f aca="false">SC_s*H401*SC_m*SC_n*SC_b*SQRT(2*g_)*G401^1.5</f>
        <v>69.8288963369163</v>
      </c>
      <c r="J401" s="32" t="n">
        <f aca="false">F401+I401</f>
        <v>75.4777016210033</v>
      </c>
      <c r="K401" s="32" t="n">
        <f aca="false">F401</f>
        <v>5.64880528408701</v>
      </c>
      <c r="L401" s="32" t="n">
        <f aca="false">C401*1000000/dt_s+J401/2</f>
        <v>10610.5521841438</v>
      </c>
      <c r="M401" s="32" t="n">
        <f aca="false">C401*1000000/dt_s+K401/2</f>
        <v>10575.6377359754</v>
      </c>
    </row>
    <row r="402" customFormat="false" ht="15" hidden="false" customHeight="false" outlineLevel="0" collapsed="false">
      <c r="A402" s="24" t="n">
        <f aca="false">ROUND(A401+0.01,2)</f>
        <v>74.97</v>
      </c>
      <c r="B402" s="25" t="n">
        <f aca="false">INDEX(Bang_F,MATCH(A402,Bang_Z,1))+(A402-INDEX(Bang_Z,MATCH(A402,Bang_Z,1)))*(INDEX(Bang_F,MATCH(A402,Bang_Z,1)+1)-INDEX(Bang_F,MATCH(A402,Bang_Z,1)))</f>
        <v>6.4402</v>
      </c>
      <c r="C402" s="25" t="n">
        <f aca="false">INDEX(Bang_W,MATCH(A402,Bang_Z,1))+(A402-INDEX(Bang_Z,MATCH(A402,Bang_Z,1)))*(INDEX(Bang_F,MATCH(A402,Bang_Z,1))+B402)/2</f>
        <v>38.126497</v>
      </c>
      <c r="D402" s="26" t="n">
        <f aca="false">MAX(A402-TC_Z,0)</f>
        <v>0.269999999999996</v>
      </c>
      <c r="E402" s="27" t="n">
        <f aca="false">1-0.2*(TC_xmb+(TC_n-1)*TC_xmt)*D402/(TC_n*TC_b)</f>
        <v>0.98925</v>
      </c>
      <c r="F402" s="28" t="n">
        <f aca="false">TC_s*E402*TC_m*TC_n*TC_b*SQRT(2*g_)*D402^1.5</f>
        <v>5.97540672630348</v>
      </c>
      <c r="G402" s="29" t="n">
        <f aca="false">MAX(A402-SC_Z,0)</f>
        <v>3.97</v>
      </c>
      <c r="H402" s="30" t="n">
        <f aca="false">1-0.2*(SC_xmb+(SC_n-1)*SC_xmt)*G402/(SC_n*SC_b)</f>
        <v>0.88884</v>
      </c>
      <c r="I402" s="31" t="n">
        <f aca="false">SC_s*H402*SC_m*SC_n*SC_b*SQRT(2*g_)*G402^1.5</f>
        <v>70.0714929120628</v>
      </c>
      <c r="J402" s="32" t="n">
        <f aca="false">F402+I402</f>
        <v>76.0468996383663</v>
      </c>
      <c r="K402" s="32" t="n">
        <f aca="false">F402</f>
        <v>5.97540672630348</v>
      </c>
      <c r="L402" s="32" t="n">
        <f aca="false">C402*1000000/dt_s+J402/2</f>
        <v>10628.7170609303</v>
      </c>
      <c r="M402" s="32" t="n">
        <f aca="false">C402*1000000/dt_s+K402/2</f>
        <v>10593.6813144743</v>
      </c>
    </row>
    <row r="403" customFormat="false" ht="15" hidden="false" customHeight="false" outlineLevel="0" collapsed="false">
      <c r="A403" s="24" t="n">
        <f aca="false">ROUND(A402+0.01,2)</f>
        <v>74.98</v>
      </c>
      <c r="B403" s="25" t="n">
        <f aca="false">INDEX(Bang_F,MATCH(A403,Bang_Z,1))+(A403-INDEX(Bang_Z,MATCH(A403,Bang_Z,1)))*(INDEX(Bang_F,MATCH(A403,Bang_Z,1)+1)-INDEX(Bang_F,MATCH(A403,Bang_Z,1)))</f>
        <v>6.4468</v>
      </c>
      <c r="C403" s="25" t="n">
        <f aca="false">INDEX(Bang_W,MATCH(A403,Bang_Z,1))+(A403-INDEX(Bang_Z,MATCH(A403,Bang_Z,1)))*(INDEX(Bang_F,MATCH(A403,Bang_Z,1))+B403)/2</f>
        <v>38.190932</v>
      </c>
      <c r="D403" s="26" t="n">
        <f aca="false">MAX(A403-TC_Z,0)</f>
        <v>0.280000000000001</v>
      </c>
      <c r="E403" s="27" t="n">
        <f aca="false">1-0.2*(TC_xmb+(TC_n-1)*TC_xmt)*D403/(TC_n*TC_b)</f>
        <v>0.988851851851852</v>
      </c>
      <c r="F403" s="28" t="n">
        <f aca="false">TC_s*E403*TC_m*TC_n*TC_b*SQRT(2*g_)*D403^1.5</f>
        <v>6.30788903214014</v>
      </c>
      <c r="G403" s="29" t="n">
        <f aca="false">MAX(A403-SC_Z,0)</f>
        <v>3.98</v>
      </c>
      <c r="H403" s="30" t="n">
        <f aca="false">1-0.2*(SC_xmb+(SC_n-1)*SC_xmt)*G403/(SC_n*SC_b)</f>
        <v>0.88856</v>
      </c>
      <c r="I403" s="31" t="n">
        <f aca="false">SC_s*H403*SC_m*SC_n*SC_b*SQRT(2*g_)*G403^1.5</f>
        <v>70.31425612636</v>
      </c>
      <c r="J403" s="32" t="n">
        <f aca="false">F403+I403</f>
        <v>76.6221451585002</v>
      </c>
      <c r="K403" s="32" t="n">
        <f aca="false">F403</f>
        <v>6.30788903214014</v>
      </c>
      <c r="L403" s="32" t="n">
        <f aca="false">C403*1000000/dt_s+J403/2</f>
        <v>10646.9032948015</v>
      </c>
      <c r="M403" s="32" t="n">
        <f aca="false">C403*1000000/dt_s+K403/2</f>
        <v>10611.7461667383</v>
      </c>
    </row>
    <row r="404" customFormat="false" ht="15" hidden="false" customHeight="false" outlineLevel="0" collapsed="false">
      <c r="A404" s="24" t="n">
        <f aca="false">ROUND(A403+0.01,2)</f>
        <v>74.99</v>
      </c>
      <c r="B404" s="25" t="n">
        <f aca="false">INDEX(Bang_F,MATCH(A404,Bang_Z,1))+(A404-INDEX(Bang_Z,MATCH(A404,Bang_Z,1)))*(INDEX(Bang_F,MATCH(A404,Bang_Z,1)+1)-INDEX(Bang_F,MATCH(A404,Bang_Z,1)))</f>
        <v>6.4534</v>
      </c>
      <c r="C404" s="25" t="n">
        <f aca="false">INDEX(Bang_W,MATCH(A404,Bang_Z,1))+(A404-INDEX(Bang_Z,MATCH(A404,Bang_Z,1)))*(INDEX(Bang_F,MATCH(A404,Bang_Z,1))+B404)/2</f>
        <v>38.255433</v>
      </c>
      <c r="D404" s="26" t="n">
        <f aca="false">MAX(A404-TC_Z,0)</f>
        <v>0.289999999999992</v>
      </c>
      <c r="E404" s="27" t="n">
        <f aca="false">1-0.2*(TC_xmb+(TC_n-1)*TC_xmt)*D404/(TC_n*TC_b)</f>
        <v>0.988453703703704</v>
      </c>
      <c r="F404" s="28" t="n">
        <f aca="false">TC_s*E404*TC_m*TC_n*TC_b*SQRT(2*g_)*D404^1.5</f>
        <v>6.64613404612227</v>
      </c>
      <c r="G404" s="29" t="n">
        <f aca="false">MAX(A404-SC_Z,0)</f>
        <v>3.99</v>
      </c>
      <c r="H404" s="30" t="n">
        <f aca="false">1-0.2*(SC_xmb+(SC_n-1)*SC_xmt)*G404/(SC_n*SC_b)</f>
        <v>0.88828</v>
      </c>
      <c r="I404" s="31" t="n">
        <f aca="false">SC_s*H404*SC_m*SC_n*SC_b*SQRT(2*g_)*G404^1.5</f>
        <v>70.5571852457879</v>
      </c>
      <c r="J404" s="32" t="n">
        <f aca="false">F404+I404</f>
        <v>77.2033192919102</v>
      </c>
      <c r="K404" s="32" t="n">
        <f aca="false">F404</f>
        <v>6.64613404612227</v>
      </c>
      <c r="L404" s="32" t="n">
        <f aca="false">C404*1000000/dt_s+J404/2</f>
        <v>10665.1108263126</v>
      </c>
      <c r="M404" s="32" t="n">
        <f aca="false">C404*1000000/dt_s+K404/2</f>
        <v>10629.8322336897</v>
      </c>
    </row>
    <row r="405" customFormat="false" ht="15" hidden="false" customHeight="false" outlineLevel="0" collapsed="false">
      <c r="A405" s="24" t="n">
        <f aca="false">ROUND(A404+0.01,2)</f>
        <v>75</v>
      </c>
      <c r="B405" s="25" t="n">
        <f aca="false">INDEX(Bang_F,MATCH(A405,Bang_Z,1))+(A405-INDEX(Bang_Z,MATCH(A405,Bang_Z,1)))*(INDEX(Bang_F,MATCH(A405,Bang_Z,1)+1)-INDEX(Bang_F,MATCH(A405,Bang_Z,1)))</f>
        <v>6.46</v>
      </c>
      <c r="C405" s="25" t="n">
        <f aca="false">INDEX(Bang_W,MATCH(A405,Bang_Z,1))+(A405-INDEX(Bang_Z,MATCH(A405,Bang_Z,1)))*(INDEX(Bang_F,MATCH(A405,Bang_Z,1))+B405)/2</f>
        <v>38.32</v>
      </c>
      <c r="D405" s="26" t="n">
        <f aca="false">MAX(A405-TC_Z,0)</f>
        <v>0.299999999999997</v>
      </c>
      <c r="E405" s="27" t="n">
        <f aca="false">1-0.2*(TC_xmb+(TC_n-1)*TC_xmt)*D405/(TC_n*TC_b)</f>
        <v>0.988055555555556</v>
      </c>
      <c r="F405" s="28" t="n">
        <f aca="false">TC_s*E405*TC_m*TC_n*TC_b*SQRT(2*g_)*D405^1.5</f>
        <v>6.99002956993345</v>
      </c>
      <c r="G405" s="29" t="n">
        <f aca="false">MAX(A405-SC_Z,0)</f>
        <v>4</v>
      </c>
      <c r="H405" s="30" t="n">
        <f aca="false">1-0.2*(SC_xmb+(SC_n-1)*SC_xmt)*G405/(SC_n*SC_b)</f>
        <v>0.888</v>
      </c>
      <c r="I405" s="31" t="n">
        <f aca="false">SC_s*H405*SC_m*SC_n*SC_b*SQRT(2*g_)*G405^1.5</f>
        <v>70.8002795384312</v>
      </c>
      <c r="J405" s="32" t="n">
        <f aca="false">F405+I405</f>
        <v>77.7903091083647</v>
      </c>
      <c r="K405" s="32" t="n">
        <f aca="false">F405</f>
        <v>6.99002956993345</v>
      </c>
      <c r="L405" s="32" t="n">
        <f aca="false">C405*1000000/dt_s+J405/2</f>
        <v>10683.3395989986</v>
      </c>
      <c r="M405" s="32" t="n">
        <f aca="false">C405*1000000/dt_s+K405/2</f>
        <v>10647.9394592294</v>
      </c>
    </row>
    <row r="406" customFormat="false" ht="15" hidden="false" customHeight="false" outlineLevel="0" collapsed="false">
      <c r="A406" s="24" t="n">
        <f aca="false">ROUND(A405+0.01,2)</f>
        <v>75.01</v>
      </c>
      <c r="B406" s="25" t="n">
        <f aca="false">INDEX(Bang_F,MATCH(A406,Bang_Z,1))+(A406-INDEX(Bang_Z,MATCH(A406,Bang_Z,1)))*(INDEX(Bang_F,MATCH(A406,Bang_Z,1)+1)-INDEX(Bang_F,MATCH(A406,Bang_Z,1)))</f>
        <v>6.4644</v>
      </c>
      <c r="C406" s="25" t="n">
        <f aca="false">INDEX(Bang_W,MATCH(A406,Bang_Z,1))+(A406-INDEX(Bang_Z,MATCH(A406,Bang_Z,1)))*(INDEX(Bang_F,MATCH(A406,Bang_Z,1))+B406)/2</f>
        <v>38.384622</v>
      </c>
      <c r="D406" s="26" t="n">
        <f aca="false">MAX(A406-TC_Z,0)</f>
        <v>0.310000000000002</v>
      </c>
      <c r="E406" s="27" t="n">
        <f aca="false">1-0.2*(TC_xmb+(TC_n-1)*TC_xmt)*D406/(TC_n*TC_b)</f>
        <v>0.987657407407407</v>
      </c>
      <c r="F406" s="28" t="n">
        <f aca="false">TC_s*E406*TC_m*TC_n*TC_b*SQRT(2*g_)*D406^1.5</f>
        <v>7.33946886493792</v>
      </c>
      <c r="G406" s="29" t="n">
        <f aca="false">MAX(A406-SC_Z,0)</f>
        <v>4.01000000000001</v>
      </c>
      <c r="H406" s="30" t="n">
        <f aca="false">1-0.2*(SC_xmb+(SC_n-1)*SC_xmt)*G406/(SC_n*SC_b)</f>
        <v>0.88772</v>
      </c>
      <c r="I406" s="31" t="n">
        <f aca="false">SC_s*H406*SC_m*SC_n*SC_b*SQRT(2*g_)*G406^1.5</f>
        <v>71.0435382744646</v>
      </c>
      <c r="J406" s="32" t="n">
        <f aca="false">F406+I406</f>
        <v>78.3830071394025</v>
      </c>
      <c r="K406" s="32" t="n">
        <f aca="false">F406</f>
        <v>7.33946886493792</v>
      </c>
      <c r="L406" s="32" t="n">
        <f aca="false">C406*1000000/dt_s+J406/2</f>
        <v>10701.5865035697</v>
      </c>
      <c r="M406" s="32" t="n">
        <f aca="false">C406*1000000/dt_s+K406/2</f>
        <v>10666.0647344325</v>
      </c>
    </row>
    <row r="407" customFormat="false" ht="15" hidden="false" customHeight="false" outlineLevel="0" collapsed="false">
      <c r="A407" s="24" t="n">
        <f aca="false">ROUND(A406+0.01,2)</f>
        <v>75.02</v>
      </c>
      <c r="B407" s="25" t="n">
        <f aca="false">INDEX(Bang_F,MATCH(A407,Bang_Z,1))+(A407-INDEX(Bang_Z,MATCH(A407,Bang_Z,1)))*(INDEX(Bang_F,MATCH(A407,Bang_Z,1)+1)-INDEX(Bang_F,MATCH(A407,Bang_Z,1)))</f>
        <v>6.4688</v>
      </c>
      <c r="C407" s="25" t="n">
        <f aca="false">INDEX(Bang_W,MATCH(A407,Bang_Z,1))+(A407-INDEX(Bang_Z,MATCH(A407,Bang_Z,1)))*(INDEX(Bang_F,MATCH(A407,Bang_Z,1))+B407)/2</f>
        <v>38.449288</v>
      </c>
      <c r="D407" s="26" t="n">
        <f aca="false">MAX(A407-TC_Z,0)</f>
        <v>0.319999999999993</v>
      </c>
      <c r="E407" s="27" t="n">
        <f aca="false">1-0.2*(TC_xmb+(TC_n-1)*TC_xmt)*D407/(TC_n*TC_b)</f>
        <v>0.98725925925926</v>
      </c>
      <c r="F407" s="28" t="n">
        <f aca="false">TC_s*E407*TC_m*TC_n*TC_b*SQRT(2*g_)*D407^1.5</f>
        <v>7.69435021121617</v>
      </c>
      <c r="G407" s="29" t="n">
        <f aca="false">MAX(A407-SC_Z,0)</f>
        <v>4.02</v>
      </c>
      <c r="H407" s="30" t="n">
        <f aca="false">1-0.2*(SC_xmb+(SC_n-1)*SC_xmt)*G407/(SC_n*SC_b)</f>
        <v>0.88744</v>
      </c>
      <c r="I407" s="31" t="n">
        <f aca="false">SC_s*H407*SC_m*SC_n*SC_b*SQRT(2*g_)*G407^1.5</f>
        <v>71.2869607261416</v>
      </c>
      <c r="J407" s="32" t="n">
        <f aca="false">F407+I407</f>
        <v>78.9813109373578</v>
      </c>
      <c r="K407" s="32" t="n">
        <f aca="false">F407</f>
        <v>7.69435021121617</v>
      </c>
      <c r="L407" s="32" t="n">
        <f aca="false">C407*1000000/dt_s+J407/2</f>
        <v>10719.8484332465</v>
      </c>
      <c r="M407" s="32" t="n">
        <f aca="false">C407*1000000/dt_s+K407/2</f>
        <v>10684.2049528834</v>
      </c>
    </row>
    <row r="408" customFormat="false" ht="15" hidden="false" customHeight="false" outlineLevel="0" collapsed="false">
      <c r="A408" s="24" t="n">
        <f aca="false">ROUND(A407+0.01,2)</f>
        <v>75.03</v>
      </c>
      <c r="B408" s="25" t="n">
        <f aca="false">INDEX(Bang_F,MATCH(A408,Bang_Z,1))+(A408-INDEX(Bang_Z,MATCH(A408,Bang_Z,1)))*(INDEX(Bang_F,MATCH(A408,Bang_Z,1)+1)-INDEX(Bang_F,MATCH(A408,Bang_Z,1)))</f>
        <v>6.4732</v>
      </c>
      <c r="C408" s="25" t="n">
        <f aca="false">INDEX(Bang_W,MATCH(A408,Bang_Z,1))+(A408-INDEX(Bang_Z,MATCH(A408,Bang_Z,1)))*(INDEX(Bang_F,MATCH(A408,Bang_Z,1))+B408)/2</f>
        <v>38.513998</v>
      </c>
      <c r="D408" s="26" t="n">
        <f aca="false">MAX(A408-TC_Z,0)</f>
        <v>0.329999999999998</v>
      </c>
      <c r="E408" s="27" t="n">
        <f aca="false">1-0.2*(TC_xmb+(TC_n-1)*TC_xmt)*D408/(TC_n*TC_b)</f>
        <v>0.986861111111111</v>
      </c>
      <c r="F408" s="28" t="n">
        <f aca="false">TC_s*E408*TC_m*TC_n*TC_b*SQRT(2*g_)*D408^1.5</f>
        <v>8.05457651510451</v>
      </c>
      <c r="G408" s="29" t="n">
        <f aca="false">MAX(A408-SC_Z,0)</f>
        <v>4.03</v>
      </c>
      <c r="H408" s="30" t="n">
        <f aca="false">1-0.2*(SC_xmb+(SC_n-1)*SC_xmt)*G408/(SC_n*SC_b)</f>
        <v>0.88716</v>
      </c>
      <c r="I408" s="31" t="n">
        <f aca="false">SC_s*H408*SC_m*SC_n*SC_b*SQRT(2*g_)*G408^1.5</f>
        <v>71.5305461677839</v>
      </c>
      <c r="J408" s="32" t="n">
        <f aca="false">F408+I408</f>
        <v>79.5851226828884</v>
      </c>
      <c r="K408" s="32" t="n">
        <f aca="false">F408</f>
        <v>8.05457651510451</v>
      </c>
      <c r="L408" s="32" t="n">
        <f aca="false">C408*1000000/dt_s+J408/2</f>
        <v>10738.1253391192</v>
      </c>
      <c r="M408" s="32" t="n">
        <f aca="false">C408*1000000/dt_s+K408/2</f>
        <v>10702.3600660353</v>
      </c>
    </row>
    <row r="409" customFormat="false" ht="15" hidden="false" customHeight="false" outlineLevel="0" collapsed="false">
      <c r="A409" s="24" t="n">
        <f aca="false">ROUND(A408+0.01,2)</f>
        <v>75.04</v>
      </c>
      <c r="B409" s="25" t="n">
        <f aca="false">INDEX(Bang_F,MATCH(A409,Bang_Z,1))+(A409-INDEX(Bang_Z,MATCH(A409,Bang_Z,1)))*(INDEX(Bang_F,MATCH(A409,Bang_Z,1)+1)-INDEX(Bang_F,MATCH(A409,Bang_Z,1)))</f>
        <v>6.4776</v>
      </c>
      <c r="C409" s="25" t="n">
        <f aca="false">INDEX(Bang_W,MATCH(A409,Bang_Z,1))+(A409-INDEX(Bang_Z,MATCH(A409,Bang_Z,1)))*(INDEX(Bang_F,MATCH(A409,Bang_Z,1))+B409)/2</f>
        <v>38.578752</v>
      </c>
      <c r="D409" s="26" t="n">
        <f aca="false">MAX(A409-TC_Z,0)</f>
        <v>0.340000000000003</v>
      </c>
      <c r="E409" s="27" t="n">
        <f aca="false">1-0.2*(TC_xmb+(TC_n-1)*TC_xmt)*D409/(TC_n*TC_b)</f>
        <v>0.986462962962963</v>
      </c>
      <c r="F409" s="28" t="n">
        <f aca="false">TC_s*E409*TC_m*TC_n*TC_b*SQRT(2*g_)*D409^1.5</f>
        <v>8.42005495857334</v>
      </c>
      <c r="G409" s="29" t="n">
        <f aca="false">MAX(A409-SC_Z,0)</f>
        <v>4.04000000000001</v>
      </c>
      <c r="H409" s="30" t="n">
        <f aca="false">1-0.2*(SC_xmb+(SC_n-1)*SC_xmt)*G409/(SC_n*SC_b)</f>
        <v>0.88688</v>
      </c>
      <c r="I409" s="31" t="n">
        <f aca="false">SC_s*H409*SC_m*SC_n*SC_b*SQRT(2*g_)*G409^1.5</f>
        <v>71.7742938757665</v>
      </c>
      <c r="J409" s="32" t="n">
        <f aca="false">F409+I409</f>
        <v>80.1943488343398</v>
      </c>
      <c r="K409" s="32" t="n">
        <f aca="false">F409</f>
        <v>8.42005495857334</v>
      </c>
      <c r="L409" s="32" t="n">
        <f aca="false">C409*1000000/dt_s+J409/2</f>
        <v>10756.4171744172</v>
      </c>
      <c r="M409" s="32" t="n">
        <f aca="false">C409*1000000/dt_s+K409/2</f>
        <v>10720.5300274793</v>
      </c>
    </row>
    <row r="410" customFormat="false" ht="15" hidden="false" customHeight="false" outlineLevel="0" collapsed="false">
      <c r="A410" s="24" t="n">
        <f aca="false">ROUND(A409+0.01,2)</f>
        <v>75.05</v>
      </c>
      <c r="B410" s="25" t="n">
        <f aca="false">INDEX(Bang_F,MATCH(A410,Bang_Z,1))+(A410-INDEX(Bang_Z,MATCH(A410,Bang_Z,1)))*(INDEX(Bang_F,MATCH(A410,Bang_Z,1)+1)-INDEX(Bang_F,MATCH(A410,Bang_Z,1)))</f>
        <v>6.482</v>
      </c>
      <c r="C410" s="25" t="n">
        <f aca="false">INDEX(Bang_W,MATCH(A410,Bang_Z,1))+(A410-INDEX(Bang_Z,MATCH(A410,Bang_Z,1)))*(INDEX(Bang_F,MATCH(A410,Bang_Z,1))+B410)/2</f>
        <v>38.64355</v>
      </c>
      <c r="D410" s="26" t="n">
        <f aca="false">MAX(A410-TC_Z,0)</f>
        <v>0.349999999999994</v>
      </c>
      <c r="E410" s="27" t="n">
        <f aca="false">1-0.2*(TC_xmb+(TC_n-1)*TC_xmt)*D410/(TC_n*TC_b)</f>
        <v>0.986064814814815</v>
      </c>
      <c r="F410" s="28" t="n">
        <f aca="false">TC_s*E410*TC_m*TC_n*TC_b*SQRT(2*g_)*D410^1.5</f>
        <v>8.79069668487826</v>
      </c>
      <c r="G410" s="29" t="n">
        <f aca="false">MAX(A410-SC_Z,0)</f>
        <v>4.05</v>
      </c>
      <c r="H410" s="30" t="n">
        <f aca="false">1-0.2*(SC_xmb+(SC_n-1)*SC_xmt)*G410/(SC_n*SC_b)</f>
        <v>0.8866</v>
      </c>
      <c r="I410" s="31" t="n">
        <f aca="false">SC_s*H410*SC_m*SC_n*SC_b*SQRT(2*g_)*G410^1.5</f>
        <v>72.0182031285075</v>
      </c>
      <c r="J410" s="32" t="n">
        <f aca="false">F410+I410</f>
        <v>80.8088998133857</v>
      </c>
      <c r="K410" s="32" t="n">
        <f aca="false">F410</f>
        <v>8.79069668487826</v>
      </c>
      <c r="L410" s="32" t="n">
        <f aca="false">C410*1000000/dt_s+J410/2</f>
        <v>10774.7238943511</v>
      </c>
      <c r="M410" s="32" t="n">
        <f aca="false">C410*1000000/dt_s+K410/2</f>
        <v>10738.7147927869</v>
      </c>
    </row>
    <row r="411" customFormat="false" ht="15" hidden="false" customHeight="false" outlineLevel="0" collapsed="false">
      <c r="A411" s="24" t="n">
        <f aca="false">ROUND(A410+0.01,2)</f>
        <v>75.06</v>
      </c>
      <c r="B411" s="25" t="n">
        <f aca="false">INDEX(Bang_F,MATCH(A411,Bang_Z,1))+(A411-INDEX(Bang_Z,MATCH(A411,Bang_Z,1)))*(INDEX(Bang_F,MATCH(A411,Bang_Z,1)+1)-INDEX(Bang_F,MATCH(A411,Bang_Z,1)))</f>
        <v>6.4864</v>
      </c>
      <c r="C411" s="25" t="n">
        <f aca="false">INDEX(Bang_W,MATCH(A411,Bang_Z,1))+(A411-INDEX(Bang_Z,MATCH(A411,Bang_Z,1)))*(INDEX(Bang_F,MATCH(A411,Bang_Z,1))+B411)/2</f>
        <v>38.708392</v>
      </c>
      <c r="D411" s="26" t="n">
        <f aca="false">MAX(A411-TC_Z,0)</f>
        <v>0.359999999999999</v>
      </c>
      <c r="E411" s="27" t="n">
        <f aca="false">1-0.2*(TC_xmb+(TC_n-1)*TC_xmt)*D411/(TC_n*TC_b)</f>
        <v>0.985666666666667</v>
      </c>
      <c r="F411" s="28" t="n">
        <f aca="false">TC_s*E411*TC_m*TC_n*TC_b*SQRT(2*g_)*D411^1.5</f>
        <v>9.16641651578724</v>
      </c>
      <c r="G411" s="29" t="n">
        <f aca="false">MAX(A411-SC_Z,0)</f>
        <v>4.06</v>
      </c>
      <c r="H411" s="30" t="n">
        <f aca="false">1-0.2*(SC_xmb+(SC_n-1)*SC_xmt)*G411/(SC_n*SC_b)</f>
        <v>0.88632</v>
      </c>
      <c r="I411" s="31" t="n">
        <f aca="false">SC_s*H411*SC_m*SC_n*SC_b*SQRT(2*g_)*G411^1.5</f>
        <v>72.262273206457</v>
      </c>
      <c r="J411" s="32" t="n">
        <f aca="false">F411+I411</f>
        <v>81.4286897222442</v>
      </c>
      <c r="K411" s="32" t="n">
        <f aca="false">F411</f>
        <v>9.16641651578724</v>
      </c>
      <c r="L411" s="32" t="n">
        <f aca="false">C411*1000000/dt_s+J411/2</f>
        <v>10793.0454559722</v>
      </c>
      <c r="M411" s="32" t="n">
        <f aca="false">C411*1000000/dt_s+K411/2</f>
        <v>10756.914319369</v>
      </c>
    </row>
    <row r="412" customFormat="false" ht="15" hidden="false" customHeight="false" outlineLevel="0" collapsed="false">
      <c r="A412" s="24" t="n">
        <f aca="false">ROUND(A411+0.01,2)</f>
        <v>75.07</v>
      </c>
      <c r="B412" s="25" t="n">
        <f aca="false">INDEX(Bang_F,MATCH(A412,Bang_Z,1))+(A412-INDEX(Bang_Z,MATCH(A412,Bang_Z,1)))*(INDEX(Bang_F,MATCH(A412,Bang_Z,1)+1)-INDEX(Bang_F,MATCH(A412,Bang_Z,1)))</f>
        <v>6.4908</v>
      </c>
      <c r="C412" s="25" t="n">
        <f aca="false">INDEX(Bang_W,MATCH(A412,Bang_Z,1))+(A412-INDEX(Bang_Z,MATCH(A412,Bang_Z,1)))*(INDEX(Bang_F,MATCH(A412,Bang_Z,1))+B412)/2</f>
        <v>38.773278</v>
      </c>
      <c r="D412" s="26" t="n">
        <f aca="false">MAX(A412-TC_Z,0)</f>
        <v>0.36999999999999</v>
      </c>
      <c r="E412" s="27" t="n">
        <f aca="false">1-0.2*(TC_xmb+(TC_n-1)*TC_xmt)*D412/(TC_n*TC_b)</f>
        <v>0.985268518518519</v>
      </c>
      <c r="F412" s="28" t="n">
        <f aca="false">TC_s*E412*TC_m*TC_n*TC_b*SQRT(2*g_)*D412^1.5</f>
        <v>9.54713269640775</v>
      </c>
      <c r="G412" s="29" t="n">
        <f aca="false">MAX(A412-SC_Z,0)</f>
        <v>4.06999999999999</v>
      </c>
      <c r="H412" s="30" t="n">
        <f aca="false">1-0.2*(SC_xmb+(SC_n-1)*SC_xmt)*G412/(SC_n*SC_b)</f>
        <v>0.88604</v>
      </c>
      <c r="I412" s="31" t="n">
        <f aca="false">SC_s*H412*SC_m*SC_n*SC_b*SQRT(2*g_)*G412^1.5</f>
        <v>72.506503392083</v>
      </c>
      <c r="J412" s="32" t="n">
        <f aca="false">F412+I412</f>
        <v>82.0536360884907</v>
      </c>
      <c r="K412" s="32" t="n">
        <f aca="false">F412</f>
        <v>9.54713269640775</v>
      </c>
      <c r="L412" s="32" t="n">
        <f aca="false">C412*1000000/dt_s+J412/2</f>
        <v>10811.3818180442</v>
      </c>
      <c r="M412" s="32" t="n">
        <f aca="false">C412*1000000/dt_s+K412/2</f>
        <v>10775.1285663482</v>
      </c>
    </row>
    <row r="413" customFormat="false" ht="15" hidden="false" customHeight="false" outlineLevel="0" collapsed="false">
      <c r="A413" s="24" t="n">
        <f aca="false">ROUND(A412+0.01,2)</f>
        <v>75.08</v>
      </c>
      <c r="B413" s="25" t="n">
        <f aca="false">INDEX(Bang_F,MATCH(A413,Bang_Z,1))+(A413-INDEX(Bang_Z,MATCH(A413,Bang_Z,1)))*(INDEX(Bang_F,MATCH(A413,Bang_Z,1)+1)-INDEX(Bang_F,MATCH(A413,Bang_Z,1)))</f>
        <v>6.4952</v>
      </c>
      <c r="C413" s="25" t="n">
        <f aca="false">INDEX(Bang_W,MATCH(A413,Bang_Z,1))+(A413-INDEX(Bang_Z,MATCH(A413,Bang_Z,1)))*(INDEX(Bang_F,MATCH(A413,Bang_Z,1))+B413)/2</f>
        <v>38.838208</v>
      </c>
      <c r="D413" s="26" t="n">
        <f aca="false">MAX(A413-TC_Z,0)</f>
        <v>0.379999999999995</v>
      </c>
      <c r="E413" s="27" t="n">
        <f aca="false">1-0.2*(TC_xmb+(TC_n-1)*TC_xmt)*D413/(TC_n*TC_b)</f>
        <v>0.984870370370371</v>
      </c>
      <c r="F413" s="28" t="n">
        <f aca="false">TC_s*E413*TC_m*TC_n*TC_b*SQRT(2*g_)*D413^1.5</f>
        <v>9.93276666425064</v>
      </c>
      <c r="G413" s="29" t="n">
        <f aca="false">MAX(A413-SC_Z,0)</f>
        <v>4.08</v>
      </c>
      <c r="H413" s="30" t="n">
        <f aca="false">1-0.2*(SC_xmb+(SC_n-1)*SC_xmt)*G413/(SC_n*SC_b)</f>
        <v>0.88576</v>
      </c>
      <c r="I413" s="31" t="n">
        <f aca="false">SC_s*H413*SC_m*SC_n*SC_b*SQRT(2*g_)*G413^1.5</f>
        <v>72.7508929698626</v>
      </c>
      <c r="J413" s="32" t="n">
        <f aca="false">F413+I413</f>
        <v>82.6836596341133</v>
      </c>
      <c r="K413" s="32" t="n">
        <f aca="false">F413</f>
        <v>9.93276666425064</v>
      </c>
      <c r="L413" s="32" t="n">
        <f aca="false">C413*1000000/dt_s+J413/2</f>
        <v>10829.7329409282</v>
      </c>
      <c r="M413" s="32" t="n">
        <f aca="false">C413*1000000/dt_s+K413/2</f>
        <v>10793.3574944432</v>
      </c>
    </row>
    <row r="414" customFormat="false" ht="15" hidden="false" customHeight="false" outlineLevel="0" collapsed="false">
      <c r="A414" s="24" t="n">
        <f aca="false">ROUND(A413+0.01,2)</f>
        <v>75.09</v>
      </c>
      <c r="B414" s="25" t="n">
        <f aca="false">INDEX(Bang_F,MATCH(A414,Bang_Z,1))+(A414-INDEX(Bang_Z,MATCH(A414,Bang_Z,1)))*(INDEX(Bang_F,MATCH(A414,Bang_Z,1)+1)-INDEX(Bang_F,MATCH(A414,Bang_Z,1)))</f>
        <v>6.4996</v>
      </c>
      <c r="C414" s="25" t="n">
        <f aca="false">INDEX(Bang_W,MATCH(A414,Bang_Z,1))+(A414-INDEX(Bang_Z,MATCH(A414,Bang_Z,1)))*(INDEX(Bang_F,MATCH(A414,Bang_Z,1))+B414)/2</f>
        <v>38.903182</v>
      </c>
      <c r="D414" s="26" t="n">
        <f aca="false">MAX(A414-TC_Z,0)</f>
        <v>0.390000000000001</v>
      </c>
      <c r="E414" s="27" t="n">
        <f aca="false">1-0.2*(TC_xmb+(TC_n-1)*TC_xmt)*D414/(TC_n*TC_b)</f>
        <v>0.984472222222222</v>
      </c>
      <c r="F414" s="28" t="n">
        <f aca="false">TC_s*E414*TC_m*TC_n*TC_b*SQRT(2*g_)*D414^1.5</f>
        <v>10.3232428396301</v>
      </c>
      <c r="G414" s="29" t="n">
        <f aca="false">MAX(A414-SC_Z,0)</f>
        <v>4.09</v>
      </c>
      <c r="H414" s="30" t="n">
        <f aca="false">1-0.2*(SC_xmb+(SC_n-1)*SC_xmt)*G414/(SC_n*SC_b)</f>
        <v>0.88548</v>
      </c>
      <c r="I414" s="31" t="n">
        <f aca="false">SC_s*H414*SC_m*SC_n*SC_b*SQRT(2*g_)*G414^1.5</f>
        <v>72.9954412262681</v>
      </c>
      <c r="J414" s="32" t="n">
        <f aca="false">F414+I414</f>
        <v>83.3186840658983</v>
      </c>
      <c r="K414" s="32" t="n">
        <f aca="false">F414</f>
        <v>10.3232428396301</v>
      </c>
      <c r="L414" s="32" t="n">
        <f aca="false">C414*1000000/dt_s+J414/2</f>
        <v>10848.0987864774</v>
      </c>
      <c r="M414" s="32" t="n">
        <f aca="false">C414*1000000/dt_s+K414/2</f>
        <v>10811.6010658643</v>
      </c>
    </row>
    <row r="415" customFormat="false" ht="15" hidden="false" customHeight="false" outlineLevel="0" collapsed="false">
      <c r="A415" s="24" t="n">
        <f aca="false">ROUND(A414+0.01,2)</f>
        <v>75.1</v>
      </c>
      <c r="B415" s="25" t="n">
        <f aca="false">INDEX(Bang_F,MATCH(A415,Bang_Z,1))+(A415-INDEX(Bang_Z,MATCH(A415,Bang_Z,1)))*(INDEX(Bang_F,MATCH(A415,Bang_Z,1)+1)-INDEX(Bang_F,MATCH(A415,Bang_Z,1)))</f>
        <v>6.504</v>
      </c>
      <c r="C415" s="25" t="n">
        <f aca="false">INDEX(Bang_W,MATCH(A415,Bang_Z,1))+(A415-INDEX(Bang_Z,MATCH(A415,Bang_Z,1)))*(INDEX(Bang_F,MATCH(A415,Bang_Z,1))+B415)/2</f>
        <v>38.9682</v>
      </c>
      <c r="D415" s="26" t="n">
        <f aca="false">MAX(A415-TC_Z,0)</f>
        <v>0.399999999999992</v>
      </c>
      <c r="E415" s="27" t="n">
        <f aca="false">1-0.2*(TC_xmb+(TC_n-1)*TC_xmt)*D415/(TC_n*TC_b)</f>
        <v>0.984074074074074</v>
      </c>
      <c r="F415" s="28" t="n">
        <f aca="false">TC_s*E415*TC_m*TC_n*TC_b*SQRT(2*g_)*D415^1.5</f>
        <v>10.718488434938</v>
      </c>
      <c r="G415" s="29" t="n">
        <f aca="false">MAX(A415-SC_Z,0)</f>
        <v>4.09999999999999</v>
      </c>
      <c r="H415" s="30" t="n">
        <f aca="false">1-0.2*(SC_xmb+(SC_n-1)*SC_xmt)*G415/(SC_n*SC_b)</f>
        <v>0.8852</v>
      </c>
      <c r="I415" s="31" t="n">
        <f aca="false">SC_s*H415*SC_m*SC_n*SC_b*SQRT(2*g_)*G415^1.5</f>
        <v>73.2401474497564</v>
      </c>
      <c r="J415" s="32" t="n">
        <f aca="false">F415+I415</f>
        <v>83.9586358846944</v>
      </c>
      <c r="K415" s="32" t="n">
        <f aca="false">F415</f>
        <v>10.718488434938</v>
      </c>
      <c r="L415" s="32" t="n">
        <f aca="false">C415*1000000/dt_s+J415/2</f>
        <v>10866.4793179423</v>
      </c>
      <c r="M415" s="32" t="n">
        <f aca="false">C415*1000000/dt_s+K415/2</f>
        <v>10829.8592442175</v>
      </c>
    </row>
    <row r="416" customFormat="false" ht="15" hidden="false" customHeight="false" outlineLevel="0" collapsed="false">
      <c r="A416" s="24" t="n">
        <f aca="false">ROUND(A415+0.01,2)</f>
        <v>75.11</v>
      </c>
      <c r="B416" s="25" t="n">
        <f aca="false">INDEX(Bang_F,MATCH(A416,Bang_Z,1))+(A416-INDEX(Bang_Z,MATCH(A416,Bang_Z,1)))*(INDEX(Bang_F,MATCH(A416,Bang_Z,1)+1)-INDEX(Bang_F,MATCH(A416,Bang_Z,1)))</f>
        <v>6.5084</v>
      </c>
      <c r="C416" s="25" t="n">
        <f aca="false">INDEX(Bang_W,MATCH(A416,Bang_Z,1))+(A416-INDEX(Bang_Z,MATCH(A416,Bang_Z,1)))*(INDEX(Bang_F,MATCH(A416,Bang_Z,1))+B416)/2</f>
        <v>39.033262</v>
      </c>
      <c r="D416" s="26" t="n">
        <f aca="false">MAX(A416-TC_Z,0)</f>
        <v>0.409999999999997</v>
      </c>
      <c r="E416" s="27" t="n">
        <f aca="false">1-0.2*(TC_xmb+(TC_n-1)*TC_xmt)*D416/(TC_n*TC_b)</f>
        <v>0.983675925925926</v>
      </c>
      <c r="F416" s="28" t="n">
        <f aca="false">TC_s*E416*TC_m*TC_n*TC_b*SQRT(2*g_)*D416^1.5</f>
        <v>11.1184332806536</v>
      </c>
      <c r="G416" s="29" t="n">
        <f aca="false">MAX(A416-SC_Z,0)</f>
        <v>4.11</v>
      </c>
      <c r="H416" s="30" t="n">
        <f aca="false">1-0.2*(SC_xmb+(SC_n-1)*SC_xmt)*G416/(SC_n*SC_b)</f>
        <v>0.88492</v>
      </c>
      <c r="I416" s="31" t="n">
        <f aca="false">SC_s*H416*SC_m*SC_n*SC_b*SQRT(2*g_)*G416^1.5</f>
        <v>73.4850109307589</v>
      </c>
      <c r="J416" s="32" t="n">
        <f aca="false">F416+I416</f>
        <v>84.6034442114124</v>
      </c>
      <c r="K416" s="32" t="n">
        <f aca="false">F416</f>
        <v>11.1184332806536</v>
      </c>
      <c r="L416" s="32" t="n">
        <f aca="false">C416*1000000/dt_s+J416/2</f>
        <v>10884.8744998835</v>
      </c>
      <c r="M416" s="32" t="n">
        <f aca="false">C416*1000000/dt_s+K416/2</f>
        <v>10848.1319944181</v>
      </c>
    </row>
    <row r="417" customFormat="false" ht="15" hidden="false" customHeight="false" outlineLevel="0" collapsed="false">
      <c r="A417" s="24" t="n">
        <f aca="false">ROUND(A416+0.01,2)</f>
        <v>75.12</v>
      </c>
      <c r="B417" s="25" t="n">
        <f aca="false">INDEX(Bang_F,MATCH(A417,Bang_Z,1))+(A417-INDEX(Bang_Z,MATCH(A417,Bang_Z,1)))*(INDEX(Bang_F,MATCH(A417,Bang_Z,1)+1)-INDEX(Bang_F,MATCH(A417,Bang_Z,1)))</f>
        <v>6.5128</v>
      </c>
      <c r="C417" s="25" t="n">
        <f aca="false">INDEX(Bang_W,MATCH(A417,Bang_Z,1))+(A417-INDEX(Bang_Z,MATCH(A417,Bang_Z,1)))*(INDEX(Bang_F,MATCH(A417,Bang_Z,1))+B417)/2</f>
        <v>39.098368</v>
      </c>
      <c r="D417" s="26" t="n">
        <f aca="false">MAX(A417-TC_Z,0)</f>
        <v>0.420000000000002</v>
      </c>
      <c r="E417" s="27" t="n">
        <f aca="false">1-0.2*(TC_xmb+(TC_n-1)*TC_xmt)*D417/(TC_n*TC_b)</f>
        <v>0.983277777777778</v>
      </c>
      <c r="F417" s="28" t="n">
        <f aca="false">TC_s*E417*TC_m*TC_n*TC_b*SQRT(2*g_)*D417^1.5</f>
        <v>11.5230096662391</v>
      </c>
      <c r="G417" s="29" t="n">
        <f aca="false">MAX(A417-SC_Z,0)</f>
        <v>4.12</v>
      </c>
      <c r="H417" s="30" t="n">
        <f aca="false">1-0.2*(SC_xmb+(SC_n-1)*SC_xmt)*G417/(SC_n*SC_b)</f>
        <v>0.88464</v>
      </c>
      <c r="I417" s="31" t="n">
        <f aca="false">SC_s*H417*SC_m*SC_n*SC_b*SQRT(2*g_)*G417^1.5</f>
        <v>73.7300309616679</v>
      </c>
      <c r="J417" s="32" t="n">
        <f aca="false">F417+I417</f>
        <v>85.253040627907</v>
      </c>
      <c r="K417" s="32" t="n">
        <f aca="false">F417</f>
        <v>11.5230096662391</v>
      </c>
      <c r="L417" s="32" t="n">
        <f aca="false">C417*1000000/dt_s+J417/2</f>
        <v>10903.2842980917</v>
      </c>
      <c r="M417" s="32" t="n">
        <f aca="false">C417*1000000/dt_s+K417/2</f>
        <v>10866.4192826109</v>
      </c>
    </row>
    <row r="418" customFormat="false" ht="15" hidden="false" customHeight="false" outlineLevel="0" collapsed="false">
      <c r="A418" s="24" t="n">
        <f aca="false">ROUND(A417+0.01,2)</f>
        <v>75.13</v>
      </c>
      <c r="B418" s="25" t="n">
        <f aca="false">INDEX(Bang_F,MATCH(A418,Bang_Z,1))+(A418-INDEX(Bang_Z,MATCH(A418,Bang_Z,1)))*(INDEX(Bang_F,MATCH(A418,Bang_Z,1)+1)-INDEX(Bang_F,MATCH(A418,Bang_Z,1)))</f>
        <v>6.5172</v>
      </c>
      <c r="C418" s="25" t="n">
        <f aca="false">INDEX(Bang_W,MATCH(A418,Bang_Z,1))+(A418-INDEX(Bang_Z,MATCH(A418,Bang_Z,1)))*(INDEX(Bang_F,MATCH(A418,Bang_Z,1))+B418)/2</f>
        <v>39.163518</v>
      </c>
      <c r="D418" s="26" t="n">
        <f aca="false">MAX(A418-TC_Z,0)</f>
        <v>0.429999999999993</v>
      </c>
      <c r="E418" s="27" t="n">
        <f aca="false">1-0.2*(TC_xmb+(TC_n-1)*TC_xmt)*D418/(TC_n*TC_b)</f>
        <v>0.98287962962963</v>
      </c>
      <c r="F418" s="28" t="n">
        <f aca="false">TC_s*E418*TC_m*TC_n*TC_b*SQRT(2*g_)*D418^1.5</f>
        <v>11.9321521943285</v>
      </c>
      <c r="G418" s="29" t="n">
        <f aca="false">MAX(A418-SC_Z,0)</f>
        <v>4.13</v>
      </c>
      <c r="H418" s="30" t="n">
        <f aca="false">1-0.2*(SC_xmb+(SC_n-1)*SC_xmt)*G418/(SC_n*SC_b)</f>
        <v>0.88436</v>
      </c>
      <c r="I418" s="31" t="n">
        <f aca="false">SC_s*H418*SC_m*SC_n*SC_b*SQRT(2*g_)*G418^1.5</f>
        <v>73.9752068368271</v>
      </c>
      <c r="J418" s="32" t="n">
        <f aca="false">F418+I418</f>
        <v>85.9073590311556</v>
      </c>
      <c r="K418" s="32" t="n">
        <f aca="false">F418</f>
        <v>11.9321521943285</v>
      </c>
      <c r="L418" s="32" t="n">
        <f aca="false">C418*1000000/dt_s+J418/2</f>
        <v>10921.7086795156</v>
      </c>
      <c r="M418" s="32" t="n">
        <f aca="false">C418*1000000/dt_s+K418/2</f>
        <v>10884.7210760972</v>
      </c>
    </row>
    <row r="419" customFormat="false" ht="15" hidden="false" customHeight="false" outlineLevel="0" collapsed="false">
      <c r="A419" s="24" t="n">
        <f aca="false">ROUND(A418+0.01,2)</f>
        <v>75.14</v>
      </c>
      <c r="B419" s="25" t="n">
        <f aca="false">INDEX(Bang_F,MATCH(A419,Bang_Z,1))+(A419-INDEX(Bang_Z,MATCH(A419,Bang_Z,1)))*(INDEX(Bang_F,MATCH(A419,Bang_Z,1)+1)-INDEX(Bang_F,MATCH(A419,Bang_Z,1)))</f>
        <v>6.5216</v>
      </c>
      <c r="C419" s="25" t="n">
        <f aca="false">INDEX(Bang_W,MATCH(A419,Bang_Z,1))+(A419-INDEX(Bang_Z,MATCH(A419,Bang_Z,1)))*(INDEX(Bang_F,MATCH(A419,Bang_Z,1))+B419)/2</f>
        <v>39.228712</v>
      </c>
      <c r="D419" s="26" t="n">
        <f aca="false">MAX(A419-TC_Z,0)</f>
        <v>0.439999999999998</v>
      </c>
      <c r="E419" s="27" t="n">
        <f aca="false">1-0.2*(TC_xmb+(TC_n-1)*TC_xmt)*D419/(TC_n*TC_b)</f>
        <v>0.982481481481482</v>
      </c>
      <c r="F419" s="28" t="n">
        <f aca="false">TC_s*E419*TC_m*TC_n*TC_b*SQRT(2*g_)*D419^1.5</f>
        <v>12.3457976468076</v>
      </c>
      <c r="G419" s="29" t="n">
        <f aca="false">MAX(A419-SC_Z,0)</f>
        <v>4.14</v>
      </c>
      <c r="H419" s="30" t="n">
        <f aca="false">1-0.2*(SC_xmb+(SC_n-1)*SC_xmt)*G419/(SC_n*SC_b)</f>
        <v>0.88408</v>
      </c>
      <c r="I419" s="31" t="n">
        <f aca="false">SC_s*H419*SC_m*SC_n*SC_b*SQRT(2*g_)*G419^1.5</f>
        <v>74.2205378525209</v>
      </c>
      <c r="J419" s="32" t="n">
        <f aca="false">F419+I419</f>
        <v>86.5663354993285</v>
      </c>
      <c r="K419" s="32" t="n">
        <f aca="false">F419</f>
        <v>12.3457976468076</v>
      </c>
      <c r="L419" s="32" t="n">
        <f aca="false">C419*1000000/dt_s+J419/2</f>
        <v>10940.1476121941</v>
      </c>
      <c r="M419" s="32" t="n">
        <f aca="false">C419*1000000/dt_s+K419/2</f>
        <v>10903.0373432679</v>
      </c>
    </row>
    <row r="420" customFormat="false" ht="15" hidden="false" customHeight="false" outlineLevel="0" collapsed="false">
      <c r="A420" s="24" t="n">
        <f aca="false">ROUND(A419+0.01,2)</f>
        <v>75.15</v>
      </c>
      <c r="B420" s="25" t="n">
        <f aca="false">INDEX(Bang_F,MATCH(A420,Bang_Z,1))+(A420-INDEX(Bang_Z,MATCH(A420,Bang_Z,1)))*(INDEX(Bang_F,MATCH(A420,Bang_Z,1)+1)-INDEX(Bang_F,MATCH(A420,Bang_Z,1)))</f>
        <v>6.526</v>
      </c>
      <c r="C420" s="25" t="n">
        <f aca="false">INDEX(Bang_W,MATCH(A420,Bang_Z,1))+(A420-INDEX(Bang_Z,MATCH(A420,Bang_Z,1)))*(INDEX(Bang_F,MATCH(A420,Bang_Z,1))+B420)/2</f>
        <v>39.29395</v>
      </c>
      <c r="D420" s="26" t="n">
        <f aca="false">MAX(A420-TC_Z,0)</f>
        <v>0.450000000000003</v>
      </c>
      <c r="E420" s="27" t="n">
        <f aca="false">1-0.2*(TC_xmb+(TC_n-1)*TC_xmt)*D420/(TC_n*TC_b)</f>
        <v>0.982083333333333</v>
      </c>
      <c r="F420" s="28" t="n">
        <f aca="false">TC_s*E420*TC_m*TC_n*TC_b*SQRT(2*g_)*D420^1.5</f>
        <v>12.7638848615606</v>
      </c>
      <c r="G420" s="29" t="n">
        <f aca="false">MAX(A420-SC_Z,0)</f>
        <v>4.15000000000001</v>
      </c>
      <c r="H420" s="30" t="n">
        <f aca="false">1-0.2*(SC_xmb+(SC_n-1)*SC_xmt)*G420/(SC_n*SC_b)</f>
        <v>0.8838</v>
      </c>
      <c r="I420" s="31" t="n">
        <f aca="false">SC_s*H420*SC_m*SC_n*SC_b*SQRT(2*g_)*G420^1.5</f>
        <v>74.4660233069616</v>
      </c>
      <c r="J420" s="32" t="n">
        <f aca="false">F420+I420</f>
        <v>87.2299081685221</v>
      </c>
      <c r="K420" s="32" t="n">
        <f aca="false">F420</f>
        <v>12.7638848615606</v>
      </c>
      <c r="L420" s="32" t="n">
        <f aca="false">C420*1000000/dt_s+J420/2</f>
        <v>10958.6010651954</v>
      </c>
      <c r="M420" s="32" t="n">
        <f aca="false">C420*1000000/dt_s+K420/2</f>
        <v>10921.3680535419</v>
      </c>
    </row>
    <row r="421" customFormat="false" ht="15" hidden="false" customHeight="false" outlineLevel="0" collapsed="false">
      <c r="A421" s="24" t="n">
        <f aca="false">ROUND(A420+0.01,2)</f>
        <v>75.16</v>
      </c>
      <c r="B421" s="25" t="n">
        <f aca="false">INDEX(Bang_F,MATCH(A421,Bang_Z,1))+(A421-INDEX(Bang_Z,MATCH(A421,Bang_Z,1)))*(INDEX(Bang_F,MATCH(A421,Bang_Z,1)+1)-INDEX(Bang_F,MATCH(A421,Bang_Z,1)))</f>
        <v>6.5304</v>
      </c>
      <c r="C421" s="25" t="n">
        <f aca="false">INDEX(Bang_W,MATCH(A421,Bang_Z,1))+(A421-INDEX(Bang_Z,MATCH(A421,Bang_Z,1)))*(INDEX(Bang_F,MATCH(A421,Bang_Z,1))+B421)/2</f>
        <v>39.359232</v>
      </c>
      <c r="D421" s="26" t="n">
        <f aca="false">MAX(A421-TC_Z,0)</f>
        <v>0.459999999999994</v>
      </c>
      <c r="E421" s="27" t="n">
        <f aca="false">1-0.2*(TC_xmb+(TC_n-1)*TC_xmt)*D421/(TC_n*TC_b)</f>
        <v>0.981685185185185</v>
      </c>
      <c r="F421" s="28" t="n">
        <f aca="false">TC_s*E421*TC_m*TC_n*TC_b*SQRT(2*g_)*D421^1.5</f>
        <v>13.1863546188208</v>
      </c>
      <c r="G421" s="29" t="n">
        <f aca="false">MAX(A421-SC_Z,0)</f>
        <v>4.16</v>
      </c>
      <c r="H421" s="30" t="n">
        <f aca="false">1-0.2*(SC_xmb+(SC_n-1)*SC_xmt)*G421/(SC_n*SC_b)</f>
        <v>0.88352</v>
      </c>
      <c r="I421" s="31" t="n">
        <f aca="false">SC_s*H421*SC_m*SC_n*SC_b*SQRT(2*g_)*G421^1.5</f>
        <v>74.7116625002797</v>
      </c>
      <c r="J421" s="32" t="n">
        <f aca="false">F421+I421</f>
        <v>87.8980171191006</v>
      </c>
      <c r="K421" s="32" t="n">
        <f aca="false">F421</f>
        <v>13.1863546188208</v>
      </c>
      <c r="L421" s="32" t="n">
        <f aca="false">C421*1000000/dt_s+J421/2</f>
        <v>10977.0690085595</v>
      </c>
      <c r="M421" s="32" t="n">
        <f aca="false">C421*1000000/dt_s+K421/2</f>
        <v>10939.7131773094</v>
      </c>
    </row>
    <row r="422" customFormat="false" ht="15" hidden="false" customHeight="false" outlineLevel="0" collapsed="false">
      <c r="A422" s="24" t="n">
        <f aca="false">ROUND(A421+0.01,2)</f>
        <v>75.17</v>
      </c>
      <c r="B422" s="25" t="n">
        <f aca="false">INDEX(Bang_F,MATCH(A422,Bang_Z,1))+(A422-INDEX(Bang_Z,MATCH(A422,Bang_Z,1)))*(INDEX(Bang_F,MATCH(A422,Bang_Z,1)+1)-INDEX(Bang_F,MATCH(A422,Bang_Z,1)))</f>
        <v>6.5348</v>
      </c>
      <c r="C422" s="25" t="n">
        <f aca="false">INDEX(Bang_W,MATCH(A422,Bang_Z,1))+(A422-INDEX(Bang_Z,MATCH(A422,Bang_Z,1)))*(INDEX(Bang_F,MATCH(A422,Bang_Z,1))+B422)/2</f>
        <v>39.424558</v>
      </c>
      <c r="D422" s="26" t="n">
        <f aca="false">MAX(A422-TC_Z,0)</f>
        <v>0.469999999999999</v>
      </c>
      <c r="E422" s="27" t="n">
        <f aca="false">1-0.2*(TC_xmb+(TC_n-1)*TC_xmt)*D422/(TC_n*TC_b)</f>
        <v>0.981287037037037</v>
      </c>
      <c r="F422" s="28" t="n">
        <f aca="false">TC_s*E422*TC_m*TC_n*TC_b*SQRT(2*g_)*D422^1.5</f>
        <v>13.6131495361802</v>
      </c>
      <c r="G422" s="29" t="n">
        <f aca="false">MAX(A422-SC_Z,0)</f>
        <v>4.17</v>
      </c>
      <c r="H422" s="30" t="n">
        <f aca="false">1-0.2*(SC_xmb+(SC_n-1)*SC_xmt)*G422/(SC_n*SC_b)</f>
        <v>0.88324</v>
      </c>
      <c r="I422" s="31" t="n">
        <f aca="false">SC_s*H422*SC_m*SC_n*SC_b*SQRT(2*g_)*G422^1.5</f>
        <v>74.9574547345142</v>
      </c>
      <c r="J422" s="32" t="n">
        <f aca="false">F422+I422</f>
        <v>88.5706042706944</v>
      </c>
      <c r="K422" s="32" t="n">
        <f aca="false">F422</f>
        <v>13.6131495361802</v>
      </c>
      <c r="L422" s="32" t="n">
        <f aca="false">C422*1000000/dt_s+J422/2</f>
        <v>10995.5514132465</v>
      </c>
      <c r="M422" s="32" t="n">
        <f aca="false">C422*1000000/dt_s+K422/2</f>
        <v>10958.0726858792</v>
      </c>
    </row>
    <row r="423" customFormat="false" ht="15" hidden="false" customHeight="false" outlineLevel="0" collapsed="false">
      <c r="A423" s="24" t="n">
        <f aca="false">ROUND(A422+0.01,2)</f>
        <v>75.18</v>
      </c>
      <c r="B423" s="25" t="n">
        <f aca="false">INDEX(Bang_F,MATCH(A423,Bang_Z,1))+(A423-INDEX(Bang_Z,MATCH(A423,Bang_Z,1)))*(INDEX(Bang_F,MATCH(A423,Bang_Z,1)+1)-INDEX(Bang_F,MATCH(A423,Bang_Z,1)))</f>
        <v>6.5392</v>
      </c>
      <c r="C423" s="25" t="n">
        <f aca="false">INDEX(Bang_W,MATCH(A423,Bang_Z,1))+(A423-INDEX(Bang_Z,MATCH(A423,Bang_Z,1)))*(INDEX(Bang_F,MATCH(A423,Bang_Z,1))+B423)/2</f>
        <v>39.489928</v>
      </c>
      <c r="D423" s="26" t="n">
        <f aca="false">MAX(A423-TC_Z,0)</f>
        <v>0.480000000000004</v>
      </c>
      <c r="E423" s="27" t="n">
        <f aca="false">1-0.2*(TC_xmb+(TC_n-1)*TC_xmt)*D423/(TC_n*TC_b)</f>
        <v>0.980888888888889</v>
      </c>
      <c r="F423" s="28" t="n">
        <f aca="false">TC_s*E423*TC_m*TC_n*TC_b*SQRT(2*g_)*D423^1.5</f>
        <v>14.0442139714181</v>
      </c>
      <c r="G423" s="29" t="n">
        <f aca="false">MAX(A423-SC_Z,0)</f>
        <v>4.18000000000001</v>
      </c>
      <c r="H423" s="30" t="n">
        <f aca="false">1-0.2*(SC_xmb+(SC_n-1)*SC_xmt)*G423/(SC_n*SC_b)</f>
        <v>0.88296</v>
      </c>
      <c r="I423" s="31" t="n">
        <f aca="false">SC_s*H423*SC_m*SC_n*SC_b*SQRT(2*g_)*G423^1.5</f>
        <v>75.2033993135993</v>
      </c>
      <c r="J423" s="32" t="n">
        <f aca="false">F423+I423</f>
        <v>89.2476132850174</v>
      </c>
      <c r="K423" s="32" t="n">
        <f aca="false">F423</f>
        <v>14.0442139714181</v>
      </c>
      <c r="L423" s="32" t="n">
        <f aca="false">C423*1000000/dt_s+J423/2</f>
        <v>11014.048251087</v>
      </c>
      <c r="M423" s="32" t="n">
        <f aca="false">C423*1000000/dt_s+K423/2</f>
        <v>10976.4465514302</v>
      </c>
    </row>
    <row r="424" customFormat="false" ht="15" hidden="false" customHeight="false" outlineLevel="0" collapsed="false">
      <c r="A424" s="24" t="n">
        <f aca="false">ROUND(A423+0.01,2)</f>
        <v>75.19</v>
      </c>
      <c r="B424" s="25" t="n">
        <f aca="false">INDEX(Bang_F,MATCH(A424,Bang_Z,1))+(A424-INDEX(Bang_Z,MATCH(A424,Bang_Z,1)))*(INDEX(Bang_F,MATCH(A424,Bang_Z,1)+1)-INDEX(Bang_F,MATCH(A424,Bang_Z,1)))</f>
        <v>6.5436</v>
      </c>
      <c r="C424" s="25" t="n">
        <f aca="false">INDEX(Bang_W,MATCH(A424,Bang_Z,1))+(A424-INDEX(Bang_Z,MATCH(A424,Bang_Z,1)))*(INDEX(Bang_F,MATCH(A424,Bang_Z,1))+B424)/2</f>
        <v>39.555342</v>
      </c>
      <c r="D424" s="26" t="n">
        <f aca="false">MAX(A424-TC_Z,0)</f>
        <v>0.489999999999995</v>
      </c>
      <c r="E424" s="27" t="n">
        <f aca="false">1-0.2*(TC_xmb+(TC_n-1)*TC_xmt)*D424/(TC_n*TC_b)</f>
        <v>0.980490740740741</v>
      </c>
      <c r="F424" s="28" t="n">
        <f aca="false">TC_s*E424*TC_m*TC_n*TC_b*SQRT(2*g_)*D424^1.5</f>
        <v>14.4794939324263</v>
      </c>
      <c r="G424" s="29" t="n">
        <f aca="false">MAX(A424-SC_Z,0)</f>
        <v>4.19</v>
      </c>
      <c r="H424" s="30" t="n">
        <f aca="false">1-0.2*(SC_xmb+(SC_n-1)*SC_xmt)*G424/(SC_n*SC_b)</f>
        <v>0.88268</v>
      </c>
      <c r="I424" s="31" t="n">
        <f aca="false">SC_s*H424*SC_m*SC_n*SC_b*SQRT(2*g_)*G424^1.5</f>
        <v>75.4494955433555</v>
      </c>
      <c r="J424" s="32" t="n">
        <f aca="false">F424+I424</f>
        <v>89.9289894757817</v>
      </c>
      <c r="K424" s="32" t="n">
        <f aca="false">F424</f>
        <v>14.4794939324263</v>
      </c>
      <c r="L424" s="32" t="n">
        <f aca="false">C424*1000000/dt_s+J424/2</f>
        <v>11032.5594947379</v>
      </c>
      <c r="M424" s="32" t="n">
        <f aca="false">C424*1000000/dt_s+K424/2</f>
        <v>10994.8347469662</v>
      </c>
    </row>
    <row r="425" customFormat="false" ht="15" hidden="false" customHeight="false" outlineLevel="0" collapsed="false">
      <c r="A425" s="24" t="n">
        <f aca="false">ROUND(A424+0.01,2)</f>
        <v>75.2</v>
      </c>
      <c r="B425" s="25" t="n">
        <f aca="false">INDEX(Bang_F,MATCH(A425,Bang_Z,1))+(A425-INDEX(Bang_Z,MATCH(A425,Bang_Z,1)))*(INDEX(Bang_F,MATCH(A425,Bang_Z,1)+1)-INDEX(Bang_F,MATCH(A425,Bang_Z,1)))</f>
        <v>6.548</v>
      </c>
      <c r="C425" s="25" t="n">
        <f aca="false">INDEX(Bang_W,MATCH(A425,Bang_Z,1))+(A425-INDEX(Bang_Z,MATCH(A425,Bang_Z,1)))*(INDEX(Bang_F,MATCH(A425,Bang_Z,1))+B425)/2</f>
        <v>39.6208</v>
      </c>
      <c r="D425" s="26" t="n">
        <f aca="false">MAX(A425-TC_Z,0)</f>
        <v>0.5</v>
      </c>
      <c r="E425" s="27" t="n">
        <f aca="false">1-0.2*(TC_xmb+(TC_n-1)*TC_xmt)*D425/(TC_n*TC_b)</f>
        <v>0.980092592592593</v>
      </c>
      <c r="F425" s="28" t="n">
        <f aca="false">TC_s*E425*TC_m*TC_n*TC_b*SQRT(2*g_)*D425^1.5</f>
        <v>14.9189369935705</v>
      </c>
      <c r="G425" s="29" t="n">
        <f aca="false">MAX(A425-SC_Z,0)</f>
        <v>4.2</v>
      </c>
      <c r="H425" s="30" t="n">
        <f aca="false">1-0.2*(SC_xmb+(SC_n-1)*SC_xmt)*G425/(SC_n*SC_b)</f>
        <v>0.8824</v>
      </c>
      <c r="I425" s="31" t="n">
        <f aca="false">SC_s*H425*SC_m*SC_n*SC_b*SQRT(2*g_)*G425^1.5</f>
        <v>75.6957427314796</v>
      </c>
      <c r="J425" s="32" t="n">
        <f aca="false">F425+I425</f>
        <v>90.61467972505</v>
      </c>
      <c r="K425" s="32" t="n">
        <f aca="false">F425</f>
        <v>14.9189369935705</v>
      </c>
      <c r="L425" s="32" t="n">
        <f aca="false">C425*1000000/dt_s+J425/2</f>
        <v>11051.0851176403</v>
      </c>
      <c r="M425" s="32" t="n">
        <f aca="false">C425*1000000/dt_s+K425/2</f>
        <v>11013.2372462746</v>
      </c>
    </row>
    <row r="426" customFormat="false" ht="15" hidden="false" customHeight="false" outlineLevel="0" collapsed="false">
      <c r="A426" s="24" t="n">
        <f aca="false">ROUND(A425+0.01,2)</f>
        <v>75.21</v>
      </c>
      <c r="B426" s="25" t="n">
        <f aca="false">INDEX(Bang_F,MATCH(A426,Bang_Z,1))+(A426-INDEX(Bang_Z,MATCH(A426,Bang_Z,1)))*(INDEX(Bang_F,MATCH(A426,Bang_Z,1)+1)-INDEX(Bang_F,MATCH(A426,Bang_Z,1)))</f>
        <v>6.5524</v>
      </c>
      <c r="C426" s="25" t="n">
        <f aca="false">INDEX(Bang_W,MATCH(A426,Bang_Z,1))+(A426-INDEX(Bang_Z,MATCH(A426,Bang_Z,1)))*(INDEX(Bang_F,MATCH(A426,Bang_Z,1))+B426)/2</f>
        <v>39.686302</v>
      </c>
      <c r="D426" s="26" t="n">
        <f aca="false">MAX(A426-TC_Z,0)</f>
        <v>0.509999999999991</v>
      </c>
      <c r="E426" s="27" t="n">
        <f aca="false">1-0.2*(TC_xmb+(TC_n-1)*TC_xmt)*D426/(TC_n*TC_b)</f>
        <v>0.979694444444445</v>
      </c>
      <c r="F426" s="28" t="n">
        <f aca="false">TC_s*E426*TC_m*TC_n*TC_b*SQRT(2*g_)*D426^1.5</f>
        <v>15.3624922179025</v>
      </c>
      <c r="G426" s="29" t="n">
        <f aca="false">MAX(A426-SC_Z,0)</f>
        <v>4.20999999999999</v>
      </c>
      <c r="H426" s="30" t="n">
        <f aca="false">1-0.2*(SC_xmb+(SC_n-1)*SC_xmt)*G426/(SC_n*SC_b)</f>
        <v>0.88212</v>
      </c>
      <c r="I426" s="31" t="n">
        <f aca="false">SC_s*H426*SC_m*SC_n*SC_b*SQRT(2*g_)*G426^1.5</f>
        <v>75.9421401875322</v>
      </c>
      <c r="J426" s="32" t="n">
        <f aca="false">F426+I426</f>
        <v>91.3046324054347</v>
      </c>
      <c r="K426" s="32" t="n">
        <f aca="false">F426</f>
        <v>15.3624922179025</v>
      </c>
      <c r="L426" s="32" t="n">
        <f aca="false">C426*1000000/dt_s+J426/2</f>
        <v>11069.6250939805</v>
      </c>
      <c r="M426" s="32" t="n">
        <f aca="false">C426*1000000/dt_s+K426/2</f>
        <v>11031.6540238867</v>
      </c>
    </row>
    <row r="427" customFormat="false" ht="15" hidden="false" customHeight="false" outlineLevel="0" collapsed="false">
      <c r="A427" s="24" t="n">
        <f aca="false">ROUND(A426+0.01,2)</f>
        <v>75.22</v>
      </c>
      <c r="B427" s="25" t="n">
        <f aca="false">INDEX(Bang_F,MATCH(A427,Bang_Z,1))+(A427-INDEX(Bang_Z,MATCH(A427,Bang_Z,1)))*(INDEX(Bang_F,MATCH(A427,Bang_Z,1)+1)-INDEX(Bang_F,MATCH(A427,Bang_Z,1)))</f>
        <v>6.5568</v>
      </c>
      <c r="C427" s="25" t="n">
        <f aca="false">INDEX(Bang_W,MATCH(A427,Bang_Z,1))+(A427-INDEX(Bang_Z,MATCH(A427,Bang_Z,1)))*(INDEX(Bang_F,MATCH(A427,Bang_Z,1))+B427)/2</f>
        <v>39.751848</v>
      </c>
      <c r="D427" s="26" t="n">
        <f aca="false">MAX(A427-TC_Z,0)</f>
        <v>0.519999999999996</v>
      </c>
      <c r="E427" s="27" t="n">
        <f aca="false">1-0.2*(TC_xmb+(TC_n-1)*TC_xmt)*D427/(TC_n*TC_b)</f>
        <v>0.979296296296296</v>
      </c>
      <c r="F427" s="28" t="n">
        <f aca="false">TC_s*E427*TC_m*TC_n*TC_b*SQRT(2*g_)*D427^1.5</f>
        <v>15.8101100847194</v>
      </c>
      <c r="G427" s="29" t="n">
        <f aca="false">MAX(A427-SC_Z,0)</f>
        <v>4.22</v>
      </c>
      <c r="H427" s="30" t="n">
        <f aca="false">1-0.2*(SC_xmb+(SC_n-1)*SC_xmt)*G427/(SC_n*SC_b)</f>
        <v>0.88184</v>
      </c>
      <c r="I427" s="31" t="n">
        <f aca="false">SC_s*H427*SC_m*SC_n*SC_b*SQRT(2*g_)*G427^1.5</f>
        <v>76.1886872229299</v>
      </c>
      <c r="J427" s="32" t="n">
        <f aca="false">F427+I427</f>
        <v>91.9987973076493</v>
      </c>
      <c r="K427" s="32" t="n">
        <f aca="false">F427</f>
        <v>15.8101100847194</v>
      </c>
      <c r="L427" s="32" t="n">
        <f aca="false">C427*1000000/dt_s+J427/2</f>
        <v>11088.1793986538</v>
      </c>
      <c r="M427" s="32" t="n">
        <f aca="false">C427*1000000/dt_s+K427/2</f>
        <v>11050.0850550424</v>
      </c>
    </row>
    <row r="428" customFormat="false" ht="15" hidden="false" customHeight="false" outlineLevel="0" collapsed="false">
      <c r="A428" s="24" t="n">
        <f aca="false">ROUND(A427+0.01,2)</f>
        <v>75.23</v>
      </c>
      <c r="B428" s="25" t="n">
        <f aca="false">INDEX(Bang_F,MATCH(A428,Bang_Z,1))+(A428-INDEX(Bang_Z,MATCH(A428,Bang_Z,1)))*(INDEX(Bang_F,MATCH(A428,Bang_Z,1)+1)-INDEX(Bang_F,MATCH(A428,Bang_Z,1)))</f>
        <v>6.5612</v>
      </c>
      <c r="C428" s="25" t="n">
        <f aca="false">INDEX(Bang_W,MATCH(A428,Bang_Z,1))+(A428-INDEX(Bang_Z,MATCH(A428,Bang_Z,1)))*(INDEX(Bang_F,MATCH(A428,Bang_Z,1))+B428)/2</f>
        <v>39.817438</v>
      </c>
      <c r="D428" s="26" t="n">
        <f aca="false">MAX(A428-TC_Z,0)</f>
        <v>0.530000000000001</v>
      </c>
      <c r="E428" s="27" t="n">
        <f aca="false">1-0.2*(TC_xmb+(TC_n-1)*TC_xmt)*D428/(TC_n*TC_b)</f>
        <v>0.978898148148148</v>
      </c>
      <c r="F428" s="28" t="n">
        <f aca="false">TC_s*E428*TC_m*TC_n*TC_b*SQRT(2*g_)*D428^1.5</f>
        <v>16.261742421988</v>
      </c>
      <c r="G428" s="29" t="n">
        <f aca="false">MAX(A428-SC_Z,0)</f>
        <v>4.23</v>
      </c>
      <c r="H428" s="30" t="n">
        <f aca="false">1-0.2*(SC_xmb+(SC_n-1)*SC_xmt)*G428/(SC_n*SC_b)</f>
        <v>0.88156</v>
      </c>
      <c r="I428" s="31" t="n">
        <f aca="false">SC_s*H428*SC_m*SC_n*SC_b*SQRT(2*g_)*G428^1.5</f>
        <v>76.4353831509327</v>
      </c>
      <c r="J428" s="32" t="n">
        <f aca="false">F428+I428</f>
        <v>92.6971255729207</v>
      </c>
      <c r="K428" s="32" t="n">
        <f aca="false">F428</f>
        <v>16.261742421988</v>
      </c>
      <c r="L428" s="32" t="n">
        <f aca="false">C428*1000000/dt_s+J428/2</f>
        <v>11106.7480072309</v>
      </c>
      <c r="M428" s="32" t="n">
        <f aca="false">C428*1000000/dt_s+K428/2</f>
        <v>11068.5303156554</v>
      </c>
    </row>
    <row r="429" customFormat="false" ht="15" hidden="false" customHeight="false" outlineLevel="0" collapsed="false">
      <c r="A429" s="24" t="n">
        <f aca="false">ROUND(A428+0.01,2)</f>
        <v>75.24</v>
      </c>
      <c r="B429" s="25" t="n">
        <f aca="false">INDEX(Bang_F,MATCH(A429,Bang_Z,1))+(A429-INDEX(Bang_Z,MATCH(A429,Bang_Z,1)))*(INDEX(Bang_F,MATCH(A429,Bang_Z,1)+1)-INDEX(Bang_F,MATCH(A429,Bang_Z,1)))</f>
        <v>6.5656</v>
      </c>
      <c r="C429" s="25" t="n">
        <f aca="false">INDEX(Bang_W,MATCH(A429,Bang_Z,1))+(A429-INDEX(Bang_Z,MATCH(A429,Bang_Z,1)))*(INDEX(Bang_F,MATCH(A429,Bang_Z,1))+B429)/2</f>
        <v>39.883072</v>
      </c>
      <c r="D429" s="26" t="n">
        <f aca="false">MAX(A429-TC_Z,0)</f>
        <v>0.539999999999992</v>
      </c>
      <c r="E429" s="27" t="n">
        <f aca="false">1-0.2*(TC_xmb+(TC_n-1)*TC_xmt)*D429/(TC_n*TC_b)</f>
        <v>0.9785</v>
      </c>
      <c r="F429" s="28" t="n">
        <f aca="false">TC_s*E429*TC_m*TC_n*TC_b*SQRT(2*g_)*D429^1.5</f>
        <v>16.7173423432369</v>
      </c>
      <c r="G429" s="29" t="n">
        <f aca="false">MAX(A429-SC_Z,0)</f>
        <v>4.24</v>
      </c>
      <c r="H429" s="30" t="n">
        <f aca="false">1-0.2*(SC_xmb+(SC_n-1)*SC_xmt)*G429/(SC_n*SC_b)</f>
        <v>0.88128</v>
      </c>
      <c r="I429" s="31" t="n">
        <f aca="false">SC_s*H429*SC_m*SC_n*SC_b*SQRT(2*g_)*G429^1.5</f>
        <v>76.6822272866346</v>
      </c>
      <c r="J429" s="32" t="n">
        <f aca="false">F429+I429</f>
        <v>93.3995696298715</v>
      </c>
      <c r="K429" s="32" t="n">
        <f aca="false">F429</f>
        <v>16.7173423432369</v>
      </c>
      <c r="L429" s="32" t="n">
        <f aca="false">C429*1000000/dt_s+J429/2</f>
        <v>11125.330895926</v>
      </c>
      <c r="M429" s="32" t="n">
        <f aca="false">C429*1000000/dt_s+K429/2</f>
        <v>11086.9897822827</v>
      </c>
    </row>
    <row r="430" customFormat="false" ht="15" hidden="false" customHeight="false" outlineLevel="0" collapsed="false">
      <c r="A430" s="24" t="n">
        <f aca="false">ROUND(A429+0.01,2)</f>
        <v>75.25</v>
      </c>
      <c r="B430" s="25" t="n">
        <f aca="false">INDEX(Bang_F,MATCH(A430,Bang_Z,1))+(A430-INDEX(Bang_Z,MATCH(A430,Bang_Z,1)))*(INDEX(Bang_F,MATCH(A430,Bang_Z,1)+1)-INDEX(Bang_F,MATCH(A430,Bang_Z,1)))</f>
        <v>6.57</v>
      </c>
      <c r="C430" s="25" t="n">
        <f aca="false">INDEX(Bang_W,MATCH(A430,Bang_Z,1))+(A430-INDEX(Bang_Z,MATCH(A430,Bang_Z,1)))*(INDEX(Bang_F,MATCH(A430,Bang_Z,1))+B430)/2</f>
        <v>39.94875</v>
      </c>
      <c r="D430" s="26" t="n">
        <f aca="false">MAX(A430-TC_Z,0)</f>
        <v>0.549999999999997</v>
      </c>
      <c r="E430" s="27" t="n">
        <f aca="false">1-0.2*(TC_xmb+(TC_n-1)*TC_xmt)*D430/(TC_n*TC_b)</f>
        <v>0.978101851851852</v>
      </c>
      <c r="F430" s="28" t="n">
        <f aca="false">TC_s*E430*TC_m*TC_n*TC_b*SQRT(2*g_)*D430^1.5</f>
        <v>17.1768641885356</v>
      </c>
      <c r="G430" s="29" t="n">
        <f aca="false">MAX(A430-SC_Z,0)</f>
        <v>4.25</v>
      </c>
      <c r="H430" s="30" t="n">
        <f aca="false">1-0.2*(SC_xmb+(SC_n-1)*SC_xmt)*G430/(SC_n*SC_b)</f>
        <v>0.881</v>
      </c>
      <c r="I430" s="31" t="n">
        <f aca="false">SC_s*H430*SC_m*SC_n*SC_b*SQRT(2*g_)*G430^1.5</f>
        <v>76.929218946955</v>
      </c>
      <c r="J430" s="32" t="n">
        <f aca="false">F430+I430</f>
        <v>94.1060831354906</v>
      </c>
      <c r="K430" s="32" t="n">
        <f aca="false">F430</f>
        <v>17.1768641885356</v>
      </c>
      <c r="L430" s="32" t="n">
        <f aca="false">C430*1000000/dt_s+J430/2</f>
        <v>11143.9280415677</v>
      </c>
      <c r="M430" s="32" t="n">
        <f aca="false">C430*1000000/dt_s+K430/2</f>
        <v>11105.4634320943</v>
      </c>
    </row>
    <row r="431" customFormat="false" ht="15" hidden="false" customHeight="false" outlineLevel="0" collapsed="false">
      <c r="A431" s="24" t="n">
        <f aca="false">ROUND(A430+0.01,2)</f>
        <v>75.26</v>
      </c>
      <c r="B431" s="25" t="n">
        <f aca="false">INDEX(Bang_F,MATCH(A431,Bang_Z,1))+(A431-INDEX(Bang_Z,MATCH(A431,Bang_Z,1)))*(INDEX(Bang_F,MATCH(A431,Bang_Z,1)+1)-INDEX(Bang_F,MATCH(A431,Bang_Z,1)))</f>
        <v>6.5744</v>
      </c>
      <c r="C431" s="25" t="n">
        <f aca="false">INDEX(Bang_W,MATCH(A431,Bang_Z,1))+(A431-INDEX(Bang_Z,MATCH(A431,Bang_Z,1)))*(INDEX(Bang_F,MATCH(A431,Bang_Z,1))+B431)/2</f>
        <v>40.014472</v>
      </c>
      <c r="D431" s="26" t="n">
        <f aca="false">MAX(A431-TC_Z,0)</f>
        <v>0.560000000000002</v>
      </c>
      <c r="E431" s="27" t="n">
        <f aca="false">1-0.2*(TC_xmb+(TC_n-1)*TC_xmt)*D431/(TC_n*TC_b)</f>
        <v>0.977703703703704</v>
      </c>
      <c r="F431" s="28" t="n">
        <f aca="false">TC_s*E431*TC_m*TC_n*TC_b*SQRT(2*g_)*D431^1.5</f>
        <v>17.6402634692209</v>
      </c>
      <c r="G431" s="29" t="n">
        <f aca="false">MAX(A431-SC_Z,0)</f>
        <v>4.26000000000001</v>
      </c>
      <c r="H431" s="30" t="n">
        <f aca="false">1-0.2*(SC_xmb+(SC_n-1)*SC_xmt)*G431/(SC_n*SC_b)</f>
        <v>0.88072</v>
      </c>
      <c r="I431" s="31" t="n">
        <f aca="false">SC_s*H431*SC_m*SC_n*SC_b*SQRT(2*g_)*G431^1.5</f>
        <v>77.1763574506261</v>
      </c>
      <c r="J431" s="32" t="n">
        <f aca="false">F431+I431</f>
        <v>94.816620919847</v>
      </c>
      <c r="K431" s="32" t="n">
        <f aca="false">F431</f>
        <v>17.6402634692209</v>
      </c>
      <c r="L431" s="32" t="n">
        <f aca="false">C431*1000000/dt_s+J431/2</f>
        <v>11162.539421571</v>
      </c>
      <c r="M431" s="32" t="n">
        <f aca="false">C431*1000000/dt_s+K431/2</f>
        <v>11123.9512428457</v>
      </c>
    </row>
    <row r="432" customFormat="false" ht="15" hidden="false" customHeight="false" outlineLevel="0" collapsed="false">
      <c r="A432" s="24" t="n">
        <f aca="false">ROUND(A431+0.01,2)</f>
        <v>75.27</v>
      </c>
      <c r="B432" s="25" t="n">
        <f aca="false">INDEX(Bang_F,MATCH(A432,Bang_Z,1))+(A432-INDEX(Bang_Z,MATCH(A432,Bang_Z,1)))*(INDEX(Bang_F,MATCH(A432,Bang_Z,1)+1)-INDEX(Bang_F,MATCH(A432,Bang_Z,1)))</f>
        <v>6.5788</v>
      </c>
      <c r="C432" s="25" t="n">
        <f aca="false">INDEX(Bang_W,MATCH(A432,Bang_Z,1))+(A432-INDEX(Bang_Z,MATCH(A432,Bang_Z,1)))*(INDEX(Bang_F,MATCH(A432,Bang_Z,1))+B432)/2</f>
        <v>40.080238</v>
      </c>
      <c r="D432" s="26" t="n">
        <f aca="false">MAX(A432-TC_Z,0)</f>
        <v>0.569999999999993</v>
      </c>
      <c r="E432" s="27" t="n">
        <f aca="false">1-0.2*(TC_xmb+(TC_n-1)*TC_xmt)*D432/(TC_n*TC_b)</f>
        <v>0.977305555555556</v>
      </c>
      <c r="F432" s="28" t="n">
        <f aca="false">TC_s*E432*TC_m*TC_n*TC_b*SQRT(2*g_)*D432^1.5</f>
        <v>18.10749681608</v>
      </c>
      <c r="G432" s="29" t="n">
        <f aca="false">MAX(A432-SC_Z,0)</f>
        <v>4.27</v>
      </c>
      <c r="H432" s="30" t="n">
        <f aca="false">1-0.2*(SC_xmb+(SC_n-1)*SC_xmt)*G432/(SC_n*SC_b)</f>
        <v>0.88044</v>
      </c>
      <c r="I432" s="31" t="n">
        <f aca="false">SC_s*H432*SC_m*SC_n*SC_b*SQRT(2*g_)*G432^1.5</f>
        <v>77.4236421181843</v>
      </c>
      <c r="J432" s="32" t="n">
        <f aca="false">F432+I432</f>
        <v>95.5311389342643</v>
      </c>
      <c r="K432" s="32" t="n">
        <f aca="false">F432</f>
        <v>18.10749681608</v>
      </c>
      <c r="L432" s="32" t="n">
        <f aca="false">C432*1000000/dt_s+J432/2</f>
        <v>11181.1650139116</v>
      </c>
      <c r="M432" s="32" t="n">
        <f aca="false">C432*1000000/dt_s+K432/2</f>
        <v>11142.4531928525</v>
      </c>
    </row>
    <row r="433" customFormat="false" ht="15" hidden="false" customHeight="false" outlineLevel="0" collapsed="false">
      <c r="A433" s="24" t="n">
        <f aca="false">ROUND(A432+0.01,2)</f>
        <v>75.28</v>
      </c>
      <c r="B433" s="25" t="n">
        <f aca="false">INDEX(Bang_F,MATCH(A433,Bang_Z,1))+(A433-INDEX(Bang_Z,MATCH(A433,Bang_Z,1)))*(INDEX(Bang_F,MATCH(A433,Bang_Z,1)+1)-INDEX(Bang_F,MATCH(A433,Bang_Z,1)))</f>
        <v>6.5832</v>
      </c>
      <c r="C433" s="25" t="n">
        <f aca="false">INDEX(Bang_W,MATCH(A433,Bang_Z,1))+(A433-INDEX(Bang_Z,MATCH(A433,Bang_Z,1)))*(INDEX(Bang_F,MATCH(A433,Bang_Z,1))+B433)/2</f>
        <v>40.146048</v>
      </c>
      <c r="D433" s="26" t="n">
        <f aca="false">MAX(A433-TC_Z,0)</f>
        <v>0.579999999999998</v>
      </c>
      <c r="E433" s="27" t="n">
        <f aca="false">1-0.2*(TC_xmb+(TC_n-1)*TC_xmt)*D433/(TC_n*TC_b)</f>
        <v>0.976907407407407</v>
      </c>
      <c r="F433" s="28" t="n">
        <f aca="false">TC_s*E433*TC_m*TC_n*TC_b*SQRT(2*g_)*D433^1.5</f>
        <v>18.5785219307111</v>
      </c>
      <c r="G433" s="29" t="n">
        <f aca="false">MAX(A433-SC_Z,0)</f>
        <v>4.28</v>
      </c>
      <c r="H433" s="30" t="n">
        <f aca="false">1-0.2*(SC_xmb+(SC_n-1)*SC_xmt)*G433/(SC_n*SC_b)</f>
        <v>0.88016</v>
      </c>
      <c r="I433" s="31" t="n">
        <f aca="false">SC_s*H433*SC_m*SC_n*SC_b*SQRT(2*g_)*G433^1.5</f>
        <v>77.6710722719614</v>
      </c>
      <c r="J433" s="32" t="n">
        <f aca="false">F433+I433</f>
        <v>96.2495942026725</v>
      </c>
      <c r="K433" s="32" t="n">
        <f aca="false">F433</f>
        <v>18.5785219307111</v>
      </c>
      <c r="L433" s="32" t="n">
        <f aca="false">C433*1000000/dt_s+J433/2</f>
        <v>11199.8047971013</v>
      </c>
      <c r="M433" s="32" t="n">
        <f aca="false">C433*1000000/dt_s+K433/2</f>
        <v>11160.9692609654</v>
      </c>
    </row>
    <row r="434" customFormat="false" ht="15" hidden="false" customHeight="false" outlineLevel="0" collapsed="false">
      <c r="A434" s="24" t="n">
        <f aca="false">ROUND(A433+0.01,2)</f>
        <v>75.29</v>
      </c>
      <c r="B434" s="25" t="n">
        <f aca="false">INDEX(Bang_F,MATCH(A434,Bang_Z,1))+(A434-INDEX(Bang_Z,MATCH(A434,Bang_Z,1)))*(INDEX(Bang_F,MATCH(A434,Bang_Z,1)+1)-INDEX(Bang_F,MATCH(A434,Bang_Z,1)))</f>
        <v>6.5876</v>
      </c>
      <c r="C434" s="25" t="n">
        <f aca="false">INDEX(Bang_W,MATCH(A434,Bang_Z,1))+(A434-INDEX(Bang_Z,MATCH(A434,Bang_Z,1)))*(INDEX(Bang_F,MATCH(A434,Bang_Z,1))+B434)/2</f>
        <v>40.211902</v>
      </c>
      <c r="D434" s="26" t="n">
        <f aca="false">MAX(A434-TC_Z,0)</f>
        <v>0.590000000000003</v>
      </c>
      <c r="E434" s="27" t="n">
        <f aca="false">1-0.2*(TC_xmb+(TC_n-1)*TC_xmt)*D434/(TC_n*TC_b)</f>
        <v>0.976509259259259</v>
      </c>
      <c r="F434" s="28" t="n">
        <f aca="false">TC_s*E434*TC_m*TC_n*TC_b*SQRT(2*g_)*D434^1.5</f>
        <v>19.0532975398098</v>
      </c>
      <c r="G434" s="29" t="n">
        <f aca="false">MAX(A434-SC_Z,0)</f>
        <v>4.29000000000001</v>
      </c>
      <c r="H434" s="30" t="n">
        <f aca="false">1-0.2*(SC_xmb+(SC_n-1)*SC_xmt)*G434/(SC_n*SC_b)</f>
        <v>0.87988</v>
      </c>
      <c r="I434" s="31" t="n">
        <f aca="false">SC_s*H434*SC_m*SC_n*SC_b*SQRT(2*g_)*G434^1.5</f>
        <v>77.9186472360723</v>
      </c>
      <c r="J434" s="32" t="n">
        <f aca="false">F434+I434</f>
        <v>96.9719447758821</v>
      </c>
      <c r="K434" s="32" t="n">
        <f aca="false">F434</f>
        <v>19.0532975398098</v>
      </c>
      <c r="L434" s="32" t="n">
        <f aca="false">C434*1000000/dt_s+J434/2</f>
        <v>11218.4587501657</v>
      </c>
      <c r="M434" s="32" t="n">
        <f aca="false">C434*1000000/dt_s+K434/2</f>
        <v>11179.4994265477</v>
      </c>
    </row>
    <row r="435" customFormat="false" ht="15" hidden="false" customHeight="false" outlineLevel="0" collapsed="false">
      <c r="A435" s="24" t="n">
        <f aca="false">ROUND(A434+0.01,2)</f>
        <v>75.3</v>
      </c>
      <c r="B435" s="25" t="n">
        <f aca="false">INDEX(Bang_F,MATCH(A435,Bang_Z,1))+(A435-INDEX(Bang_Z,MATCH(A435,Bang_Z,1)))*(INDEX(Bang_F,MATCH(A435,Bang_Z,1)+1)-INDEX(Bang_F,MATCH(A435,Bang_Z,1)))</f>
        <v>6.592</v>
      </c>
      <c r="C435" s="25" t="n">
        <f aca="false">INDEX(Bang_W,MATCH(A435,Bang_Z,1))+(A435-INDEX(Bang_Z,MATCH(A435,Bang_Z,1)))*(INDEX(Bang_F,MATCH(A435,Bang_Z,1))+B435)/2</f>
        <v>40.2778</v>
      </c>
      <c r="D435" s="26" t="n">
        <f aca="false">MAX(A435-TC_Z,0)</f>
        <v>0.599999999999994</v>
      </c>
      <c r="E435" s="27" t="n">
        <f aca="false">1-0.2*(TC_xmb+(TC_n-1)*TC_xmt)*D435/(TC_n*TC_b)</f>
        <v>0.976111111111111</v>
      </c>
      <c r="F435" s="28" t="n">
        <f aca="false">TC_s*E435*TC_m*TC_n*TC_b*SQRT(2*g_)*D435^1.5</f>
        <v>19.5317833521674</v>
      </c>
      <c r="G435" s="29" t="n">
        <f aca="false">MAX(A435-SC_Z,0)</f>
        <v>4.3</v>
      </c>
      <c r="H435" s="30" t="n">
        <f aca="false">1-0.2*(SC_xmb+(SC_n-1)*SC_xmt)*G435/(SC_n*SC_b)</f>
        <v>0.8796</v>
      </c>
      <c r="I435" s="31" t="n">
        <f aca="false">SC_s*H435*SC_m*SC_n*SC_b*SQRT(2*g_)*G435^1.5</f>
        <v>78.166366336407</v>
      </c>
      <c r="J435" s="32" t="n">
        <f aca="false">F435+I435</f>
        <v>97.6981496885743</v>
      </c>
      <c r="K435" s="32" t="n">
        <f aca="false">F435</f>
        <v>19.5317833521674</v>
      </c>
      <c r="L435" s="32" t="n">
        <f aca="false">C435*1000000/dt_s+J435/2</f>
        <v>11237.1268526221</v>
      </c>
      <c r="M435" s="32" t="n">
        <f aca="false">C435*1000000/dt_s+K435/2</f>
        <v>11198.0436694539</v>
      </c>
    </row>
    <row r="436" customFormat="false" ht="15" hidden="false" customHeight="false" outlineLevel="0" collapsed="false">
      <c r="A436" s="24" t="n">
        <f aca="false">ROUND(A435+0.01,2)</f>
        <v>75.31</v>
      </c>
      <c r="B436" s="25" t="n">
        <f aca="false">INDEX(Bang_F,MATCH(A436,Bang_Z,1))+(A436-INDEX(Bang_Z,MATCH(A436,Bang_Z,1)))*(INDEX(Bang_F,MATCH(A436,Bang_Z,1)+1)-INDEX(Bang_F,MATCH(A436,Bang_Z,1)))</f>
        <v>6.5964</v>
      </c>
      <c r="C436" s="25" t="n">
        <f aca="false">INDEX(Bang_W,MATCH(A436,Bang_Z,1))+(A436-INDEX(Bang_Z,MATCH(A436,Bang_Z,1)))*(INDEX(Bang_F,MATCH(A436,Bang_Z,1))+B436)/2</f>
        <v>40.343742</v>
      </c>
      <c r="D436" s="26" t="n">
        <f aca="false">MAX(A436-TC_Z,0)</f>
        <v>0.609999999999999</v>
      </c>
      <c r="E436" s="27" t="n">
        <f aca="false">1-0.2*(TC_xmb+(TC_n-1)*TC_xmt)*D436/(TC_n*TC_b)</f>
        <v>0.975712962962963</v>
      </c>
      <c r="F436" s="28" t="n">
        <f aca="false">TC_s*E436*TC_m*TC_n*TC_b*SQRT(2*g_)*D436^1.5</f>
        <v>20.0139400181746</v>
      </c>
      <c r="G436" s="29" t="n">
        <f aca="false">MAX(A436-SC_Z,0)</f>
        <v>4.31</v>
      </c>
      <c r="H436" s="30" t="n">
        <f aca="false">1-0.2*(SC_xmb+(SC_n-1)*SC_xmt)*G436/(SC_n*SC_b)</f>
        <v>0.87932</v>
      </c>
      <c r="I436" s="31" t="n">
        <f aca="false">SC_s*H436*SC_m*SC_n*SC_b*SQRT(2*g_)*G436^1.5</f>
        <v>78.4142289006213</v>
      </c>
      <c r="J436" s="32" t="n">
        <f aca="false">F436+I436</f>
        <v>98.4281689187959</v>
      </c>
      <c r="K436" s="32" t="n">
        <f aca="false">F436</f>
        <v>20.0139400181746</v>
      </c>
      <c r="L436" s="32" t="n">
        <f aca="false">C436*1000000/dt_s+J436/2</f>
        <v>11255.8090844594</v>
      </c>
      <c r="M436" s="32" t="n">
        <f aca="false">C436*1000000/dt_s+K436/2</f>
        <v>11216.6019700091</v>
      </c>
    </row>
    <row r="437" customFormat="false" ht="15" hidden="false" customHeight="false" outlineLevel="0" collapsed="false">
      <c r="A437" s="24" t="n">
        <f aca="false">ROUND(A436+0.01,2)</f>
        <v>75.32</v>
      </c>
      <c r="B437" s="25" t="n">
        <f aca="false">INDEX(Bang_F,MATCH(A437,Bang_Z,1))+(A437-INDEX(Bang_Z,MATCH(A437,Bang_Z,1)))*(INDEX(Bang_F,MATCH(A437,Bang_Z,1)+1)-INDEX(Bang_F,MATCH(A437,Bang_Z,1)))</f>
        <v>6.6008</v>
      </c>
      <c r="C437" s="25" t="n">
        <f aca="false">INDEX(Bang_W,MATCH(A437,Bang_Z,1))+(A437-INDEX(Bang_Z,MATCH(A437,Bang_Z,1)))*(INDEX(Bang_F,MATCH(A437,Bang_Z,1))+B437)/2</f>
        <v>40.409728</v>
      </c>
      <c r="D437" s="26" t="n">
        <f aca="false">MAX(A437-TC_Z,0)</f>
        <v>0.61999999999999</v>
      </c>
      <c r="E437" s="27" t="n">
        <f aca="false">1-0.2*(TC_xmb+(TC_n-1)*TC_xmt)*D437/(TC_n*TC_b)</f>
        <v>0.975314814814815</v>
      </c>
      <c r="F437" s="28" t="n">
        <f aca="false">TC_s*E437*TC_m*TC_n*TC_b*SQRT(2*g_)*D437^1.5</f>
        <v>20.4997290916363</v>
      </c>
      <c r="G437" s="29" t="n">
        <f aca="false">MAX(A437-SC_Z,0)</f>
        <v>4.31999999999999</v>
      </c>
      <c r="H437" s="30" t="n">
        <f aca="false">1-0.2*(SC_xmb+(SC_n-1)*SC_xmt)*G437/(SC_n*SC_b)</f>
        <v>0.87904</v>
      </c>
      <c r="I437" s="31" t="n">
        <f aca="false">SC_s*H437*SC_m*SC_n*SC_b*SQRT(2*g_)*G437^1.5</f>
        <v>78.6622342581254</v>
      </c>
      <c r="J437" s="32" t="n">
        <f aca="false">F437+I437</f>
        <v>99.1619633497617</v>
      </c>
      <c r="K437" s="32" t="n">
        <f aca="false">F437</f>
        <v>20.4997290916363</v>
      </c>
      <c r="L437" s="32" t="n">
        <f aca="false">C437*1000000/dt_s+J437/2</f>
        <v>11274.5054261193</v>
      </c>
      <c r="M437" s="32" t="n">
        <f aca="false">C437*1000000/dt_s+K437/2</f>
        <v>11235.1743089903</v>
      </c>
    </row>
    <row r="438" customFormat="false" ht="15" hidden="false" customHeight="false" outlineLevel="0" collapsed="false">
      <c r="A438" s="24" t="n">
        <f aca="false">ROUND(A437+0.01,2)</f>
        <v>75.33</v>
      </c>
      <c r="B438" s="25" t="n">
        <f aca="false">INDEX(Bang_F,MATCH(A438,Bang_Z,1))+(A438-INDEX(Bang_Z,MATCH(A438,Bang_Z,1)))*(INDEX(Bang_F,MATCH(A438,Bang_Z,1)+1)-INDEX(Bang_F,MATCH(A438,Bang_Z,1)))</f>
        <v>6.6052</v>
      </c>
      <c r="C438" s="25" t="n">
        <f aca="false">INDEX(Bang_W,MATCH(A438,Bang_Z,1))+(A438-INDEX(Bang_Z,MATCH(A438,Bang_Z,1)))*(INDEX(Bang_F,MATCH(A438,Bang_Z,1))+B438)/2</f>
        <v>40.475758</v>
      </c>
      <c r="D438" s="26" t="n">
        <f aca="false">MAX(A438-TC_Z,0)</f>
        <v>0.629999999999996</v>
      </c>
      <c r="E438" s="27" t="n">
        <f aca="false">1-0.2*(TC_xmb+(TC_n-1)*TC_xmt)*D438/(TC_n*TC_b)</f>
        <v>0.974916666666667</v>
      </c>
      <c r="F438" s="28" t="n">
        <f aca="false">TC_s*E438*TC_m*TC_n*TC_b*SQRT(2*g_)*D438^1.5</f>
        <v>20.989112993748</v>
      </c>
      <c r="G438" s="29" t="n">
        <f aca="false">MAX(A438-SC_Z,0)</f>
        <v>4.33</v>
      </c>
      <c r="H438" s="30" t="n">
        <f aca="false">1-0.2*(SC_xmb+(SC_n-1)*SC_xmt)*G438/(SC_n*SC_b)</f>
        <v>0.87876</v>
      </c>
      <c r="I438" s="31" t="n">
        <f aca="false">SC_s*H438*SC_m*SC_n*SC_b*SQRT(2*g_)*G438^1.5</f>
        <v>78.9103817400768</v>
      </c>
      <c r="J438" s="32" t="n">
        <f aca="false">F438+I438</f>
        <v>99.8994947338249</v>
      </c>
      <c r="K438" s="32" t="n">
        <f aca="false">F438</f>
        <v>20.989112993748</v>
      </c>
      <c r="L438" s="32" t="n">
        <f aca="false">C438*1000000/dt_s+J438/2</f>
        <v>11293.215858478</v>
      </c>
      <c r="M438" s="32" t="n">
        <f aca="false">C438*1000000/dt_s+K438/2</f>
        <v>11253.760667608</v>
      </c>
    </row>
    <row r="439" customFormat="false" ht="15" hidden="false" customHeight="false" outlineLevel="0" collapsed="false">
      <c r="A439" s="24" t="n">
        <f aca="false">ROUND(A438+0.01,2)</f>
        <v>75.34</v>
      </c>
      <c r="B439" s="25" t="n">
        <f aca="false">INDEX(Bang_F,MATCH(A439,Bang_Z,1))+(A439-INDEX(Bang_Z,MATCH(A439,Bang_Z,1)))*(INDEX(Bang_F,MATCH(A439,Bang_Z,1)+1)-INDEX(Bang_F,MATCH(A439,Bang_Z,1)))</f>
        <v>6.6096</v>
      </c>
      <c r="C439" s="25" t="n">
        <f aca="false">INDEX(Bang_W,MATCH(A439,Bang_Z,1))+(A439-INDEX(Bang_Z,MATCH(A439,Bang_Z,1)))*(INDEX(Bang_F,MATCH(A439,Bang_Z,1))+B439)/2</f>
        <v>40.541832</v>
      </c>
      <c r="D439" s="26" t="n">
        <f aca="false">MAX(A439-TC_Z,0)</f>
        <v>0.640000000000001</v>
      </c>
      <c r="E439" s="27" t="n">
        <f aca="false">1-0.2*(TC_xmb+(TC_n-1)*TC_xmt)*D439/(TC_n*TC_b)</f>
        <v>0.974518518518519</v>
      </c>
      <c r="F439" s="28" t="n">
        <f aca="false">TC_s*E439*TC_m*TC_n*TC_b*SQRT(2*g_)*D439^1.5</f>
        <v>21.4820549790582</v>
      </c>
      <c r="G439" s="29" t="n">
        <f aca="false">MAX(A439-SC_Z,0)</f>
        <v>4.34</v>
      </c>
      <c r="H439" s="30" t="n">
        <f aca="false">1-0.2*(SC_xmb+(SC_n-1)*SC_xmt)*G439/(SC_n*SC_b)</f>
        <v>0.87848</v>
      </c>
      <c r="I439" s="31" t="n">
        <f aca="false">SC_s*H439*SC_m*SC_n*SC_b*SQRT(2*g_)*G439^1.5</f>
        <v>79.1586706793687</v>
      </c>
      <c r="J439" s="32" t="n">
        <f aca="false">F439+I439</f>
        <v>100.640725658427</v>
      </c>
      <c r="K439" s="32" t="n">
        <f aca="false">F439</f>
        <v>21.4820549790582</v>
      </c>
      <c r="L439" s="32" t="n">
        <f aca="false">C439*1000000/dt_s+J439/2</f>
        <v>11311.9403628292</v>
      </c>
      <c r="M439" s="32" t="n">
        <f aca="false">C439*1000000/dt_s+K439/2</f>
        <v>11272.3610274895</v>
      </c>
    </row>
    <row r="440" customFormat="false" ht="15" hidden="false" customHeight="false" outlineLevel="0" collapsed="false">
      <c r="A440" s="24" t="n">
        <f aca="false">ROUND(A439+0.01,2)</f>
        <v>75.35</v>
      </c>
      <c r="B440" s="25" t="n">
        <f aca="false">INDEX(Bang_F,MATCH(A440,Bang_Z,1))+(A440-INDEX(Bang_Z,MATCH(A440,Bang_Z,1)))*(INDEX(Bang_F,MATCH(A440,Bang_Z,1)+1)-INDEX(Bang_F,MATCH(A440,Bang_Z,1)))</f>
        <v>6.614</v>
      </c>
      <c r="C440" s="25" t="n">
        <f aca="false">INDEX(Bang_W,MATCH(A440,Bang_Z,1))+(A440-INDEX(Bang_Z,MATCH(A440,Bang_Z,1)))*(INDEX(Bang_F,MATCH(A440,Bang_Z,1))+B440)/2</f>
        <v>40.60795</v>
      </c>
      <c r="D440" s="26" t="n">
        <f aca="false">MAX(A440-TC_Z,0)</f>
        <v>0.649999999999992</v>
      </c>
      <c r="E440" s="27" t="n">
        <f aca="false">1-0.2*(TC_xmb+(TC_n-1)*TC_xmt)*D440/(TC_n*TC_b)</f>
        <v>0.974120370370371</v>
      </c>
      <c r="F440" s="28" t="n">
        <f aca="false">TC_s*E440*TC_m*TC_n*TC_b*SQRT(2*g_)*D440^1.5</f>
        <v>21.9785191032943</v>
      </c>
      <c r="G440" s="29" t="n">
        <f aca="false">MAX(A440-SC_Z,0)</f>
        <v>4.34999999999999</v>
      </c>
      <c r="H440" s="30" t="n">
        <f aca="false">1-0.2*(SC_xmb+(SC_n-1)*SC_xmt)*G440/(SC_n*SC_b)</f>
        <v>0.8782</v>
      </c>
      <c r="I440" s="31" t="n">
        <f aca="false">SC_s*H440*SC_m*SC_n*SC_b*SQRT(2*g_)*G440^1.5</f>
        <v>79.4071004106214</v>
      </c>
      <c r="J440" s="32" t="n">
        <f aca="false">F440+I440</f>
        <v>101.385619513916</v>
      </c>
      <c r="K440" s="32" t="n">
        <f aca="false">F440</f>
        <v>21.9785191032943</v>
      </c>
      <c r="L440" s="32" t="n">
        <f aca="false">C440*1000000/dt_s+J440/2</f>
        <v>11330.6789208681</v>
      </c>
      <c r="M440" s="32" t="n">
        <f aca="false">C440*1000000/dt_s+K440/2</f>
        <v>11290.9753706627</v>
      </c>
    </row>
    <row r="441" customFormat="false" ht="15" hidden="false" customHeight="false" outlineLevel="0" collapsed="false">
      <c r="A441" s="24" t="n">
        <f aca="false">ROUND(A440+0.01,2)</f>
        <v>75.36</v>
      </c>
      <c r="B441" s="25" t="n">
        <f aca="false">INDEX(Bang_F,MATCH(A441,Bang_Z,1))+(A441-INDEX(Bang_Z,MATCH(A441,Bang_Z,1)))*(INDEX(Bang_F,MATCH(A441,Bang_Z,1)+1)-INDEX(Bang_F,MATCH(A441,Bang_Z,1)))</f>
        <v>6.6184</v>
      </c>
      <c r="C441" s="25" t="n">
        <f aca="false">INDEX(Bang_W,MATCH(A441,Bang_Z,1))+(A441-INDEX(Bang_Z,MATCH(A441,Bang_Z,1)))*(INDEX(Bang_F,MATCH(A441,Bang_Z,1))+B441)/2</f>
        <v>40.674112</v>
      </c>
      <c r="D441" s="26" t="n">
        <f aca="false">MAX(A441-TC_Z,0)</f>
        <v>0.659999999999997</v>
      </c>
      <c r="E441" s="27" t="n">
        <f aca="false">1-0.2*(TC_xmb+(TC_n-1)*TC_xmt)*D441/(TC_n*TC_b)</f>
        <v>0.973722222222222</v>
      </c>
      <c r="F441" s="28" t="n">
        <f aca="false">TC_s*E441*TC_m*TC_n*TC_b*SQRT(2*g_)*D441^1.5</f>
        <v>22.4784701929164</v>
      </c>
      <c r="G441" s="29" t="n">
        <f aca="false">MAX(A441-SC_Z,0)</f>
        <v>4.36</v>
      </c>
      <c r="H441" s="30" t="n">
        <f aca="false">1-0.2*(SC_xmb+(SC_n-1)*SC_xmt)*G441/(SC_n*SC_b)</f>
        <v>0.87792</v>
      </c>
      <c r="I441" s="31" t="n">
        <f aca="false">SC_s*H441*SC_m*SC_n*SC_b*SQRT(2*g_)*G441^1.5</f>
        <v>79.6556702701744</v>
      </c>
      <c r="J441" s="32" t="n">
        <f aca="false">F441+I441</f>
        <v>102.134140463091</v>
      </c>
      <c r="K441" s="32" t="n">
        <f aca="false">F441</f>
        <v>22.4784701929164</v>
      </c>
      <c r="L441" s="32" t="n">
        <f aca="false">C441*1000000/dt_s+J441/2</f>
        <v>11349.431514676</v>
      </c>
      <c r="M441" s="32" t="n">
        <f aca="false">C441*1000000/dt_s+K441/2</f>
        <v>11309.6036795409</v>
      </c>
    </row>
    <row r="442" customFormat="false" ht="15" hidden="false" customHeight="false" outlineLevel="0" collapsed="false">
      <c r="A442" s="24" t="n">
        <f aca="false">ROUND(A441+0.01,2)</f>
        <v>75.37</v>
      </c>
      <c r="B442" s="25" t="n">
        <f aca="false">INDEX(Bang_F,MATCH(A442,Bang_Z,1))+(A442-INDEX(Bang_Z,MATCH(A442,Bang_Z,1)))*(INDEX(Bang_F,MATCH(A442,Bang_Z,1)+1)-INDEX(Bang_F,MATCH(A442,Bang_Z,1)))</f>
        <v>6.6228</v>
      </c>
      <c r="C442" s="25" t="n">
        <f aca="false">INDEX(Bang_W,MATCH(A442,Bang_Z,1))+(A442-INDEX(Bang_Z,MATCH(A442,Bang_Z,1)))*(INDEX(Bang_F,MATCH(A442,Bang_Z,1))+B442)/2</f>
        <v>40.740318</v>
      </c>
      <c r="D442" s="26" t="n">
        <f aca="false">MAX(A442-TC_Z,0)</f>
        <v>0.670000000000002</v>
      </c>
      <c r="E442" s="27" t="n">
        <f aca="false">1-0.2*(TC_xmb+(TC_n-1)*TC_xmt)*D442/(TC_n*TC_b)</f>
        <v>0.973324074074074</v>
      </c>
      <c r="F442" s="28" t="n">
        <f aca="false">TC_s*E442*TC_m*TC_n*TC_b*SQRT(2*g_)*D442^1.5</f>
        <v>22.9818738162751</v>
      </c>
      <c r="G442" s="29" t="n">
        <f aca="false">MAX(A442-SC_Z,0)</f>
        <v>4.37</v>
      </c>
      <c r="H442" s="30" t="n">
        <f aca="false">1-0.2*(SC_xmb+(SC_n-1)*SC_xmt)*G442/(SC_n*SC_b)</f>
        <v>0.87764</v>
      </c>
      <c r="I442" s="31" t="n">
        <f aca="false">SC_s*H442*SC_m*SC_n*SC_b*SQRT(2*g_)*G442^1.5</f>
        <v>79.9043795960751</v>
      </c>
      <c r="J442" s="32" t="n">
        <f aca="false">F442+I442</f>
        <v>102.88625341235</v>
      </c>
      <c r="K442" s="32" t="n">
        <f aca="false">F442</f>
        <v>22.9818738162751</v>
      </c>
      <c r="L442" s="32" t="n">
        <f aca="false">C442*1000000/dt_s+J442/2</f>
        <v>11368.1981267062</v>
      </c>
      <c r="M442" s="32" t="n">
        <f aca="false">C442*1000000/dt_s+K442/2</f>
        <v>11328.2459369081</v>
      </c>
    </row>
    <row r="443" customFormat="false" ht="15" hidden="false" customHeight="false" outlineLevel="0" collapsed="false">
      <c r="A443" s="24" t="n">
        <f aca="false">ROUND(A442+0.01,2)</f>
        <v>75.38</v>
      </c>
      <c r="B443" s="25" t="n">
        <f aca="false">INDEX(Bang_F,MATCH(A443,Bang_Z,1))+(A443-INDEX(Bang_Z,MATCH(A443,Bang_Z,1)))*(INDEX(Bang_F,MATCH(A443,Bang_Z,1)+1)-INDEX(Bang_F,MATCH(A443,Bang_Z,1)))</f>
        <v>6.6272</v>
      </c>
      <c r="C443" s="25" t="n">
        <f aca="false">INDEX(Bang_W,MATCH(A443,Bang_Z,1))+(A443-INDEX(Bang_Z,MATCH(A443,Bang_Z,1)))*(INDEX(Bang_F,MATCH(A443,Bang_Z,1))+B443)/2</f>
        <v>40.806568</v>
      </c>
      <c r="D443" s="26" t="n">
        <f aca="false">MAX(A443-TC_Z,0)</f>
        <v>0.679999999999993</v>
      </c>
      <c r="E443" s="27" t="n">
        <f aca="false">1-0.2*(TC_xmb+(TC_n-1)*TC_xmt)*D443/(TC_n*TC_b)</f>
        <v>0.972925925925926</v>
      </c>
      <c r="F443" s="28" t="n">
        <f aca="false">TC_s*E443*TC_m*TC_n*TC_b*SQRT(2*g_)*D443^1.5</f>
        <v>23.4886962562764</v>
      </c>
      <c r="G443" s="29" t="n">
        <f aca="false">MAX(A443-SC_Z,0)</f>
        <v>4.38</v>
      </c>
      <c r="H443" s="30" t="n">
        <f aca="false">1-0.2*(SC_xmb+(SC_n-1)*SC_xmt)*G443/(SC_n*SC_b)</f>
        <v>0.87736</v>
      </c>
      <c r="I443" s="31" t="n">
        <f aca="false">SC_s*H443*SC_m*SC_n*SC_b*SQRT(2*g_)*G443^1.5</f>
        <v>80.1532277280704</v>
      </c>
      <c r="J443" s="32" t="n">
        <f aca="false">F443+I443</f>
        <v>103.641923984347</v>
      </c>
      <c r="K443" s="32" t="n">
        <f aca="false">F443</f>
        <v>23.4886962562764</v>
      </c>
      <c r="L443" s="32" t="n">
        <f aca="false">C443*1000000/dt_s+J443/2</f>
        <v>11386.9787397699</v>
      </c>
      <c r="M443" s="32" t="n">
        <f aca="false">C443*1000000/dt_s+K443/2</f>
        <v>11346.9021259059</v>
      </c>
    </row>
    <row r="444" customFormat="false" ht="15" hidden="false" customHeight="false" outlineLevel="0" collapsed="false">
      <c r="A444" s="24" t="n">
        <f aca="false">ROUND(A443+0.01,2)</f>
        <v>75.39</v>
      </c>
      <c r="B444" s="25" t="n">
        <f aca="false">INDEX(Bang_F,MATCH(A444,Bang_Z,1))+(A444-INDEX(Bang_Z,MATCH(A444,Bang_Z,1)))*(INDEX(Bang_F,MATCH(A444,Bang_Z,1)+1)-INDEX(Bang_F,MATCH(A444,Bang_Z,1)))</f>
        <v>6.6316</v>
      </c>
      <c r="C444" s="25" t="n">
        <f aca="false">INDEX(Bang_W,MATCH(A444,Bang_Z,1))+(A444-INDEX(Bang_Z,MATCH(A444,Bang_Z,1)))*(INDEX(Bang_F,MATCH(A444,Bang_Z,1))+B444)/2</f>
        <v>40.872862</v>
      </c>
      <c r="D444" s="26" t="n">
        <f aca="false">MAX(A444-TC_Z,0)</f>
        <v>0.689999999999998</v>
      </c>
      <c r="E444" s="27" t="n">
        <f aca="false">1-0.2*(TC_xmb+(TC_n-1)*TC_xmt)*D444/(TC_n*TC_b)</f>
        <v>0.972527777777778</v>
      </c>
      <c r="F444" s="28" t="n">
        <f aca="false">TC_s*E444*TC_m*TC_n*TC_b*SQRT(2*g_)*D444^1.5</f>
        <v>23.9989044844505</v>
      </c>
      <c r="G444" s="29" t="n">
        <f aca="false">MAX(A444-SC_Z,0)</f>
        <v>4.39</v>
      </c>
      <c r="H444" s="30" t="n">
        <f aca="false">1-0.2*(SC_xmb+(SC_n-1)*SC_xmt)*G444/(SC_n*SC_b)</f>
        <v>0.87708</v>
      </c>
      <c r="I444" s="31" t="n">
        <f aca="false">SC_s*H444*SC_m*SC_n*SC_b*SQRT(2*g_)*G444^1.5</f>
        <v>80.402214007599</v>
      </c>
      <c r="J444" s="32" t="n">
        <f aca="false">F444+I444</f>
        <v>104.401118492049</v>
      </c>
      <c r="K444" s="32" t="n">
        <f aca="false">F444</f>
        <v>23.9989044844505</v>
      </c>
      <c r="L444" s="32" t="n">
        <f aca="false">C444*1000000/dt_s+J444/2</f>
        <v>11405.7733370238</v>
      </c>
      <c r="M444" s="32" t="n">
        <f aca="false">C444*1000000/dt_s+K444/2</f>
        <v>11365.57223002</v>
      </c>
    </row>
    <row r="445" customFormat="false" ht="15" hidden="false" customHeight="false" outlineLevel="0" collapsed="false">
      <c r="A445" s="24" t="n">
        <f aca="false">ROUND(A444+0.01,2)</f>
        <v>75.4</v>
      </c>
      <c r="B445" s="25" t="n">
        <f aca="false">INDEX(Bang_F,MATCH(A445,Bang_Z,1))+(A445-INDEX(Bang_Z,MATCH(A445,Bang_Z,1)))*(INDEX(Bang_F,MATCH(A445,Bang_Z,1)+1)-INDEX(Bang_F,MATCH(A445,Bang_Z,1)))</f>
        <v>6.636</v>
      </c>
      <c r="C445" s="25" t="n">
        <f aca="false">INDEX(Bang_W,MATCH(A445,Bang_Z,1))+(A445-INDEX(Bang_Z,MATCH(A445,Bang_Z,1)))*(INDEX(Bang_F,MATCH(A445,Bang_Z,1))+B445)/2</f>
        <v>40.9392</v>
      </c>
      <c r="D445" s="26" t="n">
        <f aca="false">MAX(A445-TC_Z,0)</f>
        <v>0.700000000000003</v>
      </c>
      <c r="E445" s="27" t="n">
        <f aca="false">1-0.2*(TC_xmb+(TC_n-1)*TC_xmt)*D445/(TC_n*TC_b)</f>
        <v>0.97212962962963</v>
      </c>
      <c r="F445" s="28" t="n">
        <f aca="false">TC_s*E445*TC_m*TC_n*TC_b*SQRT(2*g_)*D445^1.5</f>
        <v>24.512466136324</v>
      </c>
      <c r="G445" s="29" t="n">
        <f aca="false">MAX(A445-SC_Z,0)</f>
        <v>4.40000000000001</v>
      </c>
      <c r="H445" s="30" t="n">
        <f aca="false">1-0.2*(SC_xmb+(SC_n-1)*SC_xmt)*G445/(SC_n*SC_b)</f>
        <v>0.8768</v>
      </c>
      <c r="I445" s="31" t="n">
        <f aca="false">SC_s*H445*SC_m*SC_n*SC_b*SQRT(2*g_)*G445^1.5</f>
        <v>80.6513377777803</v>
      </c>
      <c r="J445" s="32" t="n">
        <f aca="false">F445+I445</f>
        <v>105.163803914104</v>
      </c>
      <c r="K445" s="32" t="n">
        <f aca="false">F445</f>
        <v>24.512466136324</v>
      </c>
      <c r="L445" s="32" t="n">
        <f aca="false">C445*1000000/dt_s+J445/2</f>
        <v>11424.5819019571</v>
      </c>
      <c r="M445" s="32" t="n">
        <f aca="false">C445*1000000/dt_s+K445/2</f>
        <v>11384.2562330682</v>
      </c>
    </row>
    <row r="446" customFormat="false" ht="15" hidden="false" customHeight="false" outlineLevel="0" collapsed="false">
      <c r="A446" s="24" t="n">
        <f aca="false">ROUND(A445+0.01,2)</f>
        <v>75.41</v>
      </c>
      <c r="B446" s="25" t="n">
        <f aca="false">INDEX(Bang_F,MATCH(A446,Bang_Z,1))+(A446-INDEX(Bang_Z,MATCH(A446,Bang_Z,1)))*(INDEX(Bang_F,MATCH(A446,Bang_Z,1)+1)-INDEX(Bang_F,MATCH(A446,Bang_Z,1)))</f>
        <v>6.6404</v>
      </c>
      <c r="C446" s="25" t="n">
        <f aca="false">INDEX(Bang_W,MATCH(A446,Bang_Z,1))+(A446-INDEX(Bang_Z,MATCH(A446,Bang_Z,1)))*(INDEX(Bang_F,MATCH(A446,Bang_Z,1))+B446)/2</f>
        <v>41.005582</v>
      </c>
      <c r="D446" s="26" t="n">
        <f aca="false">MAX(A446-TC_Z,0)</f>
        <v>0.709999999999994</v>
      </c>
      <c r="E446" s="27" t="n">
        <f aca="false">1-0.2*(TC_xmb+(TC_n-1)*TC_xmt)*D446/(TC_n*TC_b)</f>
        <v>0.971731481481482</v>
      </c>
      <c r="F446" s="28" t="n">
        <f aca="false">TC_s*E446*TC_m*TC_n*TC_b*SQRT(2*g_)*D446^1.5</f>
        <v>25.029349488026</v>
      </c>
      <c r="G446" s="29" t="n">
        <f aca="false">MAX(A446-SC_Z,0)</f>
        <v>4.41</v>
      </c>
      <c r="H446" s="30" t="n">
        <f aca="false">1-0.2*(SC_xmb+(SC_n-1)*SC_xmt)*G446/(SC_n*SC_b)</f>
        <v>0.87652</v>
      </c>
      <c r="I446" s="31" t="n">
        <f aca="false">SC_s*H446*SC_m*SC_n*SC_b*SQRT(2*g_)*G446^1.5</f>
        <v>80.9005983834063</v>
      </c>
      <c r="J446" s="32" t="n">
        <f aca="false">F446+I446</f>
        <v>105.929947871432</v>
      </c>
      <c r="K446" s="32" t="n">
        <f aca="false">F446</f>
        <v>25.029349488026</v>
      </c>
      <c r="L446" s="32" t="n">
        <f aca="false">C446*1000000/dt_s+J446/2</f>
        <v>11443.4044183802</v>
      </c>
      <c r="M446" s="32" t="n">
        <f aca="false">C446*1000000/dt_s+K446/2</f>
        <v>11402.9541191885</v>
      </c>
    </row>
    <row r="447" customFormat="false" ht="15" hidden="false" customHeight="false" outlineLevel="0" collapsed="false">
      <c r="A447" s="24" t="n">
        <f aca="false">ROUND(A446+0.01,2)</f>
        <v>75.42</v>
      </c>
      <c r="B447" s="25" t="n">
        <f aca="false">INDEX(Bang_F,MATCH(A447,Bang_Z,1))+(A447-INDEX(Bang_Z,MATCH(A447,Bang_Z,1)))*(INDEX(Bang_F,MATCH(A447,Bang_Z,1)+1)-INDEX(Bang_F,MATCH(A447,Bang_Z,1)))</f>
        <v>6.6448</v>
      </c>
      <c r="C447" s="25" t="n">
        <f aca="false">INDEX(Bang_W,MATCH(A447,Bang_Z,1))+(A447-INDEX(Bang_Z,MATCH(A447,Bang_Z,1)))*(INDEX(Bang_F,MATCH(A447,Bang_Z,1))+B447)/2</f>
        <v>41.072008</v>
      </c>
      <c r="D447" s="26" t="n">
        <f aca="false">MAX(A447-TC_Z,0)</f>
        <v>0.719999999999999</v>
      </c>
      <c r="E447" s="27" t="n">
        <f aca="false">1-0.2*(TC_xmb+(TC_n-1)*TC_xmt)*D447/(TC_n*TC_b)</f>
        <v>0.971333333333333</v>
      </c>
      <c r="F447" s="28" t="n">
        <f aca="false">TC_s*E447*TC_m*TC_n*TC_b*SQRT(2*g_)*D447^1.5</f>
        <v>25.5495234340428</v>
      </c>
      <c r="G447" s="29" t="n">
        <f aca="false">MAX(A447-SC_Z,0)</f>
        <v>4.42</v>
      </c>
      <c r="H447" s="30" t="n">
        <f aca="false">1-0.2*(SC_xmb+(SC_n-1)*SC_xmt)*G447/(SC_n*SC_b)</f>
        <v>0.87624</v>
      </c>
      <c r="I447" s="31" t="n">
        <f aca="false">SC_s*H447*SC_m*SC_n*SC_b*SQRT(2*g_)*G447^1.5</f>
        <v>81.1499951709342</v>
      </c>
      <c r="J447" s="32" t="n">
        <f aca="false">F447+I447</f>
        <v>106.699518604977</v>
      </c>
      <c r="K447" s="32" t="n">
        <f aca="false">F447</f>
        <v>25.5495234340428</v>
      </c>
      <c r="L447" s="32" t="n">
        <f aca="false">C447*1000000/dt_s+J447/2</f>
        <v>11462.2408704136</v>
      </c>
      <c r="M447" s="32" t="n">
        <f aca="false">C447*1000000/dt_s+K447/2</f>
        <v>11421.6658728281</v>
      </c>
    </row>
    <row r="448" customFormat="false" ht="15" hidden="false" customHeight="false" outlineLevel="0" collapsed="false">
      <c r="A448" s="24" t="n">
        <f aca="false">ROUND(A447+0.01,2)</f>
        <v>75.43</v>
      </c>
      <c r="B448" s="25" t="n">
        <f aca="false">INDEX(Bang_F,MATCH(A448,Bang_Z,1))+(A448-INDEX(Bang_Z,MATCH(A448,Bang_Z,1)))*(INDEX(Bang_F,MATCH(A448,Bang_Z,1)+1)-INDEX(Bang_F,MATCH(A448,Bang_Z,1)))</f>
        <v>6.6492</v>
      </c>
      <c r="C448" s="25" t="n">
        <f aca="false">INDEX(Bang_W,MATCH(A448,Bang_Z,1))+(A448-INDEX(Bang_Z,MATCH(A448,Bang_Z,1)))*(INDEX(Bang_F,MATCH(A448,Bang_Z,1))+B448)/2</f>
        <v>41.1384780000001</v>
      </c>
      <c r="D448" s="26" t="n">
        <f aca="false">MAX(A448-TC_Z,0)</f>
        <v>0.730000000000004</v>
      </c>
      <c r="E448" s="27" t="n">
        <f aca="false">1-0.2*(TC_xmb+(TC_n-1)*TC_xmt)*D448/(TC_n*TC_b)</f>
        <v>0.970935185185185</v>
      </c>
      <c r="F448" s="28" t="n">
        <f aca="false">TC_s*E448*TC_m*TC_n*TC_b*SQRT(2*g_)*D448^1.5</f>
        <v>26.0729574660434</v>
      </c>
      <c r="G448" s="29" t="n">
        <f aca="false">MAX(A448-SC_Z,0)</f>
        <v>4.43000000000001</v>
      </c>
      <c r="H448" s="30" t="n">
        <f aca="false">1-0.2*(SC_xmb+(SC_n-1)*SC_xmt)*G448/(SC_n*SC_b)</f>
        <v>0.87596</v>
      </c>
      <c r="I448" s="31" t="n">
        <f aca="false">SC_s*H448*SC_m*SC_n*SC_b*SQRT(2*g_)*G448^1.5</f>
        <v>81.3995274884751</v>
      </c>
      <c r="J448" s="32" t="n">
        <f aca="false">F448+I448</f>
        <v>107.472484954518</v>
      </c>
      <c r="K448" s="32" t="n">
        <f aca="false">F448</f>
        <v>26.0729574660434</v>
      </c>
      <c r="L448" s="32" t="n">
        <f aca="false">C448*1000000/dt_s+J448/2</f>
        <v>11481.0912424773</v>
      </c>
      <c r="M448" s="32" t="n">
        <f aca="false">C448*1000000/dt_s+K448/2</f>
        <v>11440.391478733</v>
      </c>
    </row>
    <row r="449" customFormat="false" ht="15" hidden="false" customHeight="false" outlineLevel="0" collapsed="false">
      <c r="A449" s="24" t="n">
        <f aca="false">ROUND(A448+0.01,2)</f>
        <v>75.44</v>
      </c>
      <c r="B449" s="25" t="n">
        <f aca="false">INDEX(Bang_F,MATCH(A449,Bang_Z,1))+(A449-INDEX(Bang_Z,MATCH(A449,Bang_Z,1)))*(INDEX(Bang_F,MATCH(A449,Bang_Z,1)+1)-INDEX(Bang_F,MATCH(A449,Bang_Z,1)))</f>
        <v>6.6536</v>
      </c>
      <c r="C449" s="25" t="n">
        <f aca="false">INDEX(Bang_W,MATCH(A449,Bang_Z,1))+(A449-INDEX(Bang_Z,MATCH(A449,Bang_Z,1)))*(INDEX(Bang_F,MATCH(A449,Bang_Z,1))+B449)/2</f>
        <v>41.204992</v>
      </c>
      <c r="D449" s="26" t="n">
        <f aca="false">MAX(A449-TC_Z,0)</f>
        <v>0.739999999999995</v>
      </c>
      <c r="E449" s="27" t="n">
        <f aca="false">1-0.2*(TC_xmb+(TC_n-1)*TC_xmt)*D449/(TC_n*TC_b)</f>
        <v>0.970537037037037</v>
      </c>
      <c r="F449" s="28" t="n">
        <f aca="false">TC_s*E449*TC_m*TC_n*TC_b*SQRT(2*g_)*D449^1.5</f>
        <v>26.5996216527229</v>
      </c>
      <c r="G449" s="29" t="n">
        <f aca="false">MAX(A449-SC_Z,0)</f>
        <v>4.44</v>
      </c>
      <c r="H449" s="30" t="n">
        <f aca="false">1-0.2*(SC_xmb+(SC_n-1)*SC_xmt)*G449/(SC_n*SC_b)</f>
        <v>0.87568</v>
      </c>
      <c r="I449" s="31" t="n">
        <f aca="false">SC_s*H449*SC_m*SC_n*SC_b*SQRT(2*g_)*G449^1.5</f>
        <v>81.6491946857866</v>
      </c>
      <c r="J449" s="32" t="n">
        <f aca="false">F449+I449</f>
        <v>108.248816338509</v>
      </c>
      <c r="K449" s="32" t="n">
        <f aca="false">F449</f>
        <v>26.5996216527229</v>
      </c>
      <c r="L449" s="32" t="n">
        <f aca="false">C449*1000000/dt_s+J449/2</f>
        <v>11499.9555192804</v>
      </c>
      <c r="M449" s="32" t="n">
        <f aca="false">C449*1000000/dt_s+K449/2</f>
        <v>11459.1309219375</v>
      </c>
    </row>
    <row r="450" customFormat="false" ht="15" hidden="false" customHeight="false" outlineLevel="0" collapsed="false">
      <c r="A450" s="24" t="n">
        <f aca="false">ROUND(A449+0.01,2)</f>
        <v>75.45</v>
      </c>
      <c r="B450" s="25" t="n">
        <f aca="false">INDEX(Bang_F,MATCH(A450,Bang_Z,1))+(A450-INDEX(Bang_Z,MATCH(A450,Bang_Z,1)))*(INDEX(Bang_F,MATCH(A450,Bang_Z,1)+1)-INDEX(Bang_F,MATCH(A450,Bang_Z,1)))</f>
        <v>6.658</v>
      </c>
      <c r="C450" s="25" t="n">
        <f aca="false">INDEX(Bang_W,MATCH(A450,Bang_Z,1))+(A450-INDEX(Bang_Z,MATCH(A450,Bang_Z,1)))*(INDEX(Bang_F,MATCH(A450,Bang_Z,1))+B450)/2</f>
        <v>41.27155</v>
      </c>
      <c r="D450" s="26" t="n">
        <f aca="false">MAX(A450-TC_Z,0)</f>
        <v>0.75</v>
      </c>
      <c r="E450" s="27" t="n">
        <f aca="false">1-0.2*(TC_xmb+(TC_n-1)*TC_xmt)*D450/(TC_n*TC_b)</f>
        <v>0.970138888888889</v>
      </c>
      <c r="F450" s="28" t="n">
        <f aca="false">TC_s*E450*TC_m*TC_n*TC_b*SQRT(2*g_)*D450^1.5</f>
        <v>27.1294866205944</v>
      </c>
      <c r="G450" s="29" t="n">
        <f aca="false">MAX(A450-SC_Z,0)</f>
        <v>4.45</v>
      </c>
      <c r="H450" s="30" t="n">
        <f aca="false">1-0.2*(SC_xmb+(SC_n-1)*SC_xmt)*G450/(SC_n*SC_b)</f>
        <v>0.8754</v>
      </c>
      <c r="I450" s="31" t="n">
        <f aca="false">SC_s*H450*SC_m*SC_n*SC_b*SQRT(2*g_)*G450^1.5</f>
        <v>81.8989961142651</v>
      </c>
      <c r="J450" s="32" t="n">
        <f aca="false">F450+I450</f>
        <v>109.02848273486</v>
      </c>
      <c r="K450" s="32" t="n">
        <f aca="false">F450</f>
        <v>27.1294866205944</v>
      </c>
      <c r="L450" s="32" t="n">
        <f aca="false">C450*1000000/dt_s+J450/2</f>
        <v>11518.8336858119</v>
      </c>
      <c r="M450" s="32" t="n">
        <f aca="false">C450*1000000/dt_s+K450/2</f>
        <v>11477.8841877547</v>
      </c>
    </row>
    <row r="451" customFormat="false" ht="15" hidden="false" customHeight="false" outlineLevel="0" collapsed="false">
      <c r="A451" s="24" t="n">
        <f aca="false">ROUND(A450+0.01,2)</f>
        <v>75.46</v>
      </c>
      <c r="B451" s="25" t="n">
        <f aca="false">INDEX(Bang_F,MATCH(A451,Bang_Z,1))+(A451-INDEX(Bang_Z,MATCH(A451,Bang_Z,1)))*(INDEX(Bang_F,MATCH(A451,Bang_Z,1)+1)-INDEX(Bang_F,MATCH(A451,Bang_Z,1)))</f>
        <v>6.6624</v>
      </c>
      <c r="C451" s="25" t="n">
        <f aca="false">INDEX(Bang_W,MATCH(A451,Bang_Z,1))+(A451-INDEX(Bang_Z,MATCH(A451,Bang_Z,1)))*(INDEX(Bang_F,MATCH(A451,Bang_Z,1))+B451)/2</f>
        <v>41.338152</v>
      </c>
      <c r="D451" s="26" t="n">
        <f aca="false">MAX(A451-TC_Z,0)</f>
        <v>0.759999999999991</v>
      </c>
      <c r="E451" s="27" t="n">
        <f aca="false">1-0.2*(TC_xmb+(TC_n-1)*TC_xmt)*D451/(TC_n*TC_b)</f>
        <v>0.969740740740741</v>
      </c>
      <c r="F451" s="28" t="n">
        <f aca="false">TC_s*E451*TC_m*TC_n*TC_b*SQRT(2*g_)*D451^1.5</f>
        <v>27.6625235356671</v>
      </c>
      <c r="G451" s="29" t="n">
        <f aca="false">MAX(A451-SC_Z,0)</f>
        <v>4.45999999999999</v>
      </c>
      <c r="H451" s="30" t="n">
        <f aca="false">1-0.2*(SC_xmb+(SC_n-1)*SC_xmt)*G451/(SC_n*SC_b)</f>
        <v>0.87512</v>
      </c>
      <c r="I451" s="31" t="n">
        <f aca="false">SC_s*H451*SC_m*SC_n*SC_b*SQRT(2*g_)*G451^1.5</f>
        <v>82.1489311269349</v>
      </c>
      <c r="J451" s="32" t="n">
        <f aca="false">F451+I451</f>
        <v>109.811454662602</v>
      </c>
      <c r="K451" s="32" t="n">
        <f aca="false">F451</f>
        <v>27.6625235356671</v>
      </c>
      <c r="L451" s="32" t="n">
        <f aca="false">C451*1000000/dt_s+J451/2</f>
        <v>11537.7257273313</v>
      </c>
      <c r="M451" s="32" t="n">
        <f aca="false">C451*1000000/dt_s+K451/2</f>
        <v>11496.6512617678</v>
      </c>
    </row>
    <row r="452" customFormat="false" ht="15" hidden="false" customHeight="false" outlineLevel="0" collapsed="false">
      <c r="A452" s="24" t="n">
        <f aca="false">ROUND(A451+0.01,2)</f>
        <v>75.47</v>
      </c>
      <c r="B452" s="25" t="n">
        <f aca="false">INDEX(Bang_F,MATCH(A452,Bang_Z,1))+(A452-INDEX(Bang_Z,MATCH(A452,Bang_Z,1)))*(INDEX(Bang_F,MATCH(A452,Bang_Z,1)+1)-INDEX(Bang_F,MATCH(A452,Bang_Z,1)))</f>
        <v>6.6668</v>
      </c>
      <c r="C452" s="25" t="n">
        <f aca="false">INDEX(Bang_W,MATCH(A452,Bang_Z,1))+(A452-INDEX(Bang_Z,MATCH(A452,Bang_Z,1)))*(INDEX(Bang_F,MATCH(A452,Bang_Z,1))+B452)/2</f>
        <v>41.404798</v>
      </c>
      <c r="D452" s="26" t="n">
        <f aca="false">MAX(A452-TC_Z,0)</f>
        <v>0.769999999999996</v>
      </c>
      <c r="E452" s="27" t="n">
        <f aca="false">1-0.2*(TC_xmb+(TC_n-1)*TC_xmt)*D452/(TC_n*TC_b)</f>
        <v>0.969342592592593</v>
      </c>
      <c r="F452" s="28" t="n">
        <f aca="false">TC_s*E452*TC_m*TC_n*TC_b*SQRT(2*g_)*D452^1.5</f>
        <v>28.1987040859744</v>
      </c>
      <c r="G452" s="29" t="n">
        <f aca="false">MAX(A452-SC_Z,0)</f>
        <v>4.47</v>
      </c>
      <c r="H452" s="30" t="n">
        <f aca="false">1-0.2*(SC_xmb+(SC_n-1)*SC_xmt)*G452/(SC_n*SC_b)</f>
        <v>0.87484</v>
      </c>
      <c r="I452" s="31" t="n">
        <f aca="false">SC_s*H452*SC_m*SC_n*SC_b*SQRT(2*g_)*G452^1.5</f>
        <v>82.3989990784424</v>
      </c>
      <c r="J452" s="32" t="n">
        <f aca="false">F452+I452</f>
        <v>110.597703164417</v>
      </c>
      <c r="K452" s="32" t="n">
        <f aca="false">F452</f>
        <v>28.1987040859744</v>
      </c>
      <c r="L452" s="32" t="n">
        <f aca="false">C452*1000000/dt_s+J452/2</f>
        <v>11556.63162936</v>
      </c>
      <c r="M452" s="32" t="n">
        <f aca="false">C452*1000000/dt_s+K452/2</f>
        <v>11515.4321298208</v>
      </c>
    </row>
    <row r="453" customFormat="false" ht="15" hidden="false" customHeight="false" outlineLevel="0" collapsed="false">
      <c r="A453" s="24" t="n">
        <f aca="false">ROUND(A452+0.01,2)</f>
        <v>75.48</v>
      </c>
      <c r="B453" s="25" t="n">
        <f aca="false">INDEX(Bang_F,MATCH(A453,Bang_Z,1))+(A453-INDEX(Bang_Z,MATCH(A453,Bang_Z,1)))*(INDEX(Bang_F,MATCH(A453,Bang_Z,1)+1)-INDEX(Bang_F,MATCH(A453,Bang_Z,1)))</f>
        <v>6.6712</v>
      </c>
      <c r="C453" s="25" t="n">
        <f aca="false">INDEX(Bang_W,MATCH(A453,Bang_Z,1))+(A453-INDEX(Bang_Z,MATCH(A453,Bang_Z,1)))*(INDEX(Bang_F,MATCH(A453,Bang_Z,1))+B453)/2</f>
        <v>41.471488</v>
      </c>
      <c r="D453" s="26" t="n">
        <f aca="false">MAX(A453-TC_Z,0)</f>
        <v>0.780000000000001</v>
      </c>
      <c r="E453" s="27" t="n">
        <f aca="false">1-0.2*(TC_xmb+(TC_n-1)*TC_xmt)*D453/(TC_n*TC_b)</f>
        <v>0.968944444444444</v>
      </c>
      <c r="F453" s="28" t="n">
        <f aca="false">TC_s*E453*TC_m*TC_n*TC_b*SQRT(2*g_)*D453^1.5</f>
        <v>28.738000464882</v>
      </c>
      <c r="G453" s="29" t="n">
        <f aca="false">MAX(A453-SC_Z,0)</f>
        <v>4.48</v>
      </c>
      <c r="H453" s="30" t="n">
        <f aca="false">1-0.2*(SC_xmb+(SC_n-1)*SC_xmt)*G453/(SC_n*SC_b)</f>
        <v>0.87456</v>
      </c>
      <c r="I453" s="31" t="n">
        <f aca="false">SC_s*H453*SC_m*SC_n*SC_b*SQRT(2*g_)*G453^1.5</f>
        <v>82.6491993250452</v>
      </c>
      <c r="J453" s="32" t="n">
        <f aca="false">F453+I453</f>
        <v>111.387199789927</v>
      </c>
      <c r="K453" s="32" t="n">
        <f aca="false">F453</f>
        <v>28.738000464882</v>
      </c>
      <c r="L453" s="32" t="n">
        <f aca="false">C453*1000000/dt_s+J453/2</f>
        <v>11575.5513776728</v>
      </c>
      <c r="M453" s="32" t="n">
        <f aca="false">C453*1000000/dt_s+K453/2</f>
        <v>11534.2267780102</v>
      </c>
    </row>
    <row r="454" customFormat="false" ht="15" hidden="false" customHeight="false" outlineLevel="0" collapsed="false">
      <c r="A454" s="24" t="n">
        <f aca="false">ROUND(A453+0.01,2)</f>
        <v>75.49</v>
      </c>
      <c r="B454" s="25" t="n">
        <f aca="false">INDEX(Bang_F,MATCH(A454,Bang_Z,1))+(A454-INDEX(Bang_Z,MATCH(A454,Bang_Z,1)))*(INDEX(Bang_F,MATCH(A454,Bang_Z,1)+1)-INDEX(Bang_F,MATCH(A454,Bang_Z,1)))</f>
        <v>6.6756</v>
      </c>
      <c r="C454" s="25" t="n">
        <f aca="false">INDEX(Bang_W,MATCH(A454,Bang_Z,1))+(A454-INDEX(Bang_Z,MATCH(A454,Bang_Z,1)))*(INDEX(Bang_F,MATCH(A454,Bang_Z,1))+B454)/2</f>
        <v>41.538222</v>
      </c>
      <c r="D454" s="26" t="n">
        <f aca="false">MAX(A454-TC_Z,0)</f>
        <v>0.789999999999992</v>
      </c>
      <c r="E454" s="27" t="n">
        <f aca="false">1-0.2*(TC_xmb+(TC_n-1)*TC_xmt)*D454/(TC_n*TC_b)</f>
        <v>0.968546296296297</v>
      </c>
      <c r="F454" s="28" t="n">
        <f aca="false">TC_s*E454*TC_m*TC_n*TC_b*SQRT(2*g_)*D454^1.5</f>
        <v>29.2803853551484</v>
      </c>
      <c r="G454" s="29" t="n">
        <f aca="false">MAX(A454-SC_Z,0)</f>
        <v>4.49</v>
      </c>
      <c r="H454" s="30" t="n">
        <f aca="false">1-0.2*(SC_xmb+(SC_n-1)*SC_xmt)*G454/(SC_n*SC_b)</f>
        <v>0.87428</v>
      </c>
      <c r="I454" s="31" t="n">
        <f aca="false">SC_s*H454*SC_m*SC_n*SC_b*SQRT(2*g_)*G454^1.5</f>
        <v>82.8995312246047</v>
      </c>
      <c r="J454" s="32" t="n">
        <f aca="false">F454+I454</f>
        <v>112.179916579753</v>
      </c>
      <c r="K454" s="32" t="n">
        <f aca="false">F454</f>
        <v>29.2803853551484</v>
      </c>
      <c r="L454" s="32" t="n">
        <f aca="false">C454*1000000/dt_s+J454/2</f>
        <v>11594.4849582899</v>
      </c>
      <c r="M454" s="32" t="n">
        <f aca="false">C454*1000000/dt_s+K454/2</f>
        <v>11553.0351926776</v>
      </c>
    </row>
    <row r="455" customFormat="false" ht="15" hidden="false" customHeight="false" outlineLevel="0" collapsed="false">
      <c r="A455" s="24" t="n">
        <f aca="false">ROUND(A454+0.01,2)</f>
        <v>75.5</v>
      </c>
      <c r="B455" s="25" t="n">
        <f aca="false">INDEX(Bang_F,MATCH(A455,Bang_Z,1))+(A455-INDEX(Bang_Z,MATCH(A455,Bang_Z,1)))*(INDEX(Bang_F,MATCH(A455,Bang_Z,1)+1)-INDEX(Bang_F,MATCH(A455,Bang_Z,1)))</f>
        <v>6.68</v>
      </c>
      <c r="C455" s="25" t="n">
        <f aca="false">INDEX(Bang_W,MATCH(A455,Bang_Z,1))+(A455-INDEX(Bang_Z,MATCH(A455,Bang_Z,1)))*(INDEX(Bang_F,MATCH(A455,Bang_Z,1))+B455)/2</f>
        <v>41.605</v>
      </c>
      <c r="D455" s="26" t="n">
        <f aca="false">MAX(A455-TC_Z,0)</f>
        <v>0.799999999999997</v>
      </c>
      <c r="E455" s="27" t="n">
        <f aca="false">1-0.2*(TC_xmb+(TC_n-1)*TC_xmt)*D455/(TC_n*TC_b)</f>
        <v>0.968148148148148</v>
      </c>
      <c r="F455" s="28" t="n">
        <f aca="false">TC_s*E455*TC_m*TC_n*TC_b*SQRT(2*g_)*D455^1.5</f>
        <v>29.8258319136882</v>
      </c>
      <c r="G455" s="29" t="n">
        <f aca="false">MAX(A455-SC_Z,0)</f>
        <v>4.5</v>
      </c>
      <c r="H455" s="30" t="n">
        <f aca="false">1-0.2*(SC_xmb+(SC_n-1)*SC_xmt)*G455/(SC_n*SC_b)</f>
        <v>0.874</v>
      </c>
      <c r="I455" s="31" t="n">
        <f aca="false">SC_s*H455*SC_m*SC_n*SC_b*SQRT(2*g_)*G455^1.5</f>
        <v>83.149994136579</v>
      </c>
      <c r="J455" s="32" t="n">
        <f aca="false">F455+I455</f>
        <v>112.975826050267</v>
      </c>
      <c r="K455" s="32" t="n">
        <f aca="false">F455</f>
        <v>29.8258319136882</v>
      </c>
      <c r="L455" s="32" t="n">
        <f aca="false">C455*1000000/dt_s+J455/2</f>
        <v>11613.4323574696</v>
      </c>
      <c r="M455" s="32" t="n">
        <f aca="false">C455*1000000/dt_s+K455/2</f>
        <v>11571.8573604013</v>
      </c>
    </row>
    <row r="456" customFormat="false" ht="15" hidden="false" customHeight="false" outlineLevel="0" collapsed="false">
      <c r="A456" s="24" t="n">
        <f aca="false">ROUND(A455+0.01,2)</f>
        <v>75.51</v>
      </c>
      <c r="B456" s="25" t="n">
        <f aca="false">INDEX(Bang_F,MATCH(A456,Bang_Z,1))+(A456-INDEX(Bang_Z,MATCH(A456,Bang_Z,1)))*(INDEX(Bang_F,MATCH(A456,Bang_Z,1)+1)-INDEX(Bang_F,MATCH(A456,Bang_Z,1)))</f>
        <v>6.6844</v>
      </c>
      <c r="C456" s="25" t="n">
        <f aca="false">INDEX(Bang_W,MATCH(A456,Bang_Z,1))+(A456-INDEX(Bang_Z,MATCH(A456,Bang_Z,1)))*(INDEX(Bang_F,MATCH(A456,Bang_Z,1))+B456)/2</f>
        <v>41.671822</v>
      </c>
      <c r="D456" s="26" t="n">
        <f aca="false">MAX(A456-TC_Z,0)</f>
        <v>0.810000000000002</v>
      </c>
      <c r="E456" s="27" t="n">
        <f aca="false">1-0.2*(TC_xmb+(TC_n-1)*TC_xmt)*D456/(TC_n*TC_b)</f>
        <v>0.96775</v>
      </c>
      <c r="F456" s="28" t="n">
        <f aca="false">TC_s*E456*TC_m*TC_n*TC_b*SQRT(2*g_)*D456^1.5</f>
        <v>30.3743137569921</v>
      </c>
      <c r="G456" s="29" t="n">
        <f aca="false">MAX(A456-SC_Z,0)</f>
        <v>4.51000000000001</v>
      </c>
      <c r="H456" s="30" t="n">
        <f aca="false">1-0.2*(SC_xmb+(SC_n-1)*SC_xmt)*G456/(SC_n*SC_b)</f>
        <v>0.87372</v>
      </c>
      <c r="I456" s="31" t="n">
        <f aca="false">SC_s*H456*SC_m*SC_n*SC_b*SQRT(2*g_)*G456^1.5</f>
        <v>83.4005874220125</v>
      </c>
      <c r="J456" s="32" t="n">
        <f aca="false">F456+I456</f>
        <v>113.774901179005</v>
      </c>
      <c r="K456" s="32" t="n">
        <f aca="false">F456</f>
        <v>30.3743137569921</v>
      </c>
      <c r="L456" s="32" t="n">
        <f aca="false">C456*1000000/dt_s+J456/2</f>
        <v>11632.3935617006</v>
      </c>
      <c r="M456" s="32" t="n">
        <f aca="false">C456*1000000/dt_s+K456/2</f>
        <v>11590.6932679896</v>
      </c>
    </row>
    <row r="457" customFormat="false" ht="15" hidden="false" customHeight="false" outlineLevel="0" collapsed="false">
      <c r="A457" s="24" t="n">
        <f aca="false">ROUND(A456+0.01,2)</f>
        <v>75.52</v>
      </c>
      <c r="B457" s="25" t="n">
        <f aca="false">INDEX(Bang_F,MATCH(A457,Bang_Z,1))+(A457-INDEX(Bang_Z,MATCH(A457,Bang_Z,1)))*(INDEX(Bang_F,MATCH(A457,Bang_Z,1)+1)-INDEX(Bang_F,MATCH(A457,Bang_Z,1)))</f>
        <v>6.6888</v>
      </c>
      <c r="C457" s="25" t="n">
        <f aca="false">INDEX(Bang_W,MATCH(A457,Bang_Z,1))+(A457-INDEX(Bang_Z,MATCH(A457,Bang_Z,1)))*(INDEX(Bang_F,MATCH(A457,Bang_Z,1))+B457)/2</f>
        <v>41.738688</v>
      </c>
      <c r="D457" s="26" t="n">
        <f aca="false">MAX(A457-TC_Z,0)</f>
        <v>0.819999999999993</v>
      </c>
      <c r="E457" s="27" t="n">
        <f aca="false">1-0.2*(TC_xmb+(TC_n-1)*TC_xmt)*D457/(TC_n*TC_b)</f>
        <v>0.967351851851852</v>
      </c>
      <c r="F457" s="28" t="n">
        <f aca="false">TC_s*E457*TC_m*TC_n*TC_b*SQRT(2*g_)*D457^1.5</f>
        <v>30.9258049471798</v>
      </c>
      <c r="G457" s="29" t="n">
        <f aca="false">MAX(A457-SC_Z,0)</f>
        <v>4.52</v>
      </c>
      <c r="H457" s="30" t="n">
        <f aca="false">1-0.2*(SC_xmb+(SC_n-1)*SC_xmt)*G457/(SC_n*SC_b)</f>
        <v>0.87344</v>
      </c>
      <c r="I457" s="31" t="n">
        <f aca="false">SC_s*H457*SC_m*SC_n*SC_b*SQRT(2*g_)*G457^1.5</f>
        <v>83.6513104435285</v>
      </c>
      <c r="J457" s="32" t="n">
        <f aca="false">F457+I457</f>
        <v>114.577115390708</v>
      </c>
      <c r="K457" s="32" t="n">
        <f aca="false">F457</f>
        <v>30.9258049471798</v>
      </c>
      <c r="L457" s="32" t="n">
        <f aca="false">C457*1000000/dt_s+J457/2</f>
        <v>11651.3685576953</v>
      </c>
      <c r="M457" s="32" t="n">
        <f aca="false">C457*1000000/dt_s+K457/2</f>
        <v>11609.5429024736</v>
      </c>
    </row>
    <row r="458" customFormat="false" ht="15" hidden="false" customHeight="false" outlineLevel="0" collapsed="false">
      <c r="A458" s="24" t="n">
        <f aca="false">ROUND(A457+0.01,2)</f>
        <v>75.53</v>
      </c>
      <c r="B458" s="25" t="n">
        <f aca="false">INDEX(Bang_F,MATCH(A458,Bang_Z,1))+(A458-INDEX(Bang_Z,MATCH(A458,Bang_Z,1)))*(INDEX(Bang_F,MATCH(A458,Bang_Z,1)+1)-INDEX(Bang_F,MATCH(A458,Bang_Z,1)))</f>
        <v>6.6932</v>
      </c>
      <c r="C458" s="25" t="n">
        <f aca="false">INDEX(Bang_W,MATCH(A458,Bang_Z,1))+(A458-INDEX(Bang_Z,MATCH(A458,Bang_Z,1)))*(INDEX(Bang_F,MATCH(A458,Bang_Z,1))+B458)/2</f>
        <v>41.805598</v>
      </c>
      <c r="D458" s="26" t="n">
        <f aca="false">MAX(A458-TC_Z,0)</f>
        <v>0.829999999999998</v>
      </c>
      <c r="E458" s="27" t="n">
        <f aca="false">1-0.2*(TC_xmb+(TC_n-1)*TC_xmt)*D458/(TC_n*TC_b)</f>
        <v>0.966953703703704</v>
      </c>
      <c r="F458" s="28" t="n">
        <f aca="false">TC_s*E458*TC_m*TC_n*TC_b*SQRT(2*g_)*D458^1.5</f>
        <v>31.480279978645</v>
      </c>
      <c r="G458" s="29" t="n">
        <f aca="false">MAX(A458-SC_Z,0)</f>
        <v>4.53</v>
      </c>
      <c r="H458" s="30" t="n">
        <f aca="false">1-0.2*(SC_xmb+(SC_n-1)*SC_xmt)*G458/(SC_n*SC_b)</f>
        <v>0.87316</v>
      </c>
      <c r="I458" s="31" t="n">
        <f aca="false">SC_s*H458*SC_m*SC_n*SC_b*SQRT(2*g_)*G458^1.5</f>
        <v>83.9021625653224</v>
      </c>
      <c r="J458" s="32" t="n">
        <f aca="false">F458+I458</f>
        <v>115.382442543967</v>
      </c>
      <c r="K458" s="32" t="n">
        <f aca="false">F458</f>
        <v>31.480279978645</v>
      </c>
      <c r="L458" s="32" t="n">
        <f aca="false">C458*1000000/dt_s+J458/2</f>
        <v>11670.3573323831</v>
      </c>
      <c r="M458" s="32" t="n">
        <f aca="false">C458*1000000/dt_s+K458/2</f>
        <v>11628.4062511004</v>
      </c>
    </row>
    <row r="459" customFormat="false" ht="15" hidden="false" customHeight="false" outlineLevel="0" collapsed="false">
      <c r="A459" s="24" t="n">
        <f aca="false">ROUND(A458+0.01,2)</f>
        <v>75.54</v>
      </c>
      <c r="B459" s="25" t="n">
        <f aca="false">INDEX(Bang_F,MATCH(A459,Bang_Z,1))+(A459-INDEX(Bang_Z,MATCH(A459,Bang_Z,1)))*(INDEX(Bang_F,MATCH(A459,Bang_Z,1)+1)-INDEX(Bang_F,MATCH(A459,Bang_Z,1)))</f>
        <v>6.6976</v>
      </c>
      <c r="C459" s="25" t="n">
        <f aca="false">INDEX(Bang_W,MATCH(A459,Bang_Z,1))+(A459-INDEX(Bang_Z,MATCH(A459,Bang_Z,1)))*(INDEX(Bang_F,MATCH(A459,Bang_Z,1))+B459)/2</f>
        <v>41.872552</v>
      </c>
      <c r="D459" s="26" t="n">
        <f aca="false">MAX(A459-TC_Z,0)</f>
        <v>0.840000000000003</v>
      </c>
      <c r="E459" s="27" t="n">
        <f aca="false">1-0.2*(TC_xmb+(TC_n-1)*TC_xmt)*D459/(TC_n*TC_b)</f>
        <v>0.966555555555555</v>
      </c>
      <c r="F459" s="28" t="n">
        <f aca="false">TC_s*E459*TC_m*TC_n*TC_b*SQRT(2*g_)*D459^1.5</f>
        <v>32.0377137652546</v>
      </c>
      <c r="G459" s="29" t="n">
        <f aca="false">MAX(A459-SC_Z,0)</f>
        <v>4.54000000000001</v>
      </c>
      <c r="H459" s="30" t="n">
        <f aca="false">1-0.2*(SC_xmb+(SC_n-1)*SC_xmt)*G459/(SC_n*SC_b)</f>
        <v>0.87288</v>
      </c>
      <c r="I459" s="31" t="n">
        <f aca="false">SC_s*H459*SC_m*SC_n*SC_b*SQRT(2*g_)*G459^1.5</f>
        <v>84.1531431531517</v>
      </c>
      <c r="J459" s="32" t="n">
        <f aca="false">F459+I459</f>
        <v>116.190856918406</v>
      </c>
      <c r="K459" s="32" t="n">
        <f aca="false">F459</f>
        <v>32.0377137652546</v>
      </c>
      <c r="L459" s="32" t="n">
        <f aca="false">C459*1000000/dt_s+J459/2</f>
        <v>11689.3598729037</v>
      </c>
      <c r="M459" s="32" t="n">
        <f aca="false">C459*1000000/dt_s+K459/2</f>
        <v>11647.2833013271</v>
      </c>
    </row>
    <row r="460" customFormat="false" ht="15" hidden="false" customHeight="false" outlineLevel="0" collapsed="false">
      <c r="A460" s="24" t="n">
        <f aca="false">ROUND(A459+0.01,2)</f>
        <v>75.55</v>
      </c>
      <c r="B460" s="25" t="n">
        <f aca="false">INDEX(Bang_F,MATCH(A460,Bang_Z,1))+(A460-INDEX(Bang_Z,MATCH(A460,Bang_Z,1)))*(INDEX(Bang_F,MATCH(A460,Bang_Z,1)+1)-INDEX(Bang_F,MATCH(A460,Bang_Z,1)))</f>
        <v>6.702</v>
      </c>
      <c r="C460" s="25" t="n">
        <f aca="false">INDEX(Bang_W,MATCH(A460,Bang_Z,1))+(A460-INDEX(Bang_Z,MATCH(A460,Bang_Z,1)))*(INDEX(Bang_F,MATCH(A460,Bang_Z,1))+B460)/2</f>
        <v>41.93955</v>
      </c>
      <c r="D460" s="26" t="n">
        <f aca="false">MAX(A460-TC_Z,0)</f>
        <v>0.849999999999994</v>
      </c>
      <c r="E460" s="27" t="n">
        <f aca="false">1-0.2*(TC_xmb+(TC_n-1)*TC_xmt)*D460/(TC_n*TC_b)</f>
        <v>0.966157407407408</v>
      </c>
      <c r="F460" s="28" t="n">
        <f aca="false">TC_s*E460*TC_m*TC_n*TC_b*SQRT(2*g_)*D460^1.5</f>
        <v>32.598081628083</v>
      </c>
      <c r="G460" s="29" t="n">
        <f aca="false">MAX(A460-SC_Z,0)</f>
        <v>4.55</v>
      </c>
      <c r="H460" s="30" t="n">
        <f aca="false">1-0.2*(SC_xmb+(SC_n-1)*SC_xmt)*G460/(SC_n*SC_b)</f>
        <v>0.8726</v>
      </c>
      <c r="I460" s="31" t="n">
        <f aca="false">SC_s*H460*SC_m*SC_n*SC_b*SQRT(2*g_)*G460^1.5</f>
        <v>84.4042515743285</v>
      </c>
      <c r="J460" s="32" t="n">
        <f aca="false">F460+I460</f>
        <v>117.002333202412</v>
      </c>
      <c r="K460" s="32" t="n">
        <f aca="false">F460</f>
        <v>32.598081628083</v>
      </c>
      <c r="L460" s="32" t="n">
        <f aca="false">C460*1000000/dt_s+J460/2</f>
        <v>11708.3761666012</v>
      </c>
      <c r="M460" s="32" t="n">
        <f aca="false">C460*1000000/dt_s+K460/2</f>
        <v>11666.174040814</v>
      </c>
    </row>
    <row r="461" customFormat="false" ht="15" hidden="false" customHeight="false" outlineLevel="0" collapsed="false">
      <c r="A461" s="24" t="n">
        <f aca="false">ROUND(A460+0.01,2)</f>
        <v>75.56</v>
      </c>
      <c r="B461" s="25" t="n">
        <f aca="false">INDEX(Bang_F,MATCH(A461,Bang_Z,1))+(A461-INDEX(Bang_Z,MATCH(A461,Bang_Z,1)))*(INDEX(Bang_F,MATCH(A461,Bang_Z,1)+1)-INDEX(Bang_F,MATCH(A461,Bang_Z,1)))</f>
        <v>6.7064</v>
      </c>
      <c r="C461" s="25" t="n">
        <f aca="false">INDEX(Bang_W,MATCH(A461,Bang_Z,1))+(A461-INDEX(Bang_Z,MATCH(A461,Bang_Z,1)))*(INDEX(Bang_F,MATCH(A461,Bang_Z,1))+B461)/2</f>
        <v>42.006592</v>
      </c>
      <c r="D461" s="26" t="n">
        <f aca="false">MAX(A461-TC_Z,0)</f>
        <v>0.859999999999999</v>
      </c>
      <c r="E461" s="27" t="n">
        <f aca="false">1-0.2*(TC_xmb+(TC_n-1)*TC_xmt)*D461/(TC_n*TC_b)</f>
        <v>0.965759259259259</v>
      </c>
      <c r="F461" s="28" t="n">
        <f aca="false">TC_s*E461*TC_m*TC_n*TC_b*SQRT(2*g_)*D461^1.5</f>
        <v>33.1613592836511</v>
      </c>
      <c r="G461" s="29" t="n">
        <f aca="false">MAX(A461-SC_Z,0)</f>
        <v>4.56</v>
      </c>
      <c r="H461" s="30" t="n">
        <f aca="false">1-0.2*(SC_xmb+(SC_n-1)*SC_xmt)*G461/(SC_n*SC_b)</f>
        <v>0.87232</v>
      </c>
      <c r="I461" s="31" t="n">
        <f aca="false">SC_s*H461*SC_m*SC_n*SC_b*SQRT(2*g_)*G461^1.5</f>
        <v>84.655487197713</v>
      </c>
      <c r="J461" s="32" t="n">
        <f aca="false">F461+I461</f>
        <v>117.816846481364</v>
      </c>
      <c r="K461" s="32" t="n">
        <f aca="false">F461</f>
        <v>33.1613592836511</v>
      </c>
      <c r="L461" s="32" t="n">
        <f aca="false">C461*1000000/dt_s+J461/2</f>
        <v>11727.4062010185</v>
      </c>
      <c r="M461" s="32" t="n">
        <f aca="false">C461*1000000/dt_s+K461/2</f>
        <v>11685.0784574196</v>
      </c>
    </row>
    <row r="462" customFormat="false" ht="15" hidden="false" customHeight="false" outlineLevel="0" collapsed="false">
      <c r="A462" s="24" t="n">
        <f aca="false">ROUND(A461+0.01,2)</f>
        <v>75.57</v>
      </c>
      <c r="B462" s="25" t="n">
        <f aca="false">INDEX(Bang_F,MATCH(A462,Bang_Z,1))+(A462-INDEX(Bang_Z,MATCH(A462,Bang_Z,1)))*(INDEX(Bang_F,MATCH(A462,Bang_Z,1)+1)-INDEX(Bang_F,MATCH(A462,Bang_Z,1)))</f>
        <v>6.7108</v>
      </c>
      <c r="C462" s="25" t="n">
        <f aca="false">INDEX(Bang_W,MATCH(A462,Bang_Z,1))+(A462-INDEX(Bang_Z,MATCH(A462,Bang_Z,1)))*(INDEX(Bang_F,MATCH(A462,Bang_Z,1))+B462)/2</f>
        <v>42.073678</v>
      </c>
      <c r="D462" s="26" t="n">
        <f aca="false">MAX(A462-TC_Z,0)</f>
        <v>0.86999999999999</v>
      </c>
      <c r="E462" s="27" t="n">
        <f aca="false">1-0.2*(TC_xmb+(TC_n-1)*TC_xmt)*D462/(TC_n*TC_b)</f>
        <v>0.965361111111111</v>
      </c>
      <c r="F462" s="28" t="n">
        <f aca="false">TC_s*E462*TC_m*TC_n*TC_b*SQRT(2*g_)*D462^1.5</f>
        <v>33.727522832631</v>
      </c>
      <c r="G462" s="29" t="n">
        <f aca="false">MAX(A462-SC_Z,0)</f>
        <v>4.56999999999999</v>
      </c>
      <c r="H462" s="30" t="n">
        <f aca="false">1-0.2*(SC_xmb+(SC_n-1)*SC_xmt)*G462/(SC_n*SC_b)</f>
        <v>0.87204</v>
      </c>
      <c r="I462" s="31" t="n">
        <f aca="false">SC_s*H462*SC_m*SC_n*SC_b*SQRT(2*g_)*G462^1.5</f>
        <v>84.9068493937029</v>
      </c>
      <c r="J462" s="32" t="n">
        <f aca="false">F462+I462</f>
        <v>118.634372226334</v>
      </c>
      <c r="K462" s="32" t="n">
        <f aca="false">F462</f>
        <v>33.727522832631</v>
      </c>
      <c r="L462" s="32" t="n">
        <f aca="false">C462*1000000/dt_s+J462/2</f>
        <v>11746.4499638909</v>
      </c>
      <c r="M462" s="32" t="n">
        <f aca="false">C462*1000000/dt_s+K462/2</f>
        <v>11703.9965391941</v>
      </c>
    </row>
    <row r="463" customFormat="false" ht="15" hidden="false" customHeight="false" outlineLevel="0" collapsed="false">
      <c r="A463" s="24" t="n">
        <f aca="false">ROUND(A462+0.01,2)</f>
        <v>75.58</v>
      </c>
      <c r="B463" s="25" t="n">
        <f aca="false">INDEX(Bang_F,MATCH(A463,Bang_Z,1))+(A463-INDEX(Bang_Z,MATCH(A463,Bang_Z,1)))*(INDEX(Bang_F,MATCH(A463,Bang_Z,1)+1)-INDEX(Bang_F,MATCH(A463,Bang_Z,1)))</f>
        <v>6.7152</v>
      </c>
      <c r="C463" s="25" t="n">
        <f aca="false">INDEX(Bang_W,MATCH(A463,Bang_Z,1))+(A463-INDEX(Bang_Z,MATCH(A463,Bang_Z,1)))*(INDEX(Bang_F,MATCH(A463,Bang_Z,1))+B463)/2</f>
        <v>42.140808</v>
      </c>
      <c r="D463" s="26" t="n">
        <f aca="false">MAX(A463-TC_Z,0)</f>
        <v>0.879999999999996</v>
      </c>
      <c r="E463" s="27" t="n">
        <f aca="false">1-0.2*(TC_xmb+(TC_n-1)*TC_xmt)*D463/(TC_n*TC_b)</f>
        <v>0.964962962962963</v>
      </c>
      <c r="F463" s="28" t="n">
        <f aca="false">TC_s*E463*TC_m*TC_n*TC_b*SQRT(2*g_)*D463^1.5</f>
        <v>34.2965487490151</v>
      </c>
      <c r="G463" s="29" t="n">
        <f aca="false">MAX(A463-SC_Z,0)</f>
        <v>4.58</v>
      </c>
      <c r="H463" s="30" t="n">
        <f aca="false">1-0.2*(SC_xmb+(SC_n-1)*SC_xmt)*G463/(SC_n*SC_b)</f>
        <v>0.87176</v>
      </c>
      <c r="I463" s="31" t="n">
        <f aca="false">SC_s*H463*SC_m*SC_n*SC_b*SQRT(2*g_)*G463^1.5</f>
        <v>85.1583375342288</v>
      </c>
      <c r="J463" s="32" t="n">
        <f aca="false">F463+I463</f>
        <v>119.454886283244</v>
      </c>
      <c r="K463" s="32" t="n">
        <f aca="false">F463</f>
        <v>34.2965487490151</v>
      </c>
      <c r="L463" s="32" t="n">
        <f aca="false">C463*1000000/dt_s+J463/2</f>
        <v>11765.5074431416</v>
      </c>
      <c r="M463" s="32" t="n">
        <f aca="false">C463*1000000/dt_s+K463/2</f>
        <v>11722.9282743745</v>
      </c>
    </row>
    <row r="464" customFormat="false" ht="15" hidden="false" customHeight="false" outlineLevel="0" collapsed="false">
      <c r="A464" s="24" t="n">
        <f aca="false">ROUND(A463+0.01,2)</f>
        <v>75.59</v>
      </c>
      <c r="B464" s="25" t="n">
        <f aca="false">INDEX(Bang_F,MATCH(A464,Bang_Z,1))+(A464-INDEX(Bang_Z,MATCH(A464,Bang_Z,1)))*(INDEX(Bang_F,MATCH(A464,Bang_Z,1)+1)-INDEX(Bang_F,MATCH(A464,Bang_Z,1)))</f>
        <v>6.7196</v>
      </c>
      <c r="C464" s="25" t="n">
        <f aca="false">INDEX(Bang_W,MATCH(A464,Bang_Z,1))+(A464-INDEX(Bang_Z,MATCH(A464,Bang_Z,1)))*(INDEX(Bang_F,MATCH(A464,Bang_Z,1))+B464)/2</f>
        <v>42.207982</v>
      </c>
      <c r="D464" s="26" t="n">
        <f aca="false">MAX(A464-TC_Z,0)</f>
        <v>0.890000000000001</v>
      </c>
      <c r="E464" s="27" t="n">
        <f aca="false">1-0.2*(TC_xmb+(TC_n-1)*TC_xmt)*D464/(TC_n*TC_b)</f>
        <v>0.964564814814815</v>
      </c>
      <c r="F464" s="28" t="n">
        <f aca="false">TC_s*E464*TC_m*TC_n*TC_b*SQRT(2*g_)*D464^1.5</f>
        <v>34.8684138697018</v>
      </c>
      <c r="G464" s="29" t="n">
        <f aca="false">MAX(A464-SC_Z,0)</f>
        <v>4.59</v>
      </c>
      <c r="H464" s="30" t="n">
        <f aca="false">1-0.2*(SC_xmb+(SC_n-1)*SC_xmt)*G464/(SC_n*SC_b)</f>
        <v>0.87148</v>
      </c>
      <c r="I464" s="31" t="n">
        <f aca="false">SC_s*H464*SC_m*SC_n*SC_b*SQRT(2*g_)*G464^1.5</f>
        <v>85.4099509927433</v>
      </c>
      <c r="J464" s="32" t="n">
        <f aca="false">F464+I464</f>
        <v>120.278364862445</v>
      </c>
      <c r="K464" s="32" t="n">
        <f aca="false">F464</f>
        <v>34.8684138697018</v>
      </c>
      <c r="L464" s="32" t="n">
        <f aca="false">C464*1000000/dt_s+J464/2</f>
        <v>11784.5786268757</v>
      </c>
      <c r="M464" s="32" t="n">
        <f aca="false">C464*1000000/dt_s+K464/2</f>
        <v>11741.8736513793</v>
      </c>
    </row>
    <row r="465" customFormat="false" ht="15" hidden="false" customHeight="false" outlineLevel="0" collapsed="false">
      <c r="A465" s="24" t="n">
        <f aca="false">ROUND(A464+0.01,2)</f>
        <v>75.6</v>
      </c>
      <c r="B465" s="25" t="n">
        <f aca="false">INDEX(Bang_F,MATCH(A465,Bang_Z,1))+(A465-INDEX(Bang_Z,MATCH(A465,Bang_Z,1)))*(INDEX(Bang_F,MATCH(A465,Bang_Z,1)+1)-INDEX(Bang_F,MATCH(A465,Bang_Z,1)))</f>
        <v>6.724</v>
      </c>
      <c r="C465" s="25" t="n">
        <f aca="false">INDEX(Bang_W,MATCH(A465,Bang_Z,1))+(A465-INDEX(Bang_Z,MATCH(A465,Bang_Z,1)))*(INDEX(Bang_F,MATCH(A465,Bang_Z,1))+B465)/2</f>
        <v>42.2752</v>
      </c>
      <c r="D465" s="26" t="n">
        <f aca="false">MAX(A465-TC_Z,0)</f>
        <v>0.899999999999992</v>
      </c>
      <c r="E465" s="27" t="n">
        <f aca="false">1-0.2*(TC_xmb+(TC_n-1)*TC_xmt)*D465/(TC_n*TC_b)</f>
        <v>0.964166666666667</v>
      </c>
      <c r="F465" s="28" t="n">
        <f aca="false">TC_s*E465*TC_m*TC_n*TC_b*SQRT(2*g_)*D465^1.5</f>
        <v>35.4430953844951</v>
      </c>
      <c r="G465" s="29" t="n">
        <f aca="false">MAX(A465-SC_Z,0)</f>
        <v>4.59999999999999</v>
      </c>
      <c r="H465" s="30" t="n">
        <f aca="false">1-0.2*(SC_xmb+(SC_n-1)*SC_xmt)*G465/(SC_n*SC_b)</f>
        <v>0.8712</v>
      </c>
      <c r="I465" s="31" t="n">
        <f aca="false">SC_s*H465*SC_m*SC_n*SC_b*SQRT(2*g_)*G465^1.5</f>
        <v>85.6616891442152</v>
      </c>
      <c r="J465" s="32" t="n">
        <f aca="false">F465+I465</f>
        <v>121.10478452871</v>
      </c>
      <c r="K465" s="32" t="n">
        <f aca="false">F465</f>
        <v>35.4430953844951</v>
      </c>
      <c r="L465" s="32" t="n">
        <f aca="false">C465*1000000/dt_s+J465/2</f>
        <v>11803.6635033755</v>
      </c>
      <c r="M465" s="32" t="n">
        <f aca="false">C465*1000000/dt_s+K465/2</f>
        <v>11760.8326588033</v>
      </c>
    </row>
    <row r="466" customFormat="false" ht="15" hidden="false" customHeight="false" outlineLevel="0" collapsed="false">
      <c r="A466" s="24" t="n">
        <f aca="false">ROUND(A465+0.01,2)</f>
        <v>75.61</v>
      </c>
      <c r="B466" s="25" t="n">
        <f aca="false">INDEX(Bang_F,MATCH(A466,Bang_Z,1))+(A466-INDEX(Bang_Z,MATCH(A466,Bang_Z,1)))*(INDEX(Bang_F,MATCH(A466,Bang_Z,1)+1)-INDEX(Bang_F,MATCH(A466,Bang_Z,1)))</f>
        <v>6.7284</v>
      </c>
      <c r="C466" s="25" t="n">
        <f aca="false">INDEX(Bang_W,MATCH(A466,Bang_Z,1))+(A466-INDEX(Bang_Z,MATCH(A466,Bang_Z,1)))*(INDEX(Bang_F,MATCH(A466,Bang_Z,1))+B466)/2</f>
        <v>42.342462</v>
      </c>
      <c r="D466" s="26" t="n">
        <f aca="false">MAX(A466-TC_Z,0)</f>
        <v>0.909999999999997</v>
      </c>
      <c r="E466" s="27" t="n">
        <f aca="false">1-0.2*(TC_xmb+(TC_n-1)*TC_xmt)*D466/(TC_n*TC_b)</f>
        <v>0.963768518518519</v>
      </c>
      <c r="F466" s="28" t="n">
        <f aca="false">TC_s*E466*TC_m*TC_n*TC_b*SQRT(2*g_)*D466^1.5</f>
        <v>36.0205708264909</v>
      </c>
      <c r="G466" s="29" t="n">
        <f aca="false">MAX(A466-SC_Z,0)</f>
        <v>4.61</v>
      </c>
      <c r="H466" s="30" t="n">
        <f aca="false">1-0.2*(SC_xmb+(SC_n-1)*SC_xmt)*G466/(SC_n*SC_b)</f>
        <v>0.87092</v>
      </c>
      <c r="I466" s="31" t="n">
        <f aca="false">SC_s*H466*SC_m*SC_n*SC_b*SQRT(2*g_)*G466^1.5</f>
        <v>85.9135513651219</v>
      </c>
      <c r="J466" s="32" t="n">
        <f aca="false">F466+I466</f>
        <v>121.934122191613</v>
      </c>
      <c r="K466" s="32" t="n">
        <f aca="false">F466</f>
        <v>36.0205708264909</v>
      </c>
      <c r="L466" s="32" t="n">
        <f aca="false">C466*1000000/dt_s+J466/2</f>
        <v>11822.7620610958</v>
      </c>
      <c r="M466" s="32" t="n">
        <f aca="false">C466*1000000/dt_s+K466/2</f>
        <v>11779.8052854132</v>
      </c>
    </row>
    <row r="467" customFormat="false" ht="15" hidden="false" customHeight="false" outlineLevel="0" collapsed="false">
      <c r="A467" s="24" t="n">
        <f aca="false">ROUND(A466+0.01,2)</f>
        <v>75.62</v>
      </c>
      <c r="B467" s="25" t="n">
        <f aca="false">INDEX(Bang_F,MATCH(A467,Bang_Z,1))+(A467-INDEX(Bang_Z,MATCH(A467,Bang_Z,1)))*(INDEX(Bang_F,MATCH(A467,Bang_Z,1)+1)-INDEX(Bang_F,MATCH(A467,Bang_Z,1)))</f>
        <v>6.7328</v>
      </c>
      <c r="C467" s="25" t="n">
        <f aca="false">INDEX(Bang_W,MATCH(A467,Bang_Z,1))+(A467-INDEX(Bang_Z,MATCH(A467,Bang_Z,1)))*(INDEX(Bang_F,MATCH(A467,Bang_Z,1))+B467)/2</f>
        <v>42.409768</v>
      </c>
      <c r="D467" s="26" t="n">
        <f aca="false">MAX(A467-TC_Z,0)</f>
        <v>0.920000000000002</v>
      </c>
      <c r="E467" s="27" t="n">
        <f aca="false">1-0.2*(TC_xmb+(TC_n-1)*TC_xmt)*D467/(TC_n*TC_b)</f>
        <v>0.96337037037037</v>
      </c>
      <c r="F467" s="28" t="n">
        <f aca="false">TC_s*E467*TC_m*TC_n*TC_b*SQRT(2*g_)*D467^1.5</f>
        <v>36.6008180628239</v>
      </c>
      <c r="G467" s="29" t="n">
        <f aca="false">MAX(A467-SC_Z,0)</f>
        <v>4.62</v>
      </c>
      <c r="H467" s="30" t="n">
        <f aca="false">1-0.2*(SC_xmb+(SC_n-1)*SC_xmt)*G467/(SC_n*SC_b)</f>
        <v>0.87064</v>
      </c>
      <c r="I467" s="31" t="n">
        <f aca="false">SC_s*H467*SC_m*SC_n*SC_b*SQRT(2*g_)*G467^1.5</f>
        <v>86.1655370334405</v>
      </c>
      <c r="J467" s="32" t="n">
        <f aca="false">F467+I467</f>
        <v>122.766355096264</v>
      </c>
      <c r="K467" s="32" t="n">
        <f aca="false">F467</f>
        <v>36.6008180628239</v>
      </c>
      <c r="L467" s="32" t="n">
        <f aca="false">C467*1000000/dt_s+J467/2</f>
        <v>11841.8742886593</v>
      </c>
      <c r="M467" s="32" t="n">
        <f aca="false">C467*1000000/dt_s+K467/2</f>
        <v>11798.7915201425</v>
      </c>
    </row>
    <row r="468" customFormat="false" ht="15" hidden="false" customHeight="false" outlineLevel="0" collapsed="false">
      <c r="A468" s="24" t="n">
        <f aca="false">ROUND(A467+0.01,2)</f>
        <v>75.63</v>
      </c>
      <c r="B468" s="25" t="n">
        <f aca="false">INDEX(Bang_F,MATCH(A468,Bang_Z,1))+(A468-INDEX(Bang_Z,MATCH(A468,Bang_Z,1)))*(INDEX(Bang_F,MATCH(A468,Bang_Z,1)+1)-INDEX(Bang_F,MATCH(A468,Bang_Z,1)))</f>
        <v>6.7372</v>
      </c>
      <c r="C468" s="25" t="n">
        <f aca="false">INDEX(Bang_W,MATCH(A468,Bang_Z,1))+(A468-INDEX(Bang_Z,MATCH(A468,Bang_Z,1)))*(INDEX(Bang_F,MATCH(A468,Bang_Z,1))+B468)/2</f>
        <v>42.477118</v>
      </c>
      <c r="D468" s="26" t="n">
        <f aca="false">MAX(A468-TC_Z,0)</f>
        <v>0.929999999999993</v>
      </c>
      <c r="E468" s="27" t="n">
        <f aca="false">1-0.2*(TC_xmb+(TC_n-1)*TC_xmt)*D468/(TC_n*TC_b)</f>
        <v>0.962972222222223</v>
      </c>
      <c r="F468" s="28" t="n">
        <f aca="false">TC_s*E468*TC_m*TC_n*TC_b*SQRT(2*g_)*D468^1.5</f>
        <v>37.1838152857702</v>
      </c>
      <c r="G468" s="29" t="n">
        <f aca="false">MAX(A468-SC_Z,0)</f>
        <v>4.63</v>
      </c>
      <c r="H468" s="30" t="n">
        <f aca="false">1-0.2*(SC_xmb+(SC_n-1)*SC_xmt)*G468/(SC_n*SC_b)</f>
        <v>0.87036</v>
      </c>
      <c r="I468" s="31" t="n">
        <f aca="false">SC_s*H468*SC_m*SC_n*SC_b*SQRT(2*g_)*G468^1.5</f>
        <v>86.4176455286409</v>
      </c>
      <c r="J468" s="32" t="n">
        <f aca="false">F468+I468</f>
        <v>123.601460814411</v>
      </c>
      <c r="K468" s="32" t="n">
        <f aca="false">F468</f>
        <v>37.1838152857702</v>
      </c>
      <c r="L468" s="32" t="n">
        <f aca="false">C468*1000000/dt_s+J468/2</f>
        <v>11861.0001748516</v>
      </c>
      <c r="M468" s="32" t="n">
        <f aca="false">C468*1000000/dt_s+K468/2</f>
        <v>11817.7913520873</v>
      </c>
    </row>
    <row r="469" customFormat="false" ht="15" hidden="false" customHeight="false" outlineLevel="0" collapsed="false">
      <c r="A469" s="24" t="n">
        <f aca="false">ROUND(A468+0.01,2)</f>
        <v>75.64</v>
      </c>
      <c r="B469" s="25" t="n">
        <f aca="false">INDEX(Bang_F,MATCH(A469,Bang_Z,1))+(A469-INDEX(Bang_Z,MATCH(A469,Bang_Z,1)))*(INDEX(Bang_F,MATCH(A469,Bang_Z,1)+1)-INDEX(Bang_F,MATCH(A469,Bang_Z,1)))</f>
        <v>6.7416</v>
      </c>
      <c r="C469" s="25" t="n">
        <f aca="false">INDEX(Bang_W,MATCH(A469,Bang_Z,1))+(A469-INDEX(Bang_Z,MATCH(A469,Bang_Z,1)))*(INDEX(Bang_F,MATCH(A469,Bang_Z,1))+B469)/2</f>
        <v>42.544512</v>
      </c>
      <c r="D469" s="26" t="n">
        <f aca="false">MAX(A469-TC_Z,0)</f>
        <v>0.939999999999998</v>
      </c>
      <c r="E469" s="27" t="n">
        <f aca="false">1-0.2*(TC_xmb+(TC_n-1)*TC_xmt)*D469/(TC_n*TC_b)</f>
        <v>0.962574074074074</v>
      </c>
      <c r="F469" s="28" t="n">
        <f aca="false">TC_s*E469*TC_m*TC_n*TC_b*SQRT(2*g_)*D469^1.5</f>
        <v>37.7695410041838</v>
      </c>
      <c r="G469" s="29" t="n">
        <f aca="false">MAX(A469-SC_Z,0)</f>
        <v>4.64</v>
      </c>
      <c r="H469" s="30" t="n">
        <f aca="false">1-0.2*(SC_xmb+(SC_n-1)*SC_xmt)*G469/(SC_n*SC_b)</f>
        <v>0.87008</v>
      </c>
      <c r="I469" s="31" t="n">
        <f aca="false">SC_s*H469*SC_m*SC_n*SC_b*SQRT(2*g_)*G469^1.5</f>
        <v>86.6698762316794</v>
      </c>
      <c r="J469" s="32" t="n">
        <f aca="false">F469+I469</f>
        <v>124.439417235863</v>
      </c>
      <c r="K469" s="32" t="n">
        <f aca="false">F469</f>
        <v>37.7695410041838</v>
      </c>
      <c r="L469" s="32" t="n">
        <f aca="false">C469*1000000/dt_s+J469/2</f>
        <v>11880.1397086179</v>
      </c>
      <c r="M469" s="32" t="n">
        <f aca="false">C469*1000000/dt_s+K469/2</f>
        <v>11836.8047705021</v>
      </c>
    </row>
    <row r="470" customFormat="false" ht="15" hidden="false" customHeight="false" outlineLevel="0" collapsed="false">
      <c r="A470" s="24" t="n">
        <f aca="false">ROUND(A469+0.01,2)</f>
        <v>75.65</v>
      </c>
      <c r="B470" s="25" t="n">
        <f aca="false">INDEX(Bang_F,MATCH(A470,Bang_Z,1))+(A470-INDEX(Bang_Z,MATCH(A470,Bang_Z,1)))*(INDEX(Bang_F,MATCH(A470,Bang_Z,1)+1)-INDEX(Bang_F,MATCH(A470,Bang_Z,1)))</f>
        <v>6.746</v>
      </c>
      <c r="C470" s="25" t="n">
        <f aca="false">INDEX(Bang_W,MATCH(A470,Bang_Z,1))+(A470-INDEX(Bang_Z,MATCH(A470,Bang_Z,1)))*(INDEX(Bang_F,MATCH(A470,Bang_Z,1))+B470)/2</f>
        <v>42.61195</v>
      </c>
      <c r="D470" s="26" t="n">
        <f aca="false">MAX(A470-TC_Z,0)</f>
        <v>0.950000000000003</v>
      </c>
      <c r="E470" s="27" t="n">
        <f aca="false">1-0.2*(TC_xmb+(TC_n-1)*TC_xmt)*D470/(TC_n*TC_b)</f>
        <v>0.962175925925926</v>
      </c>
      <c r="F470" s="28" t="n">
        <f aca="false">TC_s*E470*TC_m*TC_n*TC_b*SQRT(2*g_)*D470^1.5</f>
        <v>38.357974035241</v>
      </c>
      <c r="G470" s="29" t="n">
        <f aca="false">MAX(A470-SC_Z,0)</f>
        <v>4.65000000000001</v>
      </c>
      <c r="H470" s="30" t="n">
        <f aca="false">1-0.2*(SC_xmb+(SC_n-1)*SC_xmt)*G470/(SC_n*SC_b)</f>
        <v>0.8698</v>
      </c>
      <c r="I470" s="31" t="n">
        <f aca="false">SC_s*H470*SC_m*SC_n*SC_b*SQRT(2*g_)*G470^1.5</f>
        <v>86.9222285249895</v>
      </c>
      <c r="J470" s="32" t="n">
        <f aca="false">F470+I470</f>
        <v>125.28020256023</v>
      </c>
      <c r="K470" s="32" t="n">
        <f aca="false">F470</f>
        <v>38.357974035241</v>
      </c>
      <c r="L470" s="32" t="n">
        <f aca="false">C470*1000000/dt_s+J470/2</f>
        <v>11899.2928790579</v>
      </c>
      <c r="M470" s="32" t="n">
        <f aca="false">C470*1000000/dt_s+K470/2</f>
        <v>11855.8317647954</v>
      </c>
    </row>
    <row r="471" customFormat="false" ht="15" hidden="false" customHeight="false" outlineLevel="0" collapsed="false">
      <c r="A471" s="24" t="n">
        <f aca="false">ROUND(A470+0.01,2)</f>
        <v>75.66</v>
      </c>
      <c r="B471" s="25" t="n">
        <f aca="false">INDEX(Bang_F,MATCH(A471,Bang_Z,1))+(A471-INDEX(Bang_Z,MATCH(A471,Bang_Z,1)))*(INDEX(Bang_F,MATCH(A471,Bang_Z,1)+1)-INDEX(Bang_F,MATCH(A471,Bang_Z,1)))</f>
        <v>6.7504</v>
      </c>
      <c r="C471" s="25" t="n">
        <f aca="false">INDEX(Bang_W,MATCH(A471,Bang_Z,1))+(A471-INDEX(Bang_Z,MATCH(A471,Bang_Z,1)))*(INDEX(Bang_F,MATCH(A471,Bang_Z,1))+B471)/2</f>
        <v>42.679432</v>
      </c>
      <c r="D471" s="26" t="n">
        <f aca="false">MAX(A471-TC_Z,0)</f>
        <v>0.959999999999994</v>
      </c>
      <c r="E471" s="27" t="n">
        <f aca="false">1-0.2*(TC_xmb+(TC_n-1)*TC_xmt)*D471/(TC_n*TC_b)</f>
        <v>0.961777777777778</v>
      </c>
      <c r="F471" s="28" t="n">
        <f aca="false">TC_s*E471*TC_m*TC_n*TC_b*SQRT(2*g_)*D471^1.5</f>
        <v>38.9490934964952</v>
      </c>
      <c r="G471" s="29" t="n">
        <f aca="false">MAX(A471-SC_Z,0)</f>
        <v>4.66</v>
      </c>
      <c r="H471" s="30" t="n">
        <f aca="false">1-0.2*(SC_xmb+(SC_n-1)*SC_xmt)*G471/(SC_n*SC_b)</f>
        <v>0.86952</v>
      </c>
      <c r="I471" s="31" t="n">
        <f aca="false">SC_s*H471*SC_m*SC_n*SC_b*SQRT(2*g_)*G471^1.5</f>
        <v>87.1747017924747</v>
      </c>
      <c r="J471" s="32" t="n">
        <f aca="false">F471+I471</f>
        <v>126.12379528897</v>
      </c>
      <c r="K471" s="32" t="n">
        <f aca="false">F471</f>
        <v>38.9490934964952</v>
      </c>
      <c r="L471" s="32" t="n">
        <f aca="false">C471*1000000/dt_s+J471/2</f>
        <v>11918.4596754223</v>
      </c>
      <c r="M471" s="32" t="n">
        <f aca="false">C471*1000000/dt_s+K471/2</f>
        <v>11874.872324526</v>
      </c>
    </row>
    <row r="472" customFormat="false" ht="15" hidden="false" customHeight="false" outlineLevel="0" collapsed="false">
      <c r="A472" s="24" t="n">
        <f aca="false">ROUND(A471+0.01,2)</f>
        <v>75.67</v>
      </c>
      <c r="B472" s="25" t="n">
        <f aca="false">INDEX(Bang_F,MATCH(A472,Bang_Z,1))+(A472-INDEX(Bang_Z,MATCH(A472,Bang_Z,1)))*(INDEX(Bang_F,MATCH(A472,Bang_Z,1)+1)-INDEX(Bang_F,MATCH(A472,Bang_Z,1)))</f>
        <v>6.7548</v>
      </c>
      <c r="C472" s="25" t="n">
        <f aca="false">INDEX(Bang_W,MATCH(A472,Bang_Z,1))+(A472-INDEX(Bang_Z,MATCH(A472,Bang_Z,1)))*(INDEX(Bang_F,MATCH(A472,Bang_Z,1))+B472)/2</f>
        <v>42.746958</v>
      </c>
      <c r="D472" s="26" t="n">
        <f aca="false">MAX(A472-TC_Z,0)</f>
        <v>0.969999999999999</v>
      </c>
      <c r="E472" s="27" t="n">
        <f aca="false">1-0.2*(TC_xmb+(TC_n-1)*TC_xmt)*D472/(TC_n*TC_b)</f>
        <v>0.96137962962963</v>
      </c>
      <c r="F472" s="28" t="n">
        <f aca="false">TC_s*E472*TC_m*TC_n*TC_b*SQRT(2*g_)*D472^1.5</f>
        <v>39.5428787982181</v>
      </c>
      <c r="G472" s="29" t="n">
        <f aca="false">MAX(A472-SC_Z,0)</f>
        <v>4.67</v>
      </c>
      <c r="H472" s="30" t="n">
        <f aca="false">1-0.2*(SC_xmb+(SC_n-1)*SC_xmt)*G472/(SC_n*SC_b)</f>
        <v>0.86924</v>
      </c>
      <c r="I472" s="31" t="n">
        <f aca="false">SC_s*H472*SC_m*SC_n*SC_b*SQRT(2*g_)*G472^1.5</f>
        <v>87.4272954195034</v>
      </c>
      <c r="J472" s="32" t="n">
        <f aca="false">F472+I472</f>
        <v>126.970174217721</v>
      </c>
      <c r="K472" s="32" t="n">
        <f aca="false">F472</f>
        <v>39.5428787982181</v>
      </c>
      <c r="L472" s="32" t="n">
        <f aca="false">C472*1000000/dt_s+J472/2</f>
        <v>11937.6400871089</v>
      </c>
      <c r="M472" s="32" t="n">
        <f aca="false">C472*1000000/dt_s+K472/2</f>
        <v>11893.9264393991</v>
      </c>
    </row>
    <row r="473" customFormat="false" ht="15" hidden="false" customHeight="false" outlineLevel="0" collapsed="false">
      <c r="A473" s="24" t="n">
        <f aca="false">ROUND(A472+0.01,2)</f>
        <v>75.68</v>
      </c>
      <c r="B473" s="25" t="n">
        <f aca="false">INDEX(Bang_F,MATCH(A473,Bang_Z,1))+(A473-INDEX(Bang_Z,MATCH(A473,Bang_Z,1)))*(INDEX(Bang_F,MATCH(A473,Bang_Z,1)+1)-INDEX(Bang_F,MATCH(A473,Bang_Z,1)))</f>
        <v>6.7592</v>
      </c>
      <c r="C473" s="25" t="n">
        <f aca="false">INDEX(Bang_W,MATCH(A473,Bang_Z,1))+(A473-INDEX(Bang_Z,MATCH(A473,Bang_Z,1)))*(INDEX(Bang_F,MATCH(A473,Bang_Z,1))+B473)/2</f>
        <v>42.814528</v>
      </c>
      <c r="D473" s="26" t="n">
        <f aca="false">MAX(A473-TC_Z,0)</f>
        <v>0.980000000000004</v>
      </c>
      <c r="E473" s="27" t="n">
        <f aca="false">1-0.2*(TC_xmb+(TC_n-1)*TC_xmt)*D473/(TC_n*TC_b)</f>
        <v>0.960981481481481</v>
      </c>
      <c r="F473" s="28" t="n">
        <f aca="false">TC_s*E473*TC_m*TC_n*TC_b*SQRT(2*g_)*D473^1.5</f>
        <v>40.1393096360092</v>
      </c>
      <c r="G473" s="29" t="n">
        <f aca="false">MAX(A473-SC_Z,0)</f>
        <v>4.68000000000001</v>
      </c>
      <c r="H473" s="30" t="n">
        <f aca="false">1-0.2*(SC_xmb+(SC_n-1)*SC_xmt)*G473/(SC_n*SC_b)</f>
        <v>0.86896</v>
      </c>
      <c r="I473" s="31" t="n">
        <f aca="false">SC_s*H473*SC_m*SC_n*SC_b*SQRT(2*g_)*G473^1.5</f>
        <v>87.6800087928985</v>
      </c>
      <c r="J473" s="32" t="n">
        <f aca="false">F473+I473</f>
        <v>127.819318428908</v>
      </c>
      <c r="K473" s="32" t="n">
        <f aca="false">F473</f>
        <v>40.1393096360092</v>
      </c>
      <c r="L473" s="32" t="n">
        <f aca="false">C473*1000000/dt_s+J473/2</f>
        <v>11956.8341036589</v>
      </c>
      <c r="M473" s="32" t="n">
        <f aca="false">C473*1000000/dt_s+K473/2</f>
        <v>11912.9940992625</v>
      </c>
    </row>
    <row r="474" customFormat="false" ht="15" hidden="false" customHeight="false" outlineLevel="0" collapsed="false">
      <c r="A474" s="24" t="n">
        <f aca="false">ROUND(A473+0.01,2)</f>
        <v>75.69</v>
      </c>
      <c r="B474" s="25" t="n">
        <f aca="false">INDEX(Bang_F,MATCH(A474,Bang_Z,1))+(A474-INDEX(Bang_Z,MATCH(A474,Bang_Z,1)))*(INDEX(Bang_F,MATCH(A474,Bang_Z,1)+1)-INDEX(Bang_F,MATCH(A474,Bang_Z,1)))</f>
        <v>6.7636</v>
      </c>
      <c r="C474" s="25" t="n">
        <f aca="false">INDEX(Bang_W,MATCH(A474,Bang_Z,1))+(A474-INDEX(Bang_Z,MATCH(A474,Bang_Z,1)))*(INDEX(Bang_F,MATCH(A474,Bang_Z,1))+B474)/2</f>
        <v>42.882142</v>
      </c>
      <c r="D474" s="26" t="n">
        <f aca="false">MAX(A474-TC_Z,0)</f>
        <v>0.989999999999995</v>
      </c>
      <c r="E474" s="27" t="n">
        <f aca="false">1-0.2*(TC_xmb+(TC_n-1)*TC_xmt)*D474/(TC_n*TC_b)</f>
        <v>0.960583333333334</v>
      </c>
      <c r="F474" s="28" t="n">
        <f aca="false">TC_s*E474*TC_m*TC_n*TC_b*SQRT(2*g_)*D474^1.5</f>
        <v>40.738365983673</v>
      </c>
      <c r="G474" s="29" t="n">
        <f aca="false">MAX(A474-SC_Z,0)</f>
        <v>4.69</v>
      </c>
      <c r="H474" s="30" t="n">
        <f aca="false">1-0.2*(SC_xmb+(SC_n-1)*SC_xmt)*G474/(SC_n*SC_b)</f>
        <v>0.86868</v>
      </c>
      <c r="I474" s="31" t="n">
        <f aca="false">SC_s*H474*SC_m*SC_n*SC_b*SQRT(2*g_)*G474^1.5</f>
        <v>87.9328413009318</v>
      </c>
      <c r="J474" s="32" t="n">
        <f aca="false">F474+I474</f>
        <v>128.671207284605</v>
      </c>
      <c r="K474" s="32" t="n">
        <f aca="false">F474</f>
        <v>40.738365983673</v>
      </c>
      <c r="L474" s="32" t="n">
        <f aca="false">C474*1000000/dt_s+J474/2</f>
        <v>11976.0417147534</v>
      </c>
      <c r="M474" s="32" t="n">
        <f aca="false">C474*1000000/dt_s+K474/2</f>
        <v>11932.0752941029</v>
      </c>
    </row>
    <row r="475" customFormat="false" ht="15" hidden="false" customHeight="false" outlineLevel="0" collapsed="false">
      <c r="A475" s="24" t="n">
        <f aca="false">ROUND(A474+0.01,2)</f>
        <v>75.7</v>
      </c>
      <c r="B475" s="25" t="n">
        <f aca="false">INDEX(Bang_F,MATCH(A475,Bang_Z,1))+(A475-INDEX(Bang_Z,MATCH(A475,Bang_Z,1)))*(INDEX(Bang_F,MATCH(A475,Bang_Z,1)+1)-INDEX(Bang_F,MATCH(A475,Bang_Z,1)))</f>
        <v>6.768</v>
      </c>
      <c r="C475" s="25" t="n">
        <f aca="false">INDEX(Bang_W,MATCH(A475,Bang_Z,1))+(A475-INDEX(Bang_Z,MATCH(A475,Bang_Z,1)))*(INDEX(Bang_F,MATCH(A475,Bang_Z,1))+B475)/2</f>
        <v>42.9498</v>
      </c>
      <c r="D475" s="26" t="n">
        <f aca="false">MAX(A475-TC_Z,0)</f>
        <v>1</v>
      </c>
      <c r="E475" s="27" t="n">
        <f aca="false">1-0.2*(TC_xmb+(TC_n-1)*TC_xmt)*D475/(TC_n*TC_b)</f>
        <v>0.960185185185185</v>
      </c>
      <c r="F475" s="28" t="n">
        <f aca="false">TC_s*E475*TC_m*TC_n*TC_b*SQRT(2*g_)*D475^1.5</f>
        <v>41.3400280863475</v>
      </c>
      <c r="G475" s="29" t="n">
        <f aca="false">MAX(A475-SC_Z,0)</f>
        <v>4.7</v>
      </c>
      <c r="H475" s="30" t="n">
        <f aca="false">1-0.2*(SC_xmb+(SC_n-1)*SC_xmt)*G475/(SC_n*SC_b)</f>
        <v>0.8684</v>
      </c>
      <c r="I475" s="31" t="n">
        <f aca="false">SC_s*H475*SC_m*SC_n*SC_b*SQRT(2*g_)*G475^1.5</f>
        <v>88.1857923333177</v>
      </c>
      <c r="J475" s="32" t="n">
        <f aca="false">F475+I475</f>
        <v>129.525820419665</v>
      </c>
      <c r="K475" s="32" t="n">
        <f aca="false">F475</f>
        <v>41.3400280863475</v>
      </c>
      <c r="L475" s="32" t="n">
        <f aca="false">C475*1000000/dt_s+J475/2</f>
        <v>11995.2629102098</v>
      </c>
      <c r="M475" s="32" t="n">
        <f aca="false">C475*1000000/dt_s+K475/2</f>
        <v>11951.1700140432</v>
      </c>
    </row>
    <row r="476" customFormat="false" ht="15" hidden="false" customHeight="false" outlineLevel="0" collapsed="false">
      <c r="A476" s="24" t="n">
        <f aca="false">ROUND(A475+0.01,2)</f>
        <v>75.71</v>
      </c>
      <c r="B476" s="25" t="n">
        <f aca="false">INDEX(Bang_F,MATCH(A476,Bang_Z,1))+(A476-INDEX(Bang_Z,MATCH(A476,Bang_Z,1)))*(INDEX(Bang_F,MATCH(A476,Bang_Z,1)+1)-INDEX(Bang_F,MATCH(A476,Bang_Z,1)))</f>
        <v>6.7724</v>
      </c>
      <c r="C476" s="25" t="n">
        <f aca="false">INDEX(Bang_W,MATCH(A476,Bang_Z,1))+(A476-INDEX(Bang_Z,MATCH(A476,Bang_Z,1)))*(INDEX(Bang_F,MATCH(A476,Bang_Z,1))+B476)/2</f>
        <v>43.017502</v>
      </c>
      <c r="D476" s="26" t="n">
        <f aca="false">MAX(A476-TC_Z,0)</f>
        <v>1.00999999999999</v>
      </c>
      <c r="E476" s="27" t="n">
        <f aca="false">1-0.2*(TC_xmb+(TC_n-1)*TC_xmt)*D476/(TC_n*TC_b)</f>
        <v>0.959787037037037</v>
      </c>
      <c r="F476" s="28" t="n">
        <f aca="false">TC_s*E476*TC_m*TC_n*TC_b*SQRT(2*g_)*D476^1.5</f>
        <v>41.9442764538619</v>
      </c>
      <c r="G476" s="29" t="n">
        <f aca="false">MAX(A476-SC_Z,0)</f>
        <v>4.70999999999999</v>
      </c>
      <c r="H476" s="30" t="n">
        <f aca="false">1-0.2*(SC_xmb+(SC_n-1)*SC_xmt)*G476/(SC_n*SC_b)</f>
        <v>0.86812</v>
      </c>
      <c r="I476" s="31" t="n">
        <f aca="false">SC_s*H476*SC_m*SC_n*SC_b*SQRT(2*g_)*G476^1.5</f>
        <v>88.4388612812036</v>
      </c>
      <c r="J476" s="32" t="n">
        <f aca="false">F476+I476</f>
        <v>130.383137735066</v>
      </c>
      <c r="K476" s="32" t="n">
        <f aca="false">F476</f>
        <v>41.9442764538619</v>
      </c>
      <c r="L476" s="32" t="n">
        <f aca="false">C476*1000000/dt_s+J476/2</f>
        <v>12014.4976799786</v>
      </c>
      <c r="M476" s="32" t="n">
        <f aca="false">C476*1000000/dt_s+K476/2</f>
        <v>11970.278249338</v>
      </c>
    </row>
    <row r="477" customFormat="false" ht="15" hidden="false" customHeight="false" outlineLevel="0" collapsed="false">
      <c r="A477" s="24" t="n">
        <f aca="false">ROUND(A476+0.01,2)</f>
        <v>75.72</v>
      </c>
      <c r="B477" s="25" t="n">
        <f aca="false">INDEX(Bang_F,MATCH(A477,Bang_Z,1))+(A477-INDEX(Bang_Z,MATCH(A477,Bang_Z,1)))*(INDEX(Bang_F,MATCH(A477,Bang_Z,1)+1)-INDEX(Bang_F,MATCH(A477,Bang_Z,1)))</f>
        <v>6.7768</v>
      </c>
      <c r="C477" s="25" t="n">
        <f aca="false">INDEX(Bang_W,MATCH(A477,Bang_Z,1))+(A477-INDEX(Bang_Z,MATCH(A477,Bang_Z,1)))*(INDEX(Bang_F,MATCH(A477,Bang_Z,1))+B477)/2</f>
        <v>43.085248</v>
      </c>
      <c r="D477" s="26" t="n">
        <f aca="false">MAX(A477-TC_Z,0)</f>
        <v>1.02</v>
      </c>
      <c r="E477" s="27" t="n">
        <f aca="false">1-0.2*(TC_xmb+(TC_n-1)*TC_xmt)*D477/(TC_n*TC_b)</f>
        <v>0.959388888888889</v>
      </c>
      <c r="F477" s="28" t="n">
        <f aca="false">TC_s*E477*TC_m*TC_n*TC_b*SQRT(2*g_)*D477^1.5</f>
        <v>42.5510918543359</v>
      </c>
      <c r="G477" s="29" t="n">
        <f aca="false">MAX(A477-SC_Z,0)</f>
        <v>4.72</v>
      </c>
      <c r="H477" s="30" t="n">
        <f aca="false">1-0.2*(SC_xmb+(SC_n-1)*SC_xmt)*G477/(SC_n*SC_b)</f>
        <v>0.86784</v>
      </c>
      <c r="I477" s="31" t="n">
        <f aca="false">SC_s*H477*SC_m*SC_n*SC_b*SQRT(2*g_)*G477^1.5</f>
        <v>88.6920475371658</v>
      </c>
      <c r="J477" s="32" t="n">
        <f aca="false">F477+I477</f>
        <v>131.243139391502</v>
      </c>
      <c r="K477" s="32" t="n">
        <f aca="false">F477</f>
        <v>42.5510918543359</v>
      </c>
      <c r="L477" s="32" t="n">
        <f aca="false">C477*1000000/dt_s+J477/2</f>
        <v>12033.7460141402</v>
      </c>
      <c r="M477" s="32" t="n">
        <f aca="false">C477*1000000/dt_s+K477/2</f>
        <v>11989.3999903716</v>
      </c>
    </row>
    <row r="478" customFormat="false" ht="15" hidden="false" customHeight="false" outlineLevel="0" collapsed="false">
      <c r="A478" s="24" t="n">
        <f aca="false">ROUND(A477+0.01,2)</f>
        <v>75.73</v>
      </c>
      <c r="B478" s="25" t="n">
        <f aca="false">INDEX(Bang_F,MATCH(A478,Bang_Z,1))+(A478-INDEX(Bang_Z,MATCH(A478,Bang_Z,1)))*(INDEX(Bang_F,MATCH(A478,Bang_Z,1)+1)-INDEX(Bang_F,MATCH(A478,Bang_Z,1)))</f>
        <v>6.7812</v>
      </c>
      <c r="C478" s="25" t="n">
        <f aca="false">INDEX(Bang_W,MATCH(A478,Bang_Z,1))+(A478-INDEX(Bang_Z,MATCH(A478,Bang_Z,1)))*(INDEX(Bang_F,MATCH(A478,Bang_Z,1))+B478)/2</f>
        <v>43.153038</v>
      </c>
      <c r="D478" s="26" t="n">
        <f aca="false">MAX(A478-TC_Z,0)</f>
        <v>1.03</v>
      </c>
      <c r="E478" s="27" t="n">
        <f aca="false">1-0.2*(TC_xmb+(TC_n-1)*TC_xmt)*D478/(TC_n*TC_b)</f>
        <v>0.958990740740741</v>
      </c>
      <c r="F478" s="28" t="n">
        <f aca="false">TC_s*E478*TC_m*TC_n*TC_b*SQRT(2*g_)*D478^1.5</f>
        <v>43.1604553079835</v>
      </c>
      <c r="G478" s="29" t="n">
        <f aca="false">MAX(A478-SC_Z,0)</f>
        <v>4.73</v>
      </c>
      <c r="H478" s="30" t="n">
        <f aca="false">1-0.2*(SC_xmb+(SC_n-1)*SC_xmt)*G478/(SC_n*SC_b)</f>
        <v>0.86756</v>
      </c>
      <c r="I478" s="31" t="n">
        <f aca="false">SC_s*H478*SC_m*SC_n*SC_b*SQRT(2*g_)*G478^1.5</f>
        <v>88.9453504951995</v>
      </c>
      <c r="J478" s="32" t="n">
        <f aca="false">F478+I478</f>
        <v>132.105805803183</v>
      </c>
      <c r="K478" s="32" t="n">
        <f aca="false">F478</f>
        <v>43.1604553079835</v>
      </c>
      <c r="L478" s="32" t="n">
        <f aca="false">C478*1000000/dt_s+J478/2</f>
        <v>12053.0079029016</v>
      </c>
      <c r="M478" s="32" t="n">
        <f aca="false">C478*1000000/dt_s+K478/2</f>
        <v>12008.535227654</v>
      </c>
    </row>
    <row r="479" customFormat="false" ht="15" hidden="false" customHeight="false" outlineLevel="0" collapsed="false">
      <c r="A479" s="24" t="n">
        <f aca="false">ROUND(A478+0.01,2)</f>
        <v>75.74</v>
      </c>
      <c r="B479" s="25" t="n">
        <f aca="false">INDEX(Bang_F,MATCH(A479,Bang_Z,1))+(A479-INDEX(Bang_Z,MATCH(A479,Bang_Z,1)))*(INDEX(Bang_F,MATCH(A479,Bang_Z,1)+1)-INDEX(Bang_F,MATCH(A479,Bang_Z,1)))</f>
        <v>6.7856</v>
      </c>
      <c r="C479" s="25" t="n">
        <f aca="false">INDEX(Bang_W,MATCH(A479,Bang_Z,1))+(A479-INDEX(Bang_Z,MATCH(A479,Bang_Z,1)))*(INDEX(Bang_F,MATCH(A479,Bang_Z,1))+B479)/2</f>
        <v>43.220872</v>
      </c>
      <c r="D479" s="26" t="n">
        <f aca="false">MAX(A479-TC_Z,0)</f>
        <v>1.03999999999999</v>
      </c>
      <c r="E479" s="27" t="n">
        <f aca="false">1-0.2*(TC_xmb+(TC_n-1)*TC_xmt)*D479/(TC_n*TC_b)</f>
        <v>0.958592592592593</v>
      </c>
      <c r="F479" s="28" t="n">
        <f aca="false">TC_s*E479*TC_m*TC_n*TC_b*SQRT(2*g_)*D479^1.5</f>
        <v>43.772348081135</v>
      </c>
      <c r="G479" s="29" t="n">
        <f aca="false">MAX(A479-SC_Z,0)</f>
        <v>4.74</v>
      </c>
      <c r="H479" s="30" t="n">
        <f aca="false">1-0.2*(SC_xmb+(SC_n-1)*SC_xmt)*G479/(SC_n*SC_b)</f>
        <v>0.86728</v>
      </c>
      <c r="I479" s="31" t="n">
        <f aca="false">SC_s*H479*SC_m*SC_n*SC_b*SQRT(2*g_)*G479^1.5</f>
        <v>89.1987695507138</v>
      </c>
      <c r="J479" s="32" t="n">
        <f aca="false">F479+I479</f>
        <v>132.971117631849</v>
      </c>
      <c r="K479" s="32" t="n">
        <f aca="false">F479</f>
        <v>43.772348081135</v>
      </c>
      <c r="L479" s="32" t="n">
        <f aca="false">C479*1000000/dt_s+J479/2</f>
        <v>12072.2833365937</v>
      </c>
      <c r="M479" s="32" t="n">
        <f aca="false">C479*1000000/dt_s+K479/2</f>
        <v>12027.6839518183</v>
      </c>
    </row>
    <row r="480" customFormat="false" ht="15" hidden="false" customHeight="false" outlineLevel="0" collapsed="false">
      <c r="A480" s="24" t="n">
        <f aca="false">ROUND(A479+0.01,2)</f>
        <v>75.75</v>
      </c>
      <c r="B480" s="25" t="n">
        <f aca="false">INDEX(Bang_F,MATCH(A480,Bang_Z,1))+(A480-INDEX(Bang_Z,MATCH(A480,Bang_Z,1)))*(INDEX(Bang_F,MATCH(A480,Bang_Z,1)+1)-INDEX(Bang_F,MATCH(A480,Bang_Z,1)))</f>
        <v>6.79</v>
      </c>
      <c r="C480" s="25" t="n">
        <f aca="false">INDEX(Bang_W,MATCH(A480,Bang_Z,1))+(A480-INDEX(Bang_Z,MATCH(A480,Bang_Z,1)))*(INDEX(Bang_F,MATCH(A480,Bang_Z,1))+B480)/2</f>
        <v>43.28875</v>
      </c>
      <c r="D480" s="26" t="n">
        <f aca="false">MAX(A480-TC_Z,0)</f>
        <v>1.05</v>
      </c>
      <c r="E480" s="27" t="n">
        <f aca="false">1-0.2*(TC_xmb+(TC_n-1)*TC_xmt)*D480/(TC_n*TC_b)</f>
        <v>0.958194444444445</v>
      </c>
      <c r="F480" s="28" t="n">
        <f aca="false">TC_s*E480*TC_m*TC_n*TC_b*SQRT(2*g_)*D480^1.5</f>
        <v>44.3867516804574</v>
      </c>
      <c r="G480" s="29" t="n">
        <f aca="false">MAX(A480-SC_Z,0)</f>
        <v>4.75</v>
      </c>
      <c r="H480" s="30" t="n">
        <f aca="false">1-0.2*(SC_xmb+(SC_n-1)*SC_xmt)*G480/(SC_n*SC_b)</f>
        <v>0.867</v>
      </c>
      <c r="I480" s="31" t="n">
        <f aca="false">SC_s*H480*SC_m*SC_n*SC_b*SQRT(2*g_)*G480^1.5</f>
        <v>89.452304100525</v>
      </c>
      <c r="J480" s="32" t="n">
        <f aca="false">F480+I480</f>
        <v>133.839055780982</v>
      </c>
      <c r="K480" s="32" t="n">
        <f aca="false">F480</f>
        <v>44.3867516804574</v>
      </c>
      <c r="L480" s="32" t="n">
        <f aca="false">C480*1000000/dt_s+J480/2</f>
        <v>12091.5723056683</v>
      </c>
      <c r="M480" s="32" t="n">
        <f aca="false">C480*1000000/dt_s+K480/2</f>
        <v>12046.846153618</v>
      </c>
    </row>
    <row r="481" customFormat="false" ht="15" hidden="false" customHeight="false" outlineLevel="0" collapsed="false">
      <c r="A481" s="24" t="n">
        <f aca="false">ROUND(A480+0.01,2)</f>
        <v>75.76</v>
      </c>
      <c r="B481" s="25" t="n">
        <f aca="false">INDEX(Bang_F,MATCH(A481,Bang_Z,1))+(A481-INDEX(Bang_Z,MATCH(A481,Bang_Z,1)))*(INDEX(Bang_F,MATCH(A481,Bang_Z,1)+1)-INDEX(Bang_F,MATCH(A481,Bang_Z,1)))</f>
        <v>6.7944</v>
      </c>
      <c r="C481" s="25" t="n">
        <f aca="false">INDEX(Bang_W,MATCH(A481,Bang_Z,1))+(A481-INDEX(Bang_Z,MATCH(A481,Bang_Z,1)))*(INDEX(Bang_F,MATCH(A481,Bang_Z,1))+B481)/2</f>
        <v>43.356672</v>
      </c>
      <c r="D481" s="26" t="n">
        <f aca="false">MAX(A481-TC_Z,0)</f>
        <v>1.06</v>
      </c>
      <c r="E481" s="27" t="n">
        <f aca="false">1-0.2*(TC_xmb+(TC_n-1)*TC_xmt)*D481/(TC_n*TC_b)</f>
        <v>0.957796296296296</v>
      </c>
      <c r="F481" s="28" t="n">
        <f aca="false">TC_s*E481*TC_m*TC_n*TC_b*SQRT(2*g_)*D481^1.5</f>
        <v>45.0036478473589</v>
      </c>
      <c r="G481" s="29" t="n">
        <f aca="false">MAX(A481-SC_Z,0)</f>
        <v>4.76000000000001</v>
      </c>
      <c r="H481" s="30" t="n">
        <f aca="false">1-0.2*(SC_xmb+(SC_n-1)*SC_xmt)*G481/(SC_n*SC_b)</f>
        <v>0.86672</v>
      </c>
      <c r="I481" s="31" t="n">
        <f aca="false">SC_s*H481*SC_m*SC_n*SC_b*SQRT(2*g_)*G481^1.5</f>
        <v>89.7059535428479</v>
      </c>
      <c r="J481" s="32" t="n">
        <f aca="false">F481+I481</f>
        <v>134.709601390207</v>
      </c>
      <c r="K481" s="32" t="n">
        <f aca="false">F481</f>
        <v>45.0036478473589</v>
      </c>
      <c r="L481" s="32" t="n">
        <f aca="false">C481*1000000/dt_s+J481/2</f>
        <v>12110.8748006951</v>
      </c>
      <c r="M481" s="32" t="n">
        <f aca="false">C481*1000000/dt_s+K481/2</f>
        <v>12066.0218239237</v>
      </c>
    </row>
    <row r="482" customFormat="false" ht="15" hidden="false" customHeight="false" outlineLevel="0" collapsed="false">
      <c r="A482" s="24" t="n">
        <f aca="false">ROUND(A481+0.01,2)</f>
        <v>75.77</v>
      </c>
      <c r="B482" s="25" t="n">
        <f aca="false">INDEX(Bang_F,MATCH(A482,Bang_Z,1))+(A482-INDEX(Bang_Z,MATCH(A482,Bang_Z,1)))*(INDEX(Bang_F,MATCH(A482,Bang_Z,1)+1)-INDEX(Bang_F,MATCH(A482,Bang_Z,1)))</f>
        <v>6.7988</v>
      </c>
      <c r="C482" s="25" t="n">
        <f aca="false">INDEX(Bang_W,MATCH(A482,Bang_Z,1))+(A482-INDEX(Bang_Z,MATCH(A482,Bang_Z,1)))*(INDEX(Bang_F,MATCH(A482,Bang_Z,1))+B482)/2</f>
        <v>43.424638</v>
      </c>
      <c r="D482" s="26" t="n">
        <f aca="false">MAX(A482-TC_Z,0)</f>
        <v>1.06999999999999</v>
      </c>
      <c r="E482" s="27" t="n">
        <f aca="false">1-0.2*(TC_xmb+(TC_n-1)*TC_xmt)*D482/(TC_n*TC_b)</f>
        <v>0.957398148148148</v>
      </c>
      <c r="F482" s="28" t="n">
        <f aca="false">TC_s*E482*TC_m*TC_n*TC_b*SQRT(2*g_)*D482^1.5</f>
        <v>45.6230185525839</v>
      </c>
      <c r="G482" s="29" t="n">
        <f aca="false">MAX(A482-SC_Z,0)</f>
        <v>4.77</v>
      </c>
      <c r="H482" s="30" t="n">
        <f aca="false">1-0.2*(SC_xmb+(SC_n-1)*SC_xmt)*G482/(SC_n*SC_b)</f>
        <v>0.86644</v>
      </c>
      <c r="I482" s="31" t="n">
        <f aca="false">SC_s*H482*SC_m*SC_n*SC_b*SQRT(2*g_)*G482^1.5</f>
        <v>89.9597172772901</v>
      </c>
      <c r="J482" s="32" t="n">
        <f aca="false">F482+I482</f>
        <v>135.582735829874</v>
      </c>
      <c r="K482" s="32" t="n">
        <f aca="false">F482</f>
        <v>45.6230185525839</v>
      </c>
      <c r="L482" s="32" t="n">
        <f aca="false">C482*1000000/dt_s+J482/2</f>
        <v>12130.1908123594</v>
      </c>
      <c r="M482" s="32" t="n">
        <f aca="false">C482*1000000/dt_s+K482/2</f>
        <v>12085.2109537207</v>
      </c>
    </row>
    <row r="483" customFormat="false" ht="15" hidden="false" customHeight="false" outlineLevel="0" collapsed="false">
      <c r="A483" s="24" t="n">
        <f aca="false">ROUND(A482+0.01,2)</f>
        <v>75.78</v>
      </c>
      <c r="B483" s="25" t="n">
        <f aca="false">INDEX(Bang_F,MATCH(A483,Bang_Z,1))+(A483-INDEX(Bang_Z,MATCH(A483,Bang_Z,1)))*(INDEX(Bang_F,MATCH(A483,Bang_Z,1)+1)-INDEX(Bang_F,MATCH(A483,Bang_Z,1)))</f>
        <v>6.8032</v>
      </c>
      <c r="C483" s="25" t="n">
        <f aca="false">INDEX(Bang_W,MATCH(A483,Bang_Z,1))+(A483-INDEX(Bang_Z,MATCH(A483,Bang_Z,1)))*(INDEX(Bang_F,MATCH(A483,Bang_Z,1))+B483)/2</f>
        <v>43.492648</v>
      </c>
      <c r="D483" s="26" t="n">
        <f aca="false">MAX(A483-TC_Z,0)</f>
        <v>1.08</v>
      </c>
      <c r="E483" s="27" t="n">
        <f aca="false">1-0.2*(TC_xmb+(TC_n-1)*TC_xmt)*D483/(TC_n*TC_b)</f>
        <v>0.957</v>
      </c>
      <c r="F483" s="28" t="n">
        <f aca="false">TC_s*E483*TC_m*TC_n*TC_b*SQRT(2*g_)*D483^1.5</f>
        <v>46.2448459909834</v>
      </c>
      <c r="G483" s="29" t="n">
        <f aca="false">MAX(A483-SC_Z,0)</f>
        <v>4.78</v>
      </c>
      <c r="H483" s="30" t="n">
        <f aca="false">1-0.2*(SC_xmb+(SC_n-1)*SC_xmt)*G483/(SC_n*SC_b)</f>
        <v>0.86616</v>
      </c>
      <c r="I483" s="31" t="n">
        <f aca="false">SC_s*H483*SC_m*SC_n*SC_b*SQRT(2*g_)*G483^1.5</f>
        <v>90.2135947048465</v>
      </c>
      <c r="J483" s="32" t="n">
        <f aca="false">F483+I483</f>
        <v>136.45844069583</v>
      </c>
      <c r="K483" s="32" t="n">
        <f aca="false">F483</f>
        <v>46.2448459909834</v>
      </c>
      <c r="L483" s="32" t="n">
        <f aca="false">C483*1000000/dt_s+J483/2</f>
        <v>12149.520331459</v>
      </c>
      <c r="M483" s="32" t="n">
        <f aca="false">C483*1000000/dt_s+K483/2</f>
        <v>12104.4135341066</v>
      </c>
    </row>
    <row r="484" customFormat="false" ht="15" hidden="false" customHeight="false" outlineLevel="0" collapsed="false">
      <c r="A484" s="24" t="n">
        <f aca="false">ROUND(A483+0.01,2)</f>
        <v>75.79</v>
      </c>
      <c r="B484" s="25" t="n">
        <f aca="false">INDEX(Bang_F,MATCH(A484,Bang_Z,1))+(A484-INDEX(Bang_Z,MATCH(A484,Bang_Z,1)))*(INDEX(Bang_F,MATCH(A484,Bang_Z,1)+1)-INDEX(Bang_F,MATCH(A484,Bang_Z,1)))</f>
        <v>6.8076</v>
      </c>
      <c r="C484" s="25" t="n">
        <f aca="false">INDEX(Bang_W,MATCH(A484,Bang_Z,1))+(A484-INDEX(Bang_Z,MATCH(A484,Bang_Z,1)))*(INDEX(Bang_F,MATCH(A484,Bang_Z,1))+B484)/2</f>
        <v>43.560702</v>
      </c>
      <c r="D484" s="26" t="n">
        <f aca="false">MAX(A484-TC_Z,0)</f>
        <v>1.09</v>
      </c>
      <c r="E484" s="27" t="n">
        <f aca="false">1-0.2*(TC_xmb+(TC_n-1)*TC_xmt)*D484/(TC_n*TC_b)</f>
        <v>0.956601851851852</v>
      </c>
      <c r="F484" s="28" t="n">
        <f aca="false">TC_s*E484*TC_m*TC_n*TC_b*SQRT(2*g_)*D484^1.5</f>
        <v>46.8691125764453</v>
      </c>
      <c r="G484" s="29" t="n">
        <f aca="false">MAX(A484-SC_Z,0)</f>
        <v>4.79000000000001</v>
      </c>
      <c r="H484" s="30" t="n">
        <f aca="false">1-0.2*(SC_xmb+(SC_n-1)*SC_xmt)*G484/(SC_n*SC_b)</f>
        <v>0.86588</v>
      </c>
      <c r="I484" s="31" t="n">
        <f aca="false">SC_s*H484*SC_m*SC_n*SC_b*SQRT(2*g_)*G484^1.5</f>
        <v>90.4675852278898</v>
      </c>
      <c r="J484" s="32" t="n">
        <f aca="false">F484+I484</f>
        <v>137.336697804335</v>
      </c>
      <c r="K484" s="32" t="n">
        <f aca="false">F484</f>
        <v>46.8691125764453</v>
      </c>
      <c r="L484" s="32" t="n">
        <f aca="false">C484*1000000/dt_s+J484/2</f>
        <v>12168.8633489022</v>
      </c>
      <c r="M484" s="32" t="n">
        <f aca="false">C484*1000000/dt_s+K484/2</f>
        <v>12123.6295562882</v>
      </c>
    </row>
    <row r="485" customFormat="false" ht="15" hidden="false" customHeight="false" outlineLevel="0" collapsed="false">
      <c r="A485" s="24" t="n">
        <f aca="false">ROUND(A484+0.01,2)</f>
        <v>75.8</v>
      </c>
      <c r="B485" s="25" t="n">
        <f aca="false">INDEX(Bang_F,MATCH(A485,Bang_Z,1))+(A485-INDEX(Bang_Z,MATCH(A485,Bang_Z,1)))*(INDEX(Bang_F,MATCH(A485,Bang_Z,1)+1)-INDEX(Bang_F,MATCH(A485,Bang_Z,1)))</f>
        <v>6.812</v>
      </c>
      <c r="C485" s="25" t="n">
        <f aca="false">INDEX(Bang_W,MATCH(A485,Bang_Z,1))+(A485-INDEX(Bang_Z,MATCH(A485,Bang_Z,1)))*(INDEX(Bang_F,MATCH(A485,Bang_Z,1))+B485)/2</f>
        <v>43.6288</v>
      </c>
      <c r="D485" s="26" t="n">
        <f aca="false">MAX(A485-TC_Z,0)</f>
        <v>1.09999999999999</v>
      </c>
      <c r="E485" s="27" t="n">
        <f aca="false">1-0.2*(TC_xmb+(TC_n-1)*TC_xmt)*D485/(TC_n*TC_b)</f>
        <v>0.956203703703704</v>
      </c>
      <c r="F485" s="28" t="n">
        <f aca="false">TC_s*E485*TC_m*TC_n*TC_b*SQRT(2*g_)*D485^1.5</f>
        <v>47.4958009369941</v>
      </c>
      <c r="G485" s="29" t="n">
        <f aca="false">MAX(A485-SC_Z,0)</f>
        <v>4.8</v>
      </c>
      <c r="H485" s="30" t="n">
        <f aca="false">1-0.2*(SC_xmb+(SC_n-1)*SC_xmt)*G485/(SC_n*SC_b)</f>
        <v>0.8656</v>
      </c>
      <c r="I485" s="31" t="n">
        <f aca="false">SC_s*H485*SC_m*SC_n*SC_b*SQRT(2*g_)*G485^1.5</f>
        <v>90.7216882501655</v>
      </c>
      <c r="J485" s="32" t="n">
        <f aca="false">F485+I485</f>
        <v>138.21748918716</v>
      </c>
      <c r="K485" s="32" t="n">
        <f aca="false">F485</f>
        <v>47.4958009369941</v>
      </c>
      <c r="L485" s="32" t="n">
        <f aca="false">C485*1000000/dt_s+J485/2</f>
        <v>12188.2198557047</v>
      </c>
      <c r="M485" s="32" t="n">
        <f aca="false">C485*1000000/dt_s+K485/2</f>
        <v>12142.8590115796</v>
      </c>
    </row>
    <row r="486" customFormat="false" ht="15" hidden="false" customHeight="false" outlineLevel="0" collapsed="false">
      <c r="A486" s="24" t="n">
        <f aca="false">ROUND(A485+0.01,2)</f>
        <v>75.81</v>
      </c>
      <c r="B486" s="25" t="n">
        <f aca="false">INDEX(Bang_F,MATCH(A486,Bang_Z,1))+(A486-INDEX(Bang_Z,MATCH(A486,Bang_Z,1)))*(INDEX(Bang_F,MATCH(A486,Bang_Z,1)+1)-INDEX(Bang_F,MATCH(A486,Bang_Z,1)))</f>
        <v>6.8164</v>
      </c>
      <c r="C486" s="25" t="n">
        <f aca="false">INDEX(Bang_W,MATCH(A486,Bang_Z,1))+(A486-INDEX(Bang_Z,MATCH(A486,Bang_Z,1)))*(INDEX(Bang_F,MATCH(A486,Bang_Z,1))+B486)/2</f>
        <v>43.696942</v>
      </c>
      <c r="D486" s="26" t="n">
        <f aca="false">MAX(A486-TC_Z,0)</f>
        <v>1.11</v>
      </c>
      <c r="E486" s="27" t="n">
        <f aca="false">1-0.2*(TC_xmb+(TC_n-1)*TC_xmt)*D486/(TC_n*TC_b)</f>
        <v>0.955805555555556</v>
      </c>
      <c r="F486" s="28" t="n">
        <f aca="false">TC_s*E486*TC_m*TC_n*TC_b*SQRT(2*g_)*D486^1.5</f>
        <v>48.1248939100453</v>
      </c>
      <c r="G486" s="29" t="n">
        <f aca="false">MAX(A486-SC_Z,0)</f>
        <v>4.81</v>
      </c>
      <c r="H486" s="30" t="n">
        <f aca="false">1-0.2*(SC_xmb+(SC_n-1)*SC_xmt)*G486/(SC_n*SC_b)</f>
        <v>0.86532</v>
      </c>
      <c r="I486" s="31" t="n">
        <f aca="false">SC_s*H486*SC_m*SC_n*SC_b*SQRT(2*g_)*G486^1.5</f>
        <v>90.9759031767861</v>
      </c>
      <c r="J486" s="32" t="n">
        <f aca="false">F486+I486</f>
        <v>139.100797086831</v>
      </c>
      <c r="K486" s="32" t="n">
        <f aca="false">F486</f>
        <v>48.1248939100453</v>
      </c>
      <c r="L486" s="32" t="n">
        <f aca="false">C486*1000000/dt_s+J486/2</f>
        <v>12207.5898429879</v>
      </c>
      <c r="M486" s="32" t="n">
        <f aca="false">C486*1000000/dt_s+K486/2</f>
        <v>12162.1018913995</v>
      </c>
    </row>
    <row r="487" customFormat="false" ht="15" hidden="false" customHeight="false" outlineLevel="0" collapsed="false">
      <c r="A487" s="24" t="n">
        <f aca="false">ROUND(A486+0.01,2)</f>
        <v>75.82</v>
      </c>
      <c r="B487" s="25" t="n">
        <f aca="false">INDEX(Bang_F,MATCH(A487,Bang_Z,1))+(A487-INDEX(Bang_Z,MATCH(A487,Bang_Z,1)))*(INDEX(Bang_F,MATCH(A487,Bang_Z,1)+1)-INDEX(Bang_F,MATCH(A487,Bang_Z,1)))</f>
        <v>6.8208</v>
      </c>
      <c r="C487" s="25" t="n">
        <f aca="false">INDEX(Bang_W,MATCH(A487,Bang_Z,1))+(A487-INDEX(Bang_Z,MATCH(A487,Bang_Z,1)))*(INDEX(Bang_F,MATCH(A487,Bang_Z,1))+B487)/2</f>
        <v>43.765128</v>
      </c>
      <c r="D487" s="26" t="n">
        <f aca="false">MAX(A487-TC_Z,0)</f>
        <v>1.11999999999999</v>
      </c>
      <c r="E487" s="27" t="n">
        <f aca="false">1-0.2*(TC_xmb+(TC_n-1)*TC_xmt)*D487/(TC_n*TC_b)</f>
        <v>0.955407407407408</v>
      </c>
      <c r="F487" s="28" t="n">
        <f aca="false">TC_s*E487*TC_m*TC_n*TC_b*SQRT(2*g_)*D487^1.5</f>
        <v>48.7563745377981</v>
      </c>
      <c r="G487" s="29" t="n">
        <f aca="false">MAX(A487-SC_Z,0)</f>
        <v>4.81999999999999</v>
      </c>
      <c r="H487" s="30" t="n">
        <f aca="false">1-0.2*(SC_xmb+(SC_n-1)*SC_xmt)*G487/(SC_n*SC_b)</f>
        <v>0.86504</v>
      </c>
      <c r="I487" s="31" t="n">
        <f aca="false">SC_s*H487*SC_m*SC_n*SC_b*SQRT(2*g_)*G487^1.5</f>
        <v>91.230229414222</v>
      </c>
      <c r="J487" s="32" t="n">
        <f aca="false">F487+I487</f>
        <v>139.98660395202</v>
      </c>
      <c r="K487" s="32" t="n">
        <f aca="false">F487</f>
        <v>48.7563745377981</v>
      </c>
      <c r="L487" s="32" t="n">
        <f aca="false">C487*1000000/dt_s+J487/2</f>
        <v>12226.973301976</v>
      </c>
      <c r="M487" s="32" t="n">
        <f aca="false">C487*1000000/dt_s+K487/2</f>
        <v>12181.3581872689</v>
      </c>
    </row>
    <row r="488" customFormat="false" ht="15" hidden="false" customHeight="false" outlineLevel="0" collapsed="false">
      <c r="A488" s="24" t="n">
        <f aca="false">ROUND(A487+0.01,2)</f>
        <v>75.83</v>
      </c>
      <c r="B488" s="25" t="n">
        <f aca="false">INDEX(Bang_F,MATCH(A488,Bang_Z,1))+(A488-INDEX(Bang_Z,MATCH(A488,Bang_Z,1)))*(INDEX(Bang_F,MATCH(A488,Bang_Z,1)+1)-INDEX(Bang_F,MATCH(A488,Bang_Z,1)))</f>
        <v>6.8252</v>
      </c>
      <c r="C488" s="25" t="n">
        <f aca="false">INDEX(Bang_W,MATCH(A488,Bang_Z,1))+(A488-INDEX(Bang_Z,MATCH(A488,Bang_Z,1)))*(INDEX(Bang_F,MATCH(A488,Bang_Z,1))+B488)/2</f>
        <v>43.833358</v>
      </c>
      <c r="D488" s="26" t="n">
        <f aca="false">MAX(A488-TC_Z,0)</f>
        <v>1.13</v>
      </c>
      <c r="E488" s="27" t="n">
        <f aca="false">1-0.2*(TC_xmb+(TC_n-1)*TC_xmt)*D488/(TC_n*TC_b)</f>
        <v>0.955009259259259</v>
      </c>
      <c r="F488" s="28" t="n">
        <f aca="false">TC_s*E488*TC_m*TC_n*TC_b*SQRT(2*g_)*D488^1.5</f>
        <v>49.3902260627858</v>
      </c>
      <c r="G488" s="29" t="n">
        <f aca="false">MAX(A488-SC_Z,0)</f>
        <v>4.83</v>
      </c>
      <c r="H488" s="30" t="n">
        <f aca="false">1-0.2*(SC_xmb+(SC_n-1)*SC_xmt)*G488/(SC_n*SC_b)</f>
        <v>0.86476</v>
      </c>
      <c r="I488" s="31" t="n">
        <f aca="false">SC_s*H488*SC_m*SC_n*SC_b*SQRT(2*g_)*G488^1.5</f>
        <v>91.4846663702978</v>
      </c>
      <c r="J488" s="32" t="n">
        <f aca="false">F488+I488</f>
        <v>140.874892433084</v>
      </c>
      <c r="K488" s="32" t="n">
        <f aca="false">F488</f>
        <v>49.3902260627858</v>
      </c>
      <c r="L488" s="32" t="n">
        <f aca="false">C488*1000000/dt_s+J488/2</f>
        <v>12246.3702239943</v>
      </c>
      <c r="M488" s="32" t="n">
        <f aca="false">C488*1000000/dt_s+K488/2</f>
        <v>12200.6278908092</v>
      </c>
    </row>
    <row r="489" customFormat="false" ht="15" hidden="false" customHeight="false" outlineLevel="0" collapsed="false">
      <c r="A489" s="24" t="n">
        <f aca="false">ROUND(A488+0.01,2)</f>
        <v>75.84</v>
      </c>
      <c r="B489" s="25" t="n">
        <f aca="false">INDEX(Bang_F,MATCH(A489,Bang_Z,1))+(A489-INDEX(Bang_Z,MATCH(A489,Bang_Z,1)))*(INDEX(Bang_F,MATCH(A489,Bang_Z,1)+1)-INDEX(Bang_F,MATCH(A489,Bang_Z,1)))</f>
        <v>6.8296</v>
      </c>
      <c r="C489" s="25" t="n">
        <f aca="false">INDEX(Bang_W,MATCH(A489,Bang_Z,1))+(A489-INDEX(Bang_Z,MATCH(A489,Bang_Z,1)))*(INDEX(Bang_F,MATCH(A489,Bang_Z,1))+B489)/2</f>
        <v>43.901632</v>
      </c>
      <c r="D489" s="26" t="n">
        <f aca="false">MAX(A489-TC_Z,0)</f>
        <v>1.14</v>
      </c>
      <c r="E489" s="27" t="n">
        <f aca="false">1-0.2*(TC_xmb+(TC_n-1)*TC_xmt)*D489/(TC_n*TC_b)</f>
        <v>0.954611111111111</v>
      </c>
      <c r="F489" s="28" t="n">
        <f aca="false">TC_s*E489*TC_m*TC_n*TC_b*SQRT(2*g_)*D489^1.5</f>
        <v>50.0264319235476</v>
      </c>
      <c r="G489" s="29" t="n">
        <f aca="false">MAX(A489-SC_Z,0)</f>
        <v>4.84</v>
      </c>
      <c r="H489" s="30" t="n">
        <f aca="false">1-0.2*(SC_xmb+(SC_n-1)*SC_xmt)*G489/(SC_n*SC_b)</f>
        <v>0.86448</v>
      </c>
      <c r="I489" s="31" t="n">
        <f aca="false">SC_s*H489*SC_m*SC_n*SC_b*SQRT(2*g_)*G489^1.5</f>
        <v>91.7392134541834</v>
      </c>
      <c r="J489" s="32" t="n">
        <f aca="false">F489+I489</f>
        <v>141.765645377731</v>
      </c>
      <c r="K489" s="32" t="n">
        <f aca="false">F489</f>
        <v>50.0264319235476</v>
      </c>
      <c r="L489" s="32" t="n">
        <f aca="false">C489*1000000/dt_s+J489/2</f>
        <v>12265.7806004666</v>
      </c>
      <c r="M489" s="32" t="n">
        <f aca="false">C489*1000000/dt_s+K489/2</f>
        <v>12219.9109937396</v>
      </c>
    </row>
    <row r="490" customFormat="false" ht="15" hidden="false" customHeight="false" outlineLevel="0" collapsed="false">
      <c r="A490" s="24" t="n">
        <f aca="false">ROUND(A489+0.01,2)</f>
        <v>75.85</v>
      </c>
      <c r="B490" s="25" t="n">
        <f aca="false">INDEX(Bang_F,MATCH(A490,Bang_Z,1))+(A490-INDEX(Bang_Z,MATCH(A490,Bang_Z,1)))*(INDEX(Bang_F,MATCH(A490,Bang_Z,1)+1)-INDEX(Bang_F,MATCH(A490,Bang_Z,1)))</f>
        <v>6.834</v>
      </c>
      <c r="C490" s="25" t="n">
        <f aca="false">INDEX(Bang_W,MATCH(A490,Bang_Z,1))+(A490-INDEX(Bang_Z,MATCH(A490,Bang_Z,1)))*(INDEX(Bang_F,MATCH(A490,Bang_Z,1))+B490)/2</f>
        <v>43.96995</v>
      </c>
      <c r="D490" s="26" t="n">
        <f aca="false">MAX(A490-TC_Z,0)</f>
        <v>1.14999999999999</v>
      </c>
      <c r="E490" s="27" t="n">
        <f aca="false">1-0.2*(TC_xmb+(TC_n-1)*TC_xmt)*D490/(TC_n*TC_b)</f>
        <v>0.954212962962963</v>
      </c>
      <c r="F490" s="28" t="n">
        <f aca="false">TC_s*E490*TC_m*TC_n*TC_b*SQRT(2*g_)*D490^1.5</f>
        <v>50.664975750442</v>
      </c>
      <c r="G490" s="29" t="n">
        <f aca="false">MAX(A490-SC_Z,0)</f>
        <v>4.84999999999999</v>
      </c>
      <c r="H490" s="30" t="n">
        <f aca="false">1-0.2*(SC_xmb+(SC_n-1)*SC_xmt)*G490/(SC_n*SC_b)</f>
        <v>0.8642</v>
      </c>
      <c r="I490" s="31" t="n">
        <f aca="false">SC_s*H490*SC_m*SC_n*SC_b*SQRT(2*g_)*G490^1.5</f>
        <v>91.9938700763887</v>
      </c>
      <c r="J490" s="32" t="n">
        <f aca="false">F490+I490</f>
        <v>142.658845826831</v>
      </c>
      <c r="K490" s="32" t="n">
        <f aca="false">F490</f>
        <v>50.664975750442</v>
      </c>
      <c r="L490" s="32" t="n">
        <f aca="false">C490*1000000/dt_s+J490/2</f>
        <v>12285.2044229134</v>
      </c>
      <c r="M490" s="32" t="n">
        <f aca="false">C490*1000000/dt_s+K490/2</f>
        <v>12239.2074878752</v>
      </c>
    </row>
    <row r="491" customFormat="false" ht="15" hidden="false" customHeight="false" outlineLevel="0" collapsed="false">
      <c r="A491" s="24" t="n">
        <f aca="false">ROUND(A490+0.01,2)</f>
        <v>75.86</v>
      </c>
      <c r="B491" s="25" t="n">
        <f aca="false">INDEX(Bang_F,MATCH(A491,Bang_Z,1))+(A491-INDEX(Bang_Z,MATCH(A491,Bang_Z,1)))*(INDEX(Bang_F,MATCH(A491,Bang_Z,1)+1)-INDEX(Bang_F,MATCH(A491,Bang_Z,1)))</f>
        <v>6.8384</v>
      </c>
      <c r="C491" s="25" t="n">
        <f aca="false">INDEX(Bang_W,MATCH(A491,Bang_Z,1))+(A491-INDEX(Bang_Z,MATCH(A491,Bang_Z,1)))*(INDEX(Bang_F,MATCH(A491,Bang_Z,1))+B491)/2</f>
        <v>44.038312</v>
      </c>
      <c r="D491" s="26" t="n">
        <f aca="false">MAX(A491-TC_Z,0)</f>
        <v>1.16</v>
      </c>
      <c r="E491" s="27" t="n">
        <f aca="false">1-0.2*(TC_xmb+(TC_n-1)*TC_xmt)*D491/(TC_n*TC_b)</f>
        <v>0.953814814814815</v>
      </c>
      <c r="F491" s="28" t="n">
        <f aca="false">TC_s*E491*TC_m*TC_n*TC_b*SQRT(2*g_)*D491^1.5</f>
        <v>51.3058413615859</v>
      </c>
      <c r="G491" s="29" t="n">
        <f aca="false">MAX(A491-SC_Z,0)</f>
        <v>4.86</v>
      </c>
      <c r="H491" s="30" t="n">
        <f aca="false">1-0.2*(SC_xmb+(SC_n-1)*SC_xmt)*G491/(SC_n*SC_b)</f>
        <v>0.86392</v>
      </c>
      <c r="I491" s="31" t="n">
        <f aca="false">SC_s*H491*SC_m*SC_n*SC_b*SQRT(2*g_)*G491^1.5</f>
        <v>92.2486356487581</v>
      </c>
      <c r="J491" s="32" t="n">
        <f aca="false">F491+I491</f>
        <v>143.554477010344</v>
      </c>
      <c r="K491" s="32" t="n">
        <f aca="false">F491</f>
        <v>51.3058413615859</v>
      </c>
      <c r="L491" s="32" t="n">
        <f aca="false">C491*1000000/dt_s+J491/2</f>
        <v>12304.6416829496</v>
      </c>
      <c r="M491" s="32" t="n">
        <f aca="false">C491*1000000/dt_s+K491/2</f>
        <v>12258.5173651252</v>
      </c>
    </row>
    <row r="492" customFormat="false" ht="15" hidden="false" customHeight="false" outlineLevel="0" collapsed="false">
      <c r="A492" s="24" t="n">
        <f aca="false">ROUND(A491+0.01,2)</f>
        <v>75.87</v>
      </c>
      <c r="B492" s="25" t="n">
        <f aca="false">INDEX(Bang_F,MATCH(A492,Bang_Z,1))+(A492-INDEX(Bang_Z,MATCH(A492,Bang_Z,1)))*(INDEX(Bang_F,MATCH(A492,Bang_Z,1)+1)-INDEX(Bang_F,MATCH(A492,Bang_Z,1)))</f>
        <v>6.8428</v>
      </c>
      <c r="C492" s="25" t="n">
        <f aca="false">INDEX(Bang_W,MATCH(A492,Bang_Z,1))+(A492-INDEX(Bang_Z,MATCH(A492,Bang_Z,1)))*(INDEX(Bang_F,MATCH(A492,Bang_Z,1))+B492)/2</f>
        <v>44.106718</v>
      </c>
      <c r="D492" s="26" t="n">
        <f aca="false">MAX(A492-TC_Z,0)</f>
        <v>1.17</v>
      </c>
      <c r="E492" s="27" t="n">
        <f aca="false">1-0.2*(TC_xmb+(TC_n-1)*TC_xmt)*D492/(TC_n*TC_b)</f>
        <v>0.953416666666667</v>
      </c>
      <c r="F492" s="28" t="n">
        <f aca="false">TC_s*E492*TC_m*TC_n*TC_b*SQRT(2*g_)*D492^1.5</f>
        <v>51.949012758907</v>
      </c>
      <c r="G492" s="29" t="n">
        <f aca="false">MAX(A492-SC_Z,0)</f>
        <v>4.87</v>
      </c>
      <c r="H492" s="30" t="n">
        <f aca="false">1-0.2*(SC_xmb+(SC_n-1)*SC_xmt)*G492/(SC_n*SC_b)</f>
        <v>0.86364</v>
      </c>
      <c r="I492" s="31" t="n">
        <f aca="false">SC_s*H492*SC_m*SC_n*SC_b*SQRT(2*g_)*G492^1.5</f>
        <v>92.5035095844619</v>
      </c>
      <c r="J492" s="32" t="n">
        <f aca="false">F492+I492</f>
        <v>144.452522343369</v>
      </c>
      <c r="K492" s="32" t="n">
        <f aca="false">F492</f>
        <v>51.949012758907</v>
      </c>
      <c r="L492" s="32" t="n">
        <f aca="false">C492*1000000/dt_s+J492/2</f>
        <v>12324.0923722828</v>
      </c>
      <c r="M492" s="32" t="n">
        <f aca="false">C492*1000000/dt_s+K492/2</f>
        <v>12277.8406174906</v>
      </c>
    </row>
    <row r="493" customFormat="false" ht="15" hidden="false" customHeight="false" outlineLevel="0" collapsed="false">
      <c r="A493" s="24" t="n">
        <f aca="false">ROUND(A492+0.01,2)</f>
        <v>75.88</v>
      </c>
      <c r="B493" s="25" t="n">
        <f aca="false">INDEX(Bang_F,MATCH(A493,Bang_Z,1))+(A493-INDEX(Bang_Z,MATCH(A493,Bang_Z,1)))*(INDEX(Bang_F,MATCH(A493,Bang_Z,1)+1)-INDEX(Bang_F,MATCH(A493,Bang_Z,1)))</f>
        <v>6.8472</v>
      </c>
      <c r="C493" s="25" t="n">
        <f aca="false">INDEX(Bang_W,MATCH(A493,Bang_Z,1))+(A493-INDEX(Bang_Z,MATCH(A493,Bang_Z,1)))*(INDEX(Bang_F,MATCH(A493,Bang_Z,1))+B493)/2</f>
        <v>44.175168</v>
      </c>
      <c r="D493" s="26" t="n">
        <f aca="false">MAX(A493-TC_Z,0)</f>
        <v>1.17999999999999</v>
      </c>
      <c r="E493" s="27" t="n">
        <f aca="false">1-0.2*(TC_xmb+(TC_n-1)*TC_xmt)*D493/(TC_n*TC_b)</f>
        <v>0.953018518518519</v>
      </c>
      <c r="F493" s="28" t="n">
        <f aca="false">TC_s*E493*TC_m*TC_n*TC_b*SQRT(2*g_)*D493^1.5</f>
        <v>52.5944741243215</v>
      </c>
      <c r="G493" s="29" t="n">
        <f aca="false">MAX(A493-SC_Z,0)</f>
        <v>4.88</v>
      </c>
      <c r="H493" s="30" t="n">
        <f aca="false">1-0.2*(SC_xmb+(SC_n-1)*SC_xmt)*G493/(SC_n*SC_b)</f>
        <v>0.86336</v>
      </c>
      <c r="I493" s="31" t="n">
        <f aca="false">SC_s*H493*SC_m*SC_n*SC_b*SQRT(2*g_)*G493^1.5</f>
        <v>92.7584912979913</v>
      </c>
      <c r="J493" s="32" t="n">
        <f aca="false">F493+I493</f>
        <v>145.352965422313</v>
      </c>
      <c r="K493" s="32" t="n">
        <f aca="false">F493</f>
        <v>52.5944741243215</v>
      </c>
      <c r="L493" s="32" t="n">
        <f aca="false">C493*1000000/dt_s+J493/2</f>
        <v>12343.5564827111</v>
      </c>
      <c r="M493" s="32" t="n">
        <f aca="false">C493*1000000/dt_s+K493/2</f>
        <v>12297.1772370622</v>
      </c>
    </row>
    <row r="494" customFormat="false" ht="15" hidden="false" customHeight="false" outlineLevel="0" collapsed="false">
      <c r="A494" s="24" t="n">
        <f aca="false">ROUND(A493+0.01,2)</f>
        <v>75.89</v>
      </c>
      <c r="B494" s="25" t="n">
        <f aca="false">INDEX(Bang_F,MATCH(A494,Bang_Z,1))+(A494-INDEX(Bang_Z,MATCH(A494,Bang_Z,1)))*(INDEX(Bang_F,MATCH(A494,Bang_Z,1)+1)-INDEX(Bang_F,MATCH(A494,Bang_Z,1)))</f>
        <v>6.8516</v>
      </c>
      <c r="C494" s="25" t="n">
        <f aca="false">INDEX(Bang_W,MATCH(A494,Bang_Z,1))+(A494-INDEX(Bang_Z,MATCH(A494,Bang_Z,1)))*(INDEX(Bang_F,MATCH(A494,Bang_Z,1))+B494)/2</f>
        <v>44.243662</v>
      </c>
      <c r="D494" s="26" t="n">
        <f aca="false">MAX(A494-TC_Z,0)</f>
        <v>1.19</v>
      </c>
      <c r="E494" s="27" t="n">
        <f aca="false">1-0.2*(TC_xmb+(TC_n-1)*TC_xmt)*D494/(TC_n*TC_b)</f>
        <v>0.952620370370371</v>
      </c>
      <c r="F494" s="28" t="n">
        <f aca="false">TC_s*E494*TC_m*TC_n*TC_b*SQRT(2*g_)*D494^1.5</f>
        <v>53.2422098160235</v>
      </c>
      <c r="G494" s="29" t="n">
        <f aca="false">MAX(A494-SC_Z,0)</f>
        <v>4.89</v>
      </c>
      <c r="H494" s="30" t="n">
        <f aca="false">1-0.2*(SC_xmb+(SC_n-1)*SC_xmt)*G494/(SC_n*SC_b)</f>
        <v>0.86308</v>
      </c>
      <c r="I494" s="31" t="n">
        <f aca="false">SC_s*H494*SC_m*SC_n*SC_b*SQRT(2*g_)*G494^1.5</f>
        <v>93.0135802051532</v>
      </c>
      <c r="J494" s="32" t="n">
        <f aca="false">F494+I494</f>
        <v>146.255790021177</v>
      </c>
      <c r="K494" s="32" t="n">
        <f aca="false">F494</f>
        <v>53.2422098160235</v>
      </c>
      <c r="L494" s="32" t="n">
        <f aca="false">C494*1000000/dt_s+J494/2</f>
        <v>12363.0340061217</v>
      </c>
      <c r="M494" s="32" t="n">
        <f aca="false">C494*1000000/dt_s+K494/2</f>
        <v>12316.5272160191</v>
      </c>
    </row>
    <row r="495" customFormat="false" ht="15" hidden="false" customHeight="false" outlineLevel="0" collapsed="false">
      <c r="A495" s="24" t="n">
        <f aca="false">ROUND(A494+0.01,2)</f>
        <v>75.9</v>
      </c>
      <c r="B495" s="25" t="n">
        <f aca="false">INDEX(Bang_F,MATCH(A495,Bang_Z,1))+(A495-INDEX(Bang_Z,MATCH(A495,Bang_Z,1)))*(INDEX(Bang_F,MATCH(A495,Bang_Z,1)+1)-INDEX(Bang_F,MATCH(A495,Bang_Z,1)))</f>
        <v>6.856</v>
      </c>
      <c r="C495" s="25" t="n">
        <f aca="false">INDEX(Bang_W,MATCH(A495,Bang_Z,1))+(A495-INDEX(Bang_Z,MATCH(A495,Bang_Z,1)))*(INDEX(Bang_F,MATCH(A495,Bang_Z,1))+B495)/2</f>
        <v>44.3122</v>
      </c>
      <c r="D495" s="26" t="n">
        <f aca="false">MAX(A495-TC_Z,0)</f>
        <v>1.2</v>
      </c>
      <c r="E495" s="27" t="n">
        <f aca="false">1-0.2*(TC_xmb+(TC_n-1)*TC_xmt)*D495/(TC_n*TC_b)</f>
        <v>0.952222222222222</v>
      </c>
      <c r="F495" s="28" t="n">
        <f aca="false">TC_s*E495*TC_m*TC_n*TC_b*SQRT(2*g_)*D495^1.5</f>
        <v>53.8922043648744</v>
      </c>
      <c r="G495" s="29" t="n">
        <f aca="false">MAX(A495-SC_Z,0)</f>
        <v>4.90000000000001</v>
      </c>
      <c r="H495" s="30" t="n">
        <f aca="false">1-0.2*(SC_xmb+(SC_n-1)*SC_xmt)*G495/(SC_n*SC_b)</f>
        <v>0.8628</v>
      </c>
      <c r="I495" s="31" t="n">
        <f aca="false">SC_s*H495*SC_m*SC_n*SC_b*SQRT(2*g_)*G495^1.5</f>
        <v>93.2687757230616</v>
      </c>
      <c r="J495" s="32" t="n">
        <f aca="false">F495+I495</f>
        <v>147.160980087936</v>
      </c>
      <c r="K495" s="32" t="n">
        <f aca="false">F495</f>
        <v>53.8922043648744</v>
      </c>
      <c r="L495" s="32" t="n">
        <f aca="false">C495*1000000/dt_s+J495/2</f>
        <v>12382.5249344884</v>
      </c>
      <c r="M495" s="32" t="n">
        <f aca="false">C495*1000000/dt_s+K495/2</f>
        <v>12335.8905466269</v>
      </c>
    </row>
    <row r="496" customFormat="false" ht="15" hidden="false" customHeight="false" outlineLevel="0" collapsed="false">
      <c r="A496" s="24" t="n">
        <f aca="false">ROUND(A495+0.01,2)</f>
        <v>75.91</v>
      </c>
      <c r="B496" s="25" t="n">
        <f aca="false">INDEX(Bang_F,MATCH(A496,Bang_Z,1))+(A496-INDEX(Bang_Z,MATCH(A496,Bang_Z,1)))*(INDEX(Bang_F,MATCH(A496,Bang_Z,1)+1)-INDEX(Bang_F,MATCH(A496,Bang_Z,1)))</f>
        <v>6.8604</v>
      </c>
      <c r="C496" s="25" t="n">
        <f aca="false">INDEX(Bang_W,MATCH(A496,Bang_Z,1))+(A496-INDEX(Bang_Z,MATCH(A496,Bang_Z,1)))*(INDEX(Bang_F,MATCH(A496,Bang_Z,1))+B496)/2</f>
        <v>44.380782</v>
      </c>
      <c r="D496" s="26" t="n">
        <f aca="false">MAX(A496-TC_Z,0)</f>
        <v>1.20999999999999</v>
      </c>
      <c r="E496" s="27" t="n">
        <f aca="false">1-0.2*(TC_xmb+(TC_n-1)*TC_xmt)*D496/(TC_n*TC_b)</f>
        <v>0.951824074074074</v>
      </c>
      <c r="F496" s="28" t="n">
        <f aca="false">TC_s*E496*TC_m*TC_n*TC_b*SQRT(2*g_)*D496^1.5</f>
        <v>54.5444424709051</v>
      </c>
      <c r="G496" s="29" t="n">
        <f aca="false">MAX(A496-SC_Z,0)</f>
        <v>4.91</v>
      </c>
      <c r="H496" s="30" t="n">
        <f aca="false">1-0.2*(SC_xmb+(SC_n-1)*SC_xmt)*G496/(SC_n*SC_b)</f>
        <v>0.86252</v>
      </c>
      <c r="I496" s="31" t="n">
        <f aca="false">SC_s*H496*SC_m*SC_n*SC_b*SQRT(2*g_)*G496^1.5</f>
        <v>93.5240772701327</v>
      </c>
      <c r="J496" s="32" t="n">
        <f aca="false">F496+I496</f>
        <v>148.068519741038</v>
      </c>
      <c r="K496" s="32" t="n">
        <f aca="false">F496</f>
        <v>54.5444424709051</v>
      </c>
      <c r="L496" s="32" t="n">
        <f aca="false">C496*1000000/dt_s+J496/2</f>
        <v>12402.0292598705</v>
      </c>
      <c r="M496" s="32" t="n">
        <f aca="false">C496*1000000/dt_s+K496/2</f>
        <v>12355.2672212354</v>
      </c>
    </row>
    <row r="497" customFormat="false" ht="15" hidden="false" customHeight="false" outlineLevel="0" collapsed="false">
      <c r="A497" s="24" t="n">
        <f aca="false">ROUND(A496+0.01,2)</f>
        <v>75.92</v>
      </c>
      <c r="B497" s="25" t="n">
        <f aca="false">INDEX(Bang_F,MATCH(A497,Bang_Z,1))+(A497-INDEX(Bang_Z,MATCH(A497,Bang_Z,1)))*(INDEX(Bang_F,MATCH(A497,Bang_Z,1)+1)-INDEX(Bang_F,MATCH(A497,Bang_Z,1)))</f>
        <v>6.8648</v>
      </c>
      <c r="C497" s="25" t="n">
        <f aca="false">INDEX(Bang_W,MATCH(A497,Bang_Z,1))+(A497-INDEX(Bang_Z,MATCH(A497,Bang_Z,1)))*(INDEX(Bang_F,MATCH(A497,Bang_Z,1))+B497)/2</f>
        <v>44.449408</v>
      </c>
      <c r="D497" s="26" t="n">
        <f aca="false">MAX(A497-TC_Z,0)</f>
        <v>1.22</v>
      </c>
      <c r="E497" s="27" t="n">
        <f aca="false">1-0.2*(TC_xmb+(TC_n-1)*TC_xmt)*D497/(TC_n*TC_b)</f>
        <v>0.951425925925926</v>
      </c>
      <c r="F497" s="28" t="n">
        <f aca="false">TC_s*E497*TC_m*TC_n*TC_b*SQRT(2*g_)*D497^1.5</f>
        <v>55.1989089999177</v>
      </c>
      <c r="G497" s="29" t="n">
        <f aca="false">MAX(A497-SC_Z,0)</f>
        <v>4.92</v>
      </c>
      <c r="H497" s="30" t="n">
        <f aca="false">1-0.2*(SC_xmb+(SC_n-1)*SC_xmt)*G497/(SC_n*SC_b)</f>
        <v>0.86224</v>
      </c>
      <c r="I497" s="31" t="n">
        <f aca="false">SC_s*H497*SC_m*SC_n*SC_b*SQRT(2*g_)*G497^1.5</f>
        <v>93.7794842660799</v>
      </c>
      <c r="J497" s="32" t="n">
        <f aca="false">F497+I497</f>
        <v>148.978393265998</v>
      </c>
      <c r="K497" s="32" t="n">
        <f aca="false">F497</f>
        <v>55.1989089999177</v>
      </c>
      <c r="L497" s="32" t="n">
        <f aca="false">C497*1000000/dt_s+J497/2</f>
        <v>12421.5469744108</v>
      </c>
      <c r="M497" s="32" t="n">
        <f aca="false">C497*1000000/dt_s+K497/2</f>
        <v>12374.6572322777</v>
      </c>
    </row>
    <row r="498" customFormat="false" ht="15" hidden="false" customHeight="false" outlineLevel="0" collapsed="false">
      <c r="A498" s="24" t="n">
        <f aca="false">ROUND(A497+0.01,2)</f>
        <v>75.93</v>
      </c>
      <c r="B498" s="25" t="n">
        <f aca="false">INDEX(Bang_F,MATCH(A498,Bang_Z,1))+(A498-INDEX(Bang_Z,MATCH(A498,Bang_Z,1)))*(INDEX(Bang_F,MATCH(A498,Bang_Z,1)+1)-INDEX(Bang_F,MATCH(A498,Bang_Z,1)))</f>
        <v>6.8692</v>
      </c>
      <c r="C498" s="25" t="n">
        <f aca="false">INDEX(Bang_W,MATCH(A498,Bang_Z,1))+(A498-INDEX(Bang_Z,MATCH(A498,Bang_Z,1)))*(INDEX(Bang_F,MATCH(A498,Bang_Z,1))+B498)/2</f>
        <v>44.518078</v>
      </c>
      <c r="D498" s="26" t="n">
        <f aca="false">MAX(A498-TC_Z,0)</f>
        <v>1.23</v>
      </c>
      <c r="E498" s="27" t="n">
        <f aca="false">1-0.2*(TC_xmb+(TC_n-1)*TC_xmt)*D498/(TC_n*TC_b)</f>
        <v>0.951027777777778</v>
      </c>
      <c r="F498" s="28" t="n">
        <f aca="false">TC_s*E498*TC_m*TC_n*TC_b*SQRT(2*g_)*D498^1.5</f>
        <v>55.8555889801759</v>
      </c>
      <c r="G498" s="29" t="n">
        <f aca="false">MAX(A498-SC_Z,0)</f>
        <v>4.93000000000001</v>
      </c>
      <c r="H498" s="30" t="n">
        <f aca="false">1-0.2*(SC_xmb+(SC_n-1)*SC_xmt)*G498/(SC_n*SC_b)</f>
        <v>0.86196</v>
      </c>
      <c r="I498" s="31" t="n">
        <f aca="false">SC_s*H498*SC_m*SC_n*SC_b*SQRT(2*g_)*G498^1.5</f>
        <v>94.0349961319051</v>
      </c>
      <c r="J498" s="32" t="n">
        <f aca="false">F498+I498</f>
        <v>149.890585112081</v>
      </c>
      <c r="K498" s="32" t="n">
        <f aca="false">F498</f>
        <v>55.8555889801759</v>
      </c>
      <c r="L498" s="32" t="n">
        <f aca="false">C498*1000000/dt_s+J498/2</f>
        <v>12441.0780703338</v>
      </c>
      <c r="M498" s="32" t="n">
        <f aca="false">C498*1000000/dt_s+K498/2</f>
        <v>12394.0605722679</v>
      </c>
    </row>
    <row r="499" customFormat="false" ht="15" hidden="false" customHeight="false" outlineLevel="0" collapsed="false">
      <c r="A499" s="24" t="n">
        <f aca="false">ROUND(A498+0.01,2)</f>
        <v>75.94</v>
      </c>
      <c r="B499" s="25" t="n">
        <f aca="false">INDEX(Bang_F,MATCH(A499,Bang_Z,1))+(A499-INDEX(Bang_Z,MATCH(A499,Bang_Z,1)))*(INDEX(Bang_F,MATCH(A499,Bang_Z,1)+1)-INDEX(Bang_F,MATCH(A499,Bang_Z,1)))</f>
        <v>6.8736</v>
      </c>
      <c r="C499" s="25" t="n">
        <f aca="false">INDEX(Bang_W,MATCH(A499,Bang_Z,1))+(A499-INDEX(Bang_Z,MATCH(A499,Bang_Z,1)))*(INDEX(Bang_F,MATCH(A499,Bang_Z,1))+B499)/2</f>
        <v>44.586792</v>
      </c>
      <c r="D499" s="26" t="n">
        <f aca="false">MAX(A499-TC_Z,0)</f>
        <v>1.23999999999999</v>
      </c>
      <c r="E499" s="27" t="n">
        <f aca="false">1-0.2*(TC_xmb+(TC_n-1)*TC_xmt)*D499/(TC_n*TC_b)</f>
        <v>0.95062962962963</v>
      </c>
      <c r="F499" s="28" t="n">
        <f aca="false">TC_s*E499*TC_m*TC_n*TC_b*SQRT(2*g_)*D499^1.5</f>
        <v>56.5144675991963</v>
      </c>
      <c r="G499" s="29" t="n">
        <f aca="false">MAX(A499-SC_Z,0)</f>
        <v>4.94</v>
      </c>
      <c r="H499" s="30" t="n">
        <f aca="false">1-0.2*(SC_xmb+(SC_n-1)*SC_xmt)*G499/(SC_n*SC_b)</f>
        <v>0.86168</v>
      </c>
      <c r="I499" s="31" t="n">
        <f aca="false">SC_s*H499*SC_m*SC_n*SC_b*SQRT(2*g_)*G499^1.5</f>
        <v>94.2906122898942</v>
      </c>
      <c r="J499" s="32" t="n">
        <f aca="false">F499+I499</f>
        <v>150.805079889091</v>
      </c>
      <c r="K499" s="32" t="n">
        <f aca="false">F499</f>
        <v>56.5144675991963</v>
      </c>
      <c r="L499" s="32" t="n">
        <f aca="false">C499*1000000/dt_s+J499/2</f>
        <v>12460.6225399445</v>
      </c>
      <c r="M499" s="32" t="n">
        <f aca="false">C499*1000000/dt_s+K499/2</f>
        <v>12413.4772337996</v>
      </c>
    </row>
    <row r="500" customFormat="false" ht="15" hidden="false" customHeight="false" outlineLevel="0" collapsed="false">
      <c r="A500" s="24" t="n">
        <f aca="false">ROUND(A499+0.01,2)</f>
        <v>75.95</v>
      </c>
      <c r="B500" s="25" t="n">
        <f aca="false">INDEX(Bang_F,MATCH(A500,Bang_Z,1))+(A500-INDEX(Bang_Z,MATCH(A500,Bang_Z,1)))*(INDEX(Bang_F,MATCH(A500,Bang_Z,1)+1)-INDEX(Bang_F,MATCH(A500,Bang_Z,1)))</f>
        <v>6.878</v>
      </c>
      <c r="C500" s="25" t="n">
        <f aca="false">INDEX(Bang_W,MATCH(A500,Bang_Z,1))+(A500-INDEX(Bang_Z,MATCH(A500,Bang_Z,1)))*(INDEX(Bang_F,MATCH(A500,Bang_Z,1))+B500)/2</f>
        <v>44.65555</v>
      </c>
      <c r="D500" s="26" t="n">
        <f aca="false">MAX(A500-TC_Z,0)</f>
        <v>1.25</v>
      </c>
      <c r="E500" s="27" t="n">
        <f aca="false">1-0.2*(TC_xmb+(TC_n-1)*TC_xmt)*D500/(TC_n*TC_b)</f>
        <v>0.950231481481482</v>
      </c>
      <c r="F500" s="28" t="n">
        <f aca="false">TC_s*E500*TC_m*TC_n*TC_b*SQRT(2*g_)*D500^1.5</f>
        <v>57.1755302006299</v>
      </c>
      <c r="G500" s="29" t="n">
        <f aca="false">MAX(A500-SC_Z,0)</f>
        <v>4.95</v>
      </c>
      <c r="H500" s="30" t="n">
        <f aca="false">1-0.2*(SC_xmb+(SC_n-1)*SC_xmt)*G500/(SC_n*SC_b)</f>
        <v>0.8614</v>
      </c>
      <c r="I500" s="31" t="n">
        <f aca="false">SC_s*H500*SC_m*SC_n*SC_b*SQRT(2*g_)*G500^1.5</f>
        <v>94.5463321636122</v>
      </c>
      <c r="J500" s="32" t="n">
        <f aca="false">F500+I500</f>
        <v>151.721862364242</v>
      </c>
      <c r="K500" s="32" t="n">
        <f aca="false">F500</f>
        <v>57.1755302006299</v>
      </c>
      <c r="L500" s="32" t="n">
        <f aca="false">C500*1000000/dt_s+J500/2</f>
        <v>12480.1803756266</v>
      </c>
      <c r="M500" s="32" t="n">
        <f aca="false">C500*1000000/dt_s+K500/2</f>
        <v>12432.9072095448</v>
      </c>
    </row>
    <row r="501" customFormat="false" ht="15" hidden="false" customHeight="false" outlineLevel="0" collapsed="false">
      <c r="A501" s="24" t="n">
        <f aca="false">ROUND(A500+0.01,2)</f>
        <v>75.96</v>
      </c>
      <c r="B501" s="25" t="n">
        <f aca="false">INDEX(Bang_F,MATCH(A501,Bang_Z,1))+(A501-INDEX(Bang_Z,MATCH(A501,Bang_Z,1)))*(INDEX(Bang_F,MATCH(A501,Bang_Z,1)+1)-INDEX(Bang_F,MATCH(A501,Bang_Z,1)))</f>
        <v>6.8824</v>
      </c>
      <c r="C501" s="25" t="n">
        <f aca="false">INDEX(Bang_W,MATCH(A501,Bang_Z,1))+(A501-INDEX(Bang_Z,MATCH(A501,Bang_Z,1)))*(INDEX(Bang_F,MATCH(A501,Bang_Z,1))+B501)/2</f>
        <v>44.724352</v>
      </c>
      <c r="D501" s="26" t="n">
        <f aca="false">MAX(A501-TC_Z,0)</f>
        <v>1.25999999999999</v>
      </c>
      <c r="E501" s="27" t="n">
        <f aca="false">1-0.2*(TC_xmb+(TC_n-1)*TC_xmt)*D501/(TC_n*TC_b)</f>
        <v>0.949833333333334</v>
      </c>
      <c r="F501" s="28" t="n">
        <f aca="false">TC_s*E501*TC_m*TC_n*TC_b*SQRT(2*g_)*D501^1.5</f>
        <v>57.8387622812203</v>
      </c>
      <c r="G501" s="29" t="n">
        <f aca="false">MAX(A501-SC_Z,0)</f>
        <v>4.95999999999999</v>
      </c>
      <c r="H501" s="30" t="n">
        <f aca="false">1-0.2*(SC_xmb+(SC_n-1)*SC_xmt)*G501/(SC_n*SC_b)</f>
        <v>0.86112</v>
      </c>
      <c r="I501" s="31" t="n">
        <f aca="false">SC_s*H501*SC_m*SC_n*SC_b*SQRT(2*g_)*G501^1.5</f>
        <v>94.8021551778941</v>
      </c>
      <c r="J501" s="32" t="n">
        <f aca="false">F501+I501</f>
        <v>152.640917459114</v>
      </c>
      <c r="K501" s="32" t="n">
        <f aca="false">F501</f>
        <v>57.8387622812203</v>
      </c>
      <c r="L501" s="32" t="n">
        <f aca="false">C501*1000000/dt_s+J501/2</f>
        <v>12499.7515698407</v>
      </c>
      <c r="M501" s="32" t="n">
        <f aca="false">C501*1000000/dt_s+K501/2</f>
        <v>12452.3504922517</v>
      </c>
    </row>
    <row r="502" customFormat="false" ht="15" hidden="false" customHeight="false" outlineLevel="0" collapsed="false">
      <c r="A502" s="24" t="n">
        <f aca="false">ROUND(A501+0.01,2)</f>
        <v>75.97</v>
      </c>
      <c r="B502" s="25" t="n">
        <f aca="false">INDEX(Bang_F,MATCH(A502,Bang_Z,1))+(A502-INDEX(Bang_Z,MATCH(A502,Bang_Z,1)))*(INDEX(Bang_F,MATCH(A502,Bang_Z,1)+1)-INDEX(Bang_F,MATCH(A502,Bang_Z,1)))</f>
        <v>6.8868</v>
      </c>
      <c r="C502" s="25" t="n">
        <f aca="false">INDEX(Bang_W,MATCH(A502,Bang_Z,1))+(A502-INDEX(Bang_Z,MATCH(A502,Bang_Z,1)))*(INDEX(Bang_F,MATCH(A502,Bang_Z,1))+B502)/2</f>
        <v>44.793198</v>
      </c>
      <c r="D502" s="26" t="n">
        <f aca="false">MAX(A502-TC_Z,0)</f>
        <v>1.27</v>
      </c>
      <c r="E502" s="27" t="n">
        <f aca="false">1-0.2*(TC_xmb+(TC_n-1)*TC_xmt)*D502/(TC_n*TC_b)</f>
        <v>0.949435185185185</v>
      </c>
      <c r="F502" s="28" t="n">
        <f aca="false">TC_s*E502*TC_m*TC_n*TC_b*SQRT(2*g_)*D502^1.5</f>
        <v>58.5041494878592</v>
      </c>
      <c r="G502" s="29" t="n">
        <f aca="false">MAX(A502-SC_Z,0)</f>
        <v>4.97</v>
      </c>
      <c r="H502" s="30" t="n">
        <f aca="false">1-0.2*(SC_xmb+(SC_n-1)*SC_xmt)*G502/(SC_n*SC_b)</f>
        <v>0.86084</v>
      </c>
      <c r="I502" s="31" t="n">
        <f aca="false">SC_s*H502*SC_m*SC_n*SC_b*SQRT(2*g_)*G502^1.5</f>
        <v>95.0580807588424</v>
      </c>
      <c r="J502" s="32" t="n">
        <f aca="false">F502+I502</f>
        <v>153.562230246702</v>
      </c>
      <c r="K502" s="32" t="n">
        <f aca="false">F502</f>
        <v>58.5041494878592</v>
      </c>
      <c r="L502" s="32" t="n">
        <f aca="false">C502*1000000/dt_s+J502/2</f>
        <v>12519.3361151234</v>
      </c>
      <c r="M502" s="32" t="n">
        <f aca="false">C502*1000000/dt_s+K502/2</f>
        <v>12471.8070747439</v>
      </c>
    </row>
    <row r="503" customFormat="false" ht="15" hidden="false" customHeight="false" outlineLevel="0" collapsed="false">
      <c r="A503" s="24" t="n">
        <f aca="false">ROUND(A502+0.01,2)</f>
        <v>75.98</v>
      </c>
      <c r="B503" s="25" t="n">
        <f aca="false">INDEX(Bang_F,MATCH(A503,Bang_Z,1))+(A503-INDEX(Bang_Z,MATCH(A503,Bang_Z,1)))*(INDEX(Bang_F,MATCH(A503,Bang_Z,1)+1)-INDEX(Bang_F,MATCH(A503,Bang_Z,1)))</f>
        <v>6.8912</v>
      </c>
      <c r="C503" s="25" t="n">
        <f aca="false">INDEX(Bang_W,MATCH(A503,Bang_Z,1))+(A503-INDEX(Bang_Z,MATCH(A503,Bang_Z,1)))*(INDEX(Bang_F,MATCH(A503,Bang_Z,1))+B503)/2</f>
        <v>44.862088</v>
      </c>
      <c r="D503" s="26" t="n">
        <f aca="false">MAX(A503-TC_Z,0)</f>
        <v>1.28</v>
      </c>
      <c r="E503" s="27" t="n">
        <f aca="false">1-0.2*(TC_xmb+(TC_n-1)*TC_xmt)*D503/(TC_n*TC_b)</f>
        <v>0.949037037037037</v>
      </c>
      <c r="F503" s="28" t="n">
        <f aca="false">TC_s*E503*TC_m*TC_n*TC_b*SQRT(2*g_)*D503^1.5</f>
        <v>59.1716776147088</v>
      </c>
      <c r="G503" s="29" t="n">
        <f aca="false">MAX(A503-SC_Z,0)</f>
        <v>4.98</v>
      </c>
      <c r="H503" s="30" t="n">
        <f aca="false">1-0.2*(SC_xmb+(SC_n-1)*SC_xmt)*G503/(SC_n*SC_b)</f>
        <v>0.86056</v>
      </c>
      <c r="I503" s="31" t="n">
        <f aca="false">SC_s*H503*SC_m*SC_n*SC_b*SQRT(2*g_)*G503^1.5</f>
        <v>95.3141083338187</v>
      </c>
      <c r="J503" s="32" t="n">
        <f aca="false">F503+I503</f>
        <v>154.485785948528</v>
      </c>
      <c r="K503" s="32" t="n">
        <f aca="false">F503</f>
        <v>59.1716776147088</v>
      </c>
      <c r="L503" s="32" t="n">
        <f aca="false">C503*1000000/dt_s+J503/2</f>
        <v>12538.9340040854</v>
      </c>
      <c r="M503" s="32" t="n">
        <f aca="false">C503*1000000/dt_s+K503/2</f>
        <v>12491.2769499185</v>
      </c>
    </row>
    <row r="504" customFormat="false" ht="15" hidden="false" customHeight="false" outlineLevel="0" collapsed="false">
      <c r="A504" s="24" t="n">
        <f aca="false">ROUND(A503+0.01,2)</f>
        <v>75.99</v>
      </c>
      <c r="B504" s="25" t="n">
        <f aca="false">INDEX(Bang_F,MATCH(A504,Bang_Z,1))+(A504-INDEX(Bang_Z,MATCH(A504,Bang_Z,1)))*(INDEX(Bang_F,MATCH(A504,Bang_Z,1)+1)-INDEX(Bang_F,MATCH(A504,Bang_Z,1)))</f>
        <v>6.8956</v>
      </c>
      <c r="C504" s="25" t="n">
        <f aca="false">INDEX(Bang_W,MATCH(A504,Bang_Z,1))+(A504-INDEX(Bang_Z,MATCH(A504,Bang_Z,1)))*(INDEX(Bang_F,MATCH(A504,Bang_Z,1))+B504)/2</f>
        <v>44.931022</v>
      </c>
      <c r="D504" s="26" t="n">
        <f aca="false">MAX(A504-TC_Z,0)</f>
        <v>1.28999999999999</v>
      </c>
      <c r="E504" s="27" t="n">
        <f aca="false">1-0.2*(TC_xmb+(TC_n-1)*TC_xmt)*D504/(TC_n*TC_b)</f>
        <v>0.948638888888889</v>
      </c>
      <c r="F504" s="28" t="n">
        <f aca="false">TC_s*E504*TC_m*TC_n*TC_b*SQRT(2*g_)*D504^1.5</f>
        <v>59.8413326004104</v>
      </c>
      <c r="G504" s="29" t="n">
        <f aca="false">MAX(A504-SC_Z,0)</f>
        <v>4.99</v>
      </c>
      <c r="H504" s="30" t="n">
        <f aca="false">1-0.2*(SC_xmb+(SC_n-1)*SC_xmt)*G504/(SC_n*SC_b)</f>
        <v>0.86028</v>
      </c>
      <c r="I504" s="31" t="n">
        <f aca="false">SC_s*H504*SC_m*SC_n*SC_b*SQRT(2*g_)*G504^1.5</f>
        <v>95.5702373314387</v>
      </c>
      <c r="J504" s="32" t="n">
        <f aca="false">F504+I504</f>
        <v>155.411569931849</v>
      </c>
      <c r="K504" s="32" t="n">
        <f aca="false">F504</f>
        <v>59.8413326004104</v>
      </c>
      <c r="L504" s="32" t="n">
        <f aca="false">C504*1000000/dt_s+J504/2</f>
        <v>12558.5452294104</v>
      </c>
      <c r="M504" s="32" t="n">
        <f aca="false">C504*1000000/dt_s+K504/2</f>
        <v>12510.7601107446</v>
      </c>
    </row>
    <row r="505" customFormat="false" ht="15" hidden="false" customHeight="false" outlineLevel="0" collapsed="false">
      <c r="A505" s="24" t="n">
        <f aca="false">ROUND(A504+0.01,2)</f>
        <v>76</v>
      </c>
      <c r="B505" s="25" t="n">
        <f aca="false">INDEX(Bang_F,MATCH(A505,Bang_Z,1))+(A505-INDEX(Bang_Z,MATCH(A505,Bang_Z,1)))*(INDEX(Bang_F,MATCH(A505,Bang_Z,1)+1)-INDEX(Bang_F,MATCH(A505,Bang_Z,1)))</f>
        <v>6.9</v>
      </c>
      <c r="C505" s="25" t="n">
        <f aca="false">INDEX(Bang_W,MATCH(A505,Bang_Z,1))+(A505-INDEX(Bang_Z,MATCH(A505,Bang_Z,1)))*(INDEX(Bang_F,MATCH(A505,Bang_Z,1))+B505)/2</f>
        <v>45</v>
      </c>
      <c r="D505" s="26" t="n">
        <f aca="false">MAX(A505-TC_Z,0)</f>
        <v>1.3</v>
      </c>
      <c r="E505" s="27" t="n">
        <f aca="false">1-0.2*(TC_xmb+(TC_n-1)*TC_xmt)*D505/(TC_n*TC_b)</f>
        <v>0.948240740740741</v>
      </c>
      <c r="F505" s="28" t="n">
        <f aca="false">TC_s*E505*TC_m*TC_n*TC_b*SQRT(2*g_)*D505^1.5</f>
        <v>60.513100525369</v>
      </c>
      <c r="G505" s="29" t="n">
        <f aca="false">MAX(A505-SC_Z,0)</f>
        <v>5</v>
      </c>
      <c r="H505" s="30" t="n">
        <f aca="false">1-0.2*(SC_xmb+(SC_n-1)*SC_xmt)*G505/(SC_n*SC_b)</f>
        <v>0.86</v>
      </c>
      <c r="I505" s="31" t="n">
        <f aca="false">SC_s*H505*SC_m*SC_n*SC_b*SQRT(2*g_)*G505^1.5</f>
        <v>95.8264671815673</v>
      </c>
      <c r="J505" s="32" t="n">
        <f aca="false">F505+I505</f>
        <v>156.339567706936</v>
      </c>
      <c r="K505" s="32" t="n">
        <f aca="false">F505</f>
        <v>60.513100525369</v>
      </c>
      <c r="L505" s="32" t="n">
        <f aca="false">C505*1000000/dt_s+J505/2</f>
        <v>12578.1697838535</v>
      </c>
      <c r="M505" s="32" t="n">
        <f aca="false">C505*1000000/dt_s+K505/2</f>
        <v>12530.2565502627</v>
      </c>
    </row>
    <row r="506" customFormat="false" ht="15" hidden="false" customHeight="false" outlineLevel="0" collapsed="false">
      <c r="A506" s="24" t="n">
        <f aca="false">ROUND(A505+0.01,2)</f>
        <v>76.01</v>
      </c>
      <c r="B506" s="25" t="n">
        <f aca="false">INDEX(Bang_F,MATCH(A506,Bang_Z,1))+(A506-INDEX(Bang_Z,MATCH(A506,Bang_Z,1)))*(INDEX(Bang_F,MATCH(A506,Bang_Z,1)+1)-INDEX(Bang_F,MATCH(A506,Bang_Z,1)))</f>
        <v>6.905</v>
      </c>
      <c r="C506" s="25" t="n">
        <f aca="false">INDEX(Bang_W,MATCH(A506,Bang_Z,1))+(A506-INDEX(Bang_Z,MATCH(A506,Bang_Z,1)))*(INDEX(Bang_F,MATCH(A506,Bang_Z,1))+B506)/2</f>
        <v>45.069025</v>
      </c>
      <c r="D506" s="26" t="n">
        <f aca="false">MAX(A506-TC_Z,0)</f>
        <v>1.31</v>
      </c>
      <c r="E506" s="27" t="n">
        <f aca="false">1-0.2*(TC_xmb+(TC_n-1)*TC_xmt)*D506/(TC_n*TC_b)</f>
        <v>0.947842592592593</v>
      </c>
      <c r="F506" s="28" t="n">
        <f aca="false">TC_s*E506*TC_m*TC_n*TC_b*SQRT(2*g_)*D506^1.5</f>
        <v>61.1869676091005</v>
      </c>
      <c r="G506" s="29" t="n">
        <f aca="false">MAX(A506-SC_Z,0)</f>
        <v>5.01000000000001</v>
      </c>
      <c r="H506" s="30" t="n">
        <f aca="false">1-0.2*(SC_xmb+(SC_n-1)*SC_xmt)*G506/(SC_n*SC_b)</f>
        <v>0.85972</v>
      </c>
      <c r="I506" s="31" t="n">
        <f aca="false">SC_s*H506*SC_m*SC_n*SC_b*SQRT(2*g_)*G506^1.5</f>
        <v>96.0827973153112</v>
      </c>
      <c r="J506" s="32" t="n">
        <f aca="false">F506+I506</f>
        <v>157.269764924412</v>
      </c>
      <c r="K506" s="32" t="n">
        <f aca="false">F506</f>
        <v>61.1869676091005</v>
      </c>
      <c r="L506" s="32" t="n">
        <f aca="false">C506*1000000/dt_s+J506/2</f>
        <v>12597.8084935733</v>
      </c>
      <c r="M506" s="32" t="n">
        <f aca="false">C506*1000000/dt_s+K506/2</f>
        <v>12549.7670949157</v>
      </c>
    </row>
    <row r="507" customFormat="false" ht="15" hidden="false" customHeight="false" outlineLevel="0" collapsed="false">
      <c r="A507" s="24" t="n">
        <f aca="false">ROUND(A506+0.01,2)</f>
        <v>76.02</v>
      </c>
      <c r="B507" s="25" t="n">
        <f aca="false">INDEX(Bang_F,MATCH(A507,Bang_Z,1))+(A507-INDEX(Bang_Z,MATCH(A507,Bang_Z,1)))*(INDEX(Bang_F,MATCH(A507,Bang_Z,1)+1)-INDEX(Bang_F,MATCH(A507,Bang_Z,1)))</f>
        <v>6.91</v>
      </c>
      <c r="C507" s="25" t="n">
        <f aca="false">INDEX(Bang_W,MATCH(A507,Bang_Z,1))+(A507-INDEX(Bang_Z,MATCH(A507,Bang_Z,1)))*(INDEX(Bang_F,MATCH(A507,Bang_Z,1))+B507)/2</f>
        <v>45.1381</v>
      </c>
      <c r="D507" s="26" t="n">
        <f aca="false">MAX(A507-TC_Z,0)</f>
        <v>1.31999999999999</v>
      </c>
      <c r="E507" s="27" t="n">
        <f aca="false">1-0.2*(TC_xmb+(TC_n-1)*TC_xmt)*D507/(TC_n*TC_b)</f>
        <v>0.947444444444445</v>
      </c>
      <c r="F507" s="28" t="n">
        <f aca="false">TC_s*E507*TC_m*TC_n*TC_b*SQRT(2*g_)*D507^1.5</f>
        <v>61.8629202076584</v>
      </c>
      <c r="G507" s="29" t="n">
        <f aca="false">MAX(A507-SC_Z,0)</f>
        <v>5.02</v>
      </c>
      <c r="H507" s="30" t="n">
        <f aca="false">1-0.2*(SC_xmb+(SC_n-1)*SC_xmt)*G507/(SC_n*SC_b)</f>
        <v>0.85944</v>
      </c>
      <c r="I507" s="31" t="n">
        <f aca="false">SC_s*H507*SC_m*SC_n*SC_b*SQRT(2*g_)*G507^1.5</f>
        <v>96.3392271650137</v>
      </c>
      <c r="J507" s="32" t="n">
        <f aca="false">F507+I507</f>
        <v>158.202147372672</v>
      </c>
      <c r="K507" s="32" t="n">
        <f aca="false">F507</f>
        <v>61.8629202076584</v>
      </c>
      <c r="L507" s="32" t="n">
        <f aca="false">C507*1000000/dt_s+J507/2</f>
        <v>12617.4621847974</v>
      </c>
      <c r="M507" s="32" t="n">
        <f aca="false">C507*1000000/dt_s+K507/2</f>
        <v>12569.2925712149</v>
      </c>
    </row>
    <row r="508" customFormat="false" ht="15" hidden="false" customHeight="false" outlineLevel="0" collapsed="false">
      <c r="A508" s="24" t="n">
        <f aca="false">ROUND(A507+0.01,2)</f>
        <v>76.03</v>
      </c>
      <c r="B508" s="25" t="n">
        <f aca="false">INDEX(Bang_F,MATCH(A508,Bang_Z,1))+(A508-INDEX(Bang_Z,MATCH(A508,Bang_Z,1)))*(INDEX(Bang_F,MATCH(A508,Bang_Z,1)+1)-INDEX(Bang_F,MATCH(A508,Bang_Z,1)))</f>
        <v>6.915</v>
      </c>
      <c r="C508" s="25" t="n">
        <f aca="false">INDEX(Bang_W,MATCH(A508,Bang_Z,1))+(A508-INDEX(Bang_Z,MATCH(A508,Bang_Z,1)))*(INDEX(Bang_F,MATCH(A508,Bang_Z,1))+B508)/2</f>
        <v>45.207225</v>
      </c>
      <c r="D508" s="26" t="n">
        <f aca="false">MAX(A508-TC_Z,0)</f>
        <v>1.33</v>
      </c>
      <c r="E508" s="27" t="n">
        <f aca="false">1-0.2*(TC_xmb+(TC_n-1)*TC_xmt)*D508/(TC_n*TC_b)</f>
        <v>0.947046296296296</v>
      </c>
      <c r="F508" s="28" t="n">
        <f aca="false">TC_s*E508*TC_m*TC_n*TC_b*SQRT(2*g_)*D508^1.5</f>
        <v>62.5409448111272</v>
      </c>
      <c r="G508" s="29" t="n">
        <f aca="false">MAX(A508-SC_Z,0)</f>
        <v>5.03</v>
      </c>
      <c r="H508" s="30" t="n">
        <f aca="false">1-0.2*(SC_xmb+(SC_n-1)*SC_xmt)*G508/(SC_n*SC_b)</f>
        <v>0.85916</v>
      </c>
      <c r="I508" s="31" t="n">
        <f aca="false">SC_s*H508*SC_m*SC_n*SC_b*SQRT(2*g_)*G508^1.5</f>
        <v>96.5957561642505</v>
      </c>
      <c r="J508" s="32" t="n">
        <f aca="false">F508+I508</f>
        <v>159.136700975378</v>
      </c>
      <c r="K508" s="32" t="n">
        <f aca="false">F508</f>
        <v>62.5409448111272</v>
      </c>
      <c r="L508" s="32" t="n">
        <f aca="false">C508*1000000/dt_s+J508/2</f>
        <v>12637.1308504877</v>
      </c>
      <c r="M508" s="32" t="n">
        <f aca="false">C508*1000000/dt_s+K508/2</f>
        <v>12588.8329724056</v>
      </c>
    </row>
    <row r="509" customFormat="false" ht="15" hidden="false" customHeight="false" outlineLevel="0" collapsed="false">
      <c r="A509" s="24" t="n">
        <f aca="false">ROUND(A508+0.01,2)</f>
        <v>76.04</v>
      </c>
      <c r="B509" s="25" t="n">
        <f aca="false">INDEX(Bang_F,MATCH(A509,Bang_Z,1))+(A509-INDEX(Bang_Z,MATCH(A509,Bang_Z,1)))*(INDEX(Bang_F,MATCH(A509,Bang_Z,1)+1)-INDEX(Bang_F,MATCH(A509,Bang_Z,1)))</f>
        <v>6.92</v>
      </c>
      <c r="C509" s="25" t="n">
        <f aca="false">INDEX(Bang_W,MATCH(A509,Bang_Z,1))+(A509-INDEX(Bang_Z,MATCH(A509,Bang_Z,1)))*(INDEX(Bang_F,MATCH(A509,Bang_Z,1))+B509)/2</f>
        <v>45.2764</v>
      </c>
      <c r="D509" s="26" t="n">
        <f aca="false">MAX(A509-TC_Z,0)</f>
        <v>1.34</v>
      </c>
      <c r="E509" s="27" t="n">
        <f aca="false">1-0.2*(TC_xmb+(TC_n-1)*TC_xmt)*D509/(TC_n*TC_b)</f>
        <v>0.946648148148148</v>
      </c>
      <c r="F509" s="28" t="n">
        <f aca="false">TC_s*E509*TC_m*TC_n*TC_b*SQRT(2*g_)*D509^1.5</f>
        <v>63.221028041173</v>
      </c>
      <c r="G509" s="29" t="n">
        <f aca="false">MAX(A509-SC_Z,0)</f>
        <v>5.04000000000001</v>
      </c>
      <c r="H509" s="30" t="n">
        <f aca="false">1-0.2*(SC_xmb+(SC_n-1)*SC_xmt)*G509/(SC_n*SC_b)</f>
        <v>0.85888</v>
      </c>
      <c r="I509" s="31" t="n">
        <f aca="false">SC_s*H509*SC_m*SC_n*SC_b*SQRT(2*g_)*G509^1.5</f>
        <v>96.8523837478215</v>
      </c>
      <c r="J509" s="32" t="n">
        <f aca="false">F509+I509</f>
        <v>160.073411788994</v>
      </c>
      <c r="K509" s="32" t="n">
        <f aca="false">F509</f>
        <v>63.221028041173</v>
      </c>
      <c r="L509" s="32" t="n">
        <f aca="false">C509*1000000/dt_s+J509/2</f>
        <v>12656.8144836723</v>
      </c>
      <c r="M509" s="32" t="n">
        <f aca="false">C509*1000000/dt_s+K509/2</f>
        <v>12608.3882917984</v>
      </c>
    </row>
    <row r="510" customFormat="false" ht="15" hidden="false" customHeight="false" outlineLevel="0" collapsed="false">
      <c r="A510" s="24" t="n">
        <f aca="false">ROUND(A509+0.01,2)</f>
        <v>76.05</v>
      </c>
      <c r="B510" s="25" t="n">
        <f aca="false">INDEX(Bang_F,MATCH(A510,Bang_Z,1))+(A510-INDEX(Bang_Z,MATCH(A510,Bang_Z,1)))*(INDEX(Bang_F,MATCH(A510,Bang_Z,1)+1)-INDEX(Bang_F,MATCH(A510,Bang_Z,1)))</f>
        <v>6.925</v>
      </c>
      <c r="C510" s="25" t="n">
        <f aca="false">INDEX(Bang_W,MATCH(A510,Bang_Z,1))+(A510-INDEX(Bang_Z,MATCH(A510,Bang_Z,1)))*(INDEX(Bang_F,MATCH(A510,Bang_Z,1))+B510)/2</f>
        <v>45.345625</v>
      </c>
      <c r="D510" s="26" t="n">
        <f aca="false">MAX(A510-TC_Z,0)</f>
        <v>1.34999999999999</v>
      </c>
      <c r="E510" s="27" t="n">
        <f aca="false">1-0.2*(TC_xmb+(TC_n-1)*TC_xmt)*D510/(TC_n*TC_b)</f>
        <v>0.94625</v>
      </c>
      <c r="F510" s="28" t="n">
        <f aca="false">TC_s*E510*TC_m*TC_n*TC_b*SQRT(2*g_)*D510^1.5</f>
        <v>63.9031566486655</v>
      </c>
      <c r="G510" s="29" t="n">
        <f aca="false">MAX(A510-SC_Z,0)</f>
        <v>5.05</v>
      </c>
      <c r="H510" s="30" t="n">
        <f aca="false">1-0.2*(SC_xmb+(SC_n-1)*SC_xmt)*G510/(SC_n*SC_b)</f>
        <v>0.8586</v>
      </c>
      <c r="I510" s="31" t="n">
        <f aca="false">SC_s*H510*SC_m*SC_n*SC_b*SQRT(2*g_)*G510^1.5</f>
        <v>97.1091093517466</v>
      </c>
      <c r="J510" s="32" t="n">
        <f aca="false">F510+I510</f>
        <v>161.012266000412</v>
      </c>
      <c r="K510" s="32" t="n">
        <f aca="false">F510</f>
        <v>63.9031566486655</v>
      </c>
      <c r="L510" s="32" t="n">
        <f aca="false">C510*1000000/dt_s+J510/2</f>
        <v>12676.5130774446</v>
      </c>
      <c r="M510" s="32" t="n">
        <f aca="false">C510*1000000/dt_s+K510/2</f>
        <v>12627.9585227688</v>
      </c>
    </row>
    <row r="511" customFormat="false" ht="15" hidden="false" customHeight="false" outlineLevel="0" collapsed="false">
      <c r="A511" s="24" t="n">
        <f aca="false">ROUND(A510+0.01,2)</f>
        <v>76.06</v>
      </c>
      <c r="B511" s="25" t="n">
        <f aca="false">INDEX(Bang_F,MATCH(A511,Bang_Z,1))+(A511-INDEX(Bang_Z,MATCH(A511,Bang_Z,1)))*(INDEX(Bang_F,MATCH(A511,Bang_Z,1)+1)-INDEX(Bang_F,MATCH(A511,Bang_Z,1)))</f>
        <v>6.93</v>
      </c>
      <c r="C511" s="25" t="n">
        <f aca="false">INDEX(Bang_W,MATCH(A511,Bang_Z,1))+(A511-INDEX(Bang_Z,MATCH(A511,Bang_Z,1)))*(INDEX(Bang_F,MATCH(A511,Bang_Z,1))+B511)/2</f>
        <v>45.4149</v>
      </c>
      <c r="D511" s="26" t="n">
        <f aca="false">MAX(A511-TC_Z,0)</f>
        <v>1.36</v>
      </c>
      <c r="E511" s="27" t="n">
        <f aca="false">1-0.2*(TC_xmb+(TC_n-1)*TC_xmt)*D511/(TC_n*TC_b)</f>
        <v>0.945851851851852</v>
      </c>
      <c r="F511" s="28" t="n">
        <f aca="false">TC_s*E511*TC_m*TC_n*TC_b*SQRT(2*g_)*D511^1.5</f>
        <v>64.5873175113609</v>
      </c>
      <c r="G511" s="29" t="n">
        <f aca="false">MAX(A511-SC_Z,0)</f>
        <v>5.06</v>
      </c>
      <c r="H511" s="30" t="n">
        <f aca="false">1-0.2*(SC_xmb+(SC_n-1)*SC_xmt)*G511/(SC_n*SC_b)</f>
        <v>0.85832</v>
      </c>
      <c r="I511" s="31" t="n">
        <f aca="false">SC_s*H511*SC_m*SC_n*SC_b*SQRT(2*g_)*G511^1.5</f>
        <v>97.3659324132611</v>
      </c>
      <c r="J511" s="32" t="n">
        <f aca="false">F511+I511</f>
        <v>161.953249924622</v>
      </c>
      <c r="K511" s="32" t="n">
        <f aca="false">F511</f>
        <v>64.5873175113609</v>
      </c>
      <c r="L511" s="32" t="n">
        <f aca="false">C511*1000000/dt_s+J511/2</f>
        <v>12696.2266249623</v>
      </c>
      <c r="M511" s="32" t="n">
        <f aca="false">C511*1000000/dt_s+K511/2</f>
        <v>12647.5436587557</v>
      </c>
    </row>
    <row r="512" customFormat="false" ht="15" hidden="false" customHeight="false" outlineLevel="0" collapsed="false">
      <c r="A512" s="24" t="n">
        <f aca="false">ROUND(A511+0.01,2)</f>
        <v>76.07</v>
      </c>
      <c r="B512" s="25" t="n">
        <f aca="false">INDEX(Bang_F,MATCH(A512,Bang_Z,1))+(A512-INDEX(Bang_Z,MATCH(A512,Bang_Z,1)))*(INDEX(Bang_F,MATCH(A512,Bang_Z,1)+1)-INDEX(Bang_F,MATCH(A512,Bang_Z,1)))</f>
        <v>6.935</v>
      </c>
      <c r="C512" s="25" t="n">
        <f aca="false">INDEX(Bang_W,MATCH(A512,Bang_Z,1))+(A512-INDEX(Bang_Z,MATCH(A512,Bang_Z,1)))*(INDEX(Bang_F,MATCH(A512,Bang_Z,1))+B512)/2</f>
        <v>45.484225</v>
      </c>
      <c r="D512" s="26" t="n">
        <f aca="false">MAX(A512-TC_Z,0)</f>
        <v>1.36999999999999</v>
      </c>
      <c r="E512" s="27" t="n">
        <f aca="false">1-0.2*(TC_xmb+(TC_n-1)*TC_xmt)*D512/(TC_n*TC_b)</f>
        <v>0.945453703703704</v>
      </c>
      <c r="F512" s="28" t="n">
        <f aca="false">TC_s*E512*TC_m*TC_n*TC_b*SQRT(2*g_)*D512^1.5</f>
        <v>65.2734976316343</v>
      </c>
      <c r="G512" s="29" t="n">
        <f aca="false">MAX(A512-SC_Z,0)</f>
        <v>5.06999999999999</v>
      </c>
      <c r="H512" s="30" t="n">
        <f aca="false">1-0.2*(SC_xmb+(SC_n-1)*SC_xmt)*G512/(SC_n*SC_b)</f>
        <v>0.85804</v>
      </c>
      <c r="I512" s="31" t="n">
        <f aca="false">SC_s*H512*SC_m*SC_n*SC_b*SQRT(2*g_)*G512^1.5</f>
        <v>97.6228523708074</v>
      </c>
      <c r="J512" s="32" t="n">
        <f aca="false">F512+I512</f>
        <v>162.896350002442</v>
      </c>
      <c r="K512" s="32" t="n">
        <f aca="false">F512</f>
        <v>65.2734976316343</v>
      </c>
      <c r="L512" s="32" t="n">
        <f aca="false">C512*1000000/dt_s+J512/2</f>
        <v>12715.9551194457</v>
      </c>
      <c r="M512" s="32" t="n">
        <f aca="false">C512*1000000/dt_s+K512/2</f>
        <v>12667.1436932603</v>
      </c>
    </row>
    <row r="513" customFormat="false" ht="15" hidden="false" customHeight="false" outlineLevel="0" collapsed="false">
      <c r="A513" s="24" t="n">
        <f aca="false">ROUND(A512+0.01,2)</f>
        <v>76.08</v>
      </c>
      <c r="B513" s="25" t="n">
        <f aca="false">INDEX(Bang_F,MATCH(A513,Bang_Z,1))+(A513-INDEX(Bang_Z,MATCH(A513,Bang_Z,1)))*(INDEX(Bang_F,MATCH(A513,Bang_Z,1)+1)-INDEX(Bang_F,MATCH(A513,Bang_Z,1)))</f>
        <v>6.94</v>
      </c>
      <c r="C513" s="25" t="n">
        <f aca="false">INDEX(Bang_W,MATCH(A513,Bang_Z,1))+(A513-INDEX(Bang_Z,MATCH(A513,Bang_Z,1)))*(INDEX(Bang_F,MATCH(A513,Bang_Z,1))+B513)/2</f>
        <v>45.5536</v>
      </c>
      <c r="D513" s="26" t="n">
        <f aca="false">MAX(A513-TC_Z,0)</f>
        <v>1.38</v>
      </c>
      <c r="E513" s="27" t="n">
        <f aca="false">1-0.2*(TC_xmb+(TC_n-1)*TC_xmt)*D513/(TC_n*TC_b)</f>
        <v>0.945055555555556</v>
      </c>
      <c r="F513" s="28" t="n">
        <f aca="false">TC_s*E513*TC_m*TC_n*TC_b*SQRT(2*g_)*D513^1.5</f>
        <v>65.9616841342838</v>
      </c>
      <c r="G513" s="29" t="n">
        <f aca="false">MAX(A513-SC_Z,0)</f>
        <v>5.08</v>
      </c>
      <c r="H513" s="30" t="n">
        <f aca="false">1-0.2*(SC_xmb+(SC_n-1)*SC_xmt)*G513/(SC_n*SC_b)</f>
        <v>0.85776</v>
      </c>
      <c r="I513" s="31" t="n">
        <f aca="false">SC_s*H513*SC_m*SC_n*SC_b*SQRT(2*g_)*G513^1.5</f>
        <v>97.8798686640329</v>
      </c>
      <c r="J513" s="32" t="n">
        <f aca="false">F513+I513</f>
        <v>163.841552798317</v>
      </c>
      <c r="K513" s="32" t="n">
        <f aca="false">F513</f>
        <v>65.9616841342838</v>
      </c>
      <c r="L513" s="32" t="n">
        <f aca="false">C513*1000000/dt_s+J513/2</f>
        <v>12735.6985541769</v>
      </c>
      <c r="M513" s="32" t="n">
        <f aca="false">C513*1000000/dt_s+K513/2</f>
        <v>12686.7586198449</v>
      </c>
    </row>
    <row r="514" customFormat="false" ht="15" hidden="false" customHeight="false" outlineLevel="0" collapsed="false">
      <c r="A514" s="24" t="n">
        <f aca="false">ROUND(A513+0.01,2)</f>
        <v>76.09</v>
      </c>
      <c r="B514" s="25" t="n">
        <f aca="false">INDEX(Bang_F,MATCH(A514,Bang_Z,1))+(A514-INDEX(Bang_Z,MATCH(A514,Bang_Z,1)))*(INDEX(Bang_F,MATCH(A514,Bang_Z,1)+1)-INDEX(Bang_F,MATCH(A514,Bang_Z,1)))</f>
        <v>6.945</v>
      </c>
      <c r="C514" s="25" t="n">
        <f aca="false">INDEX(Bang_W,MATCH(A514,Bang_Z,1))+(A514-INDEX(Bang_Z,MATCH(A514,Bang_Z,1)))*(INDEX(Bang_F,MATCH(A514,Bang_Z,1))+B514)/2</f>
        <v>45.623025</v>
      </c>
      <c r="D514" s="26" t="n">
        <f aca="false">MAX(A514-TC_Z,0)</f>
        <v>1.39</v>
      </c>
      <c r="E514" s="27" t="n">
        <f aca="false">1-0.2*(TC_xmb+(TC_n-1)*TC_xmt)*D514/(TC_n*TC_b)</f>
        <v>0.944657407407407</v>
      </c>
      <c r="F514" s="28" t="n">
        <f aca="false">TC_s*E514*TC_m*TC_n*TC_b*SQRT(2*g_)*D514^1.5</f>
        <v>66.6518642643744</v>
      </c>
      <c r="G514" s="29" t="n">
        <f aca="false">MAX(A514-SC_Z,0)</f>
        <v>5.09</v>
      </c>
      <c r="H514" s="30" t="n">
        <f aca="false">1-0.2*(SC_xmb+(SC_n-1)*SC_xmt)*G514/(SC_n*SC_b)</f>
        <v>0.85748</v>
      </c>
      <c r="I514" s="31" t="n">
        <f aca="false">SC_s*H514*SC_m*SC_n*SC_b*SQRT(2*g_)*G514^1.5</f>
        <v>98.1369807337813</v>
      </c>
      <c r="J514" s="32" t="n">
        <f aca="false">F514+I514</f>
        <v>164.788844998156</v>
      </c>
      <c r="K514" s="32" t="n">
        <f aca="false">F514</f>
        <v>66.6518642643744</v>
      </c>
      <c r="L514" s="32" t="n">
        <f aca="false">C514*1000000/dt_s+J514/2</f>
        <v>12755.4569224991</v>
      </c>
      <c r="M514" s="32" t="n">
        <f aca="false">C514*1000000/dt_s+K514/2</f>
        <v>12706.3884321322</v>
      </c>
    </row>
    <row r="515" customFormat="false" ht="15" hidden="false" customHeight="false" outlineLevel="0" collapsed="false">
      <c r="A515" s="24" t="n">
        <f aca="false">ROUND(A514+0.01,2)</f>
        <v>76.1</v>
      </c>
      <c r="B515" s="25" t="n">
        <f aca="false">INDEX(Bang_F,MATCH(A515,Bang_Z,1))+(A515-INDEX(Bang_Z,MATCH(A515,Bang_Z,1)))*(INDEX(Bang_F,MATCH(A515,Bang_Z,1)+1)-INDEX(Bang_F,MATCH(A515,Bang_Z,1)))</f>
        <v>6.95</v>
      </c>
      <c r="C515" s="25" t="n">
        <f aca="false">INDEX(Bang_W,MATCH(A515,Bang_Z,1))+(A515-INDEX(Bang_Z,MATCH(A515,Bang_Z,1)))*(INDEX(Bang_F,MATCH(A515,Bang_Z,1))+B515)/2</f>
        <v>45.6925</v>
      </c>
      <c r="D515" s="26" t="n">
        <f aca="false">MAX(A515-TC_Z,0)</f>
        <v>1.39999999999999</v>
      </c>
      <c r="E515" s="27" t="n">
        <f aca="false">1-0.2*(TC_xmb+(TC_n-1)*TC_xmt)*D515/(TC_n*TC_b)</f>
        <v>0.94425925925926</v>
      </c>
      <c r="F515" s="28" t="n">
        <f aca="false">TC_s*E515*TC_m*TC_n*TC_b*SQRT(2*g_)*D515^1.5</f>
        <v>67.3440253851466</v>
      </c>
      <c r="G515" s="29" t="n">
        <f aca="false">MAX(A515-SC_Z,0)</f>
        <v>5.09999999999999</v>
      </c>
      <c r="H515" s="30" t="n">
        <f aca="false">1-0.2*(SC_xmb+(SC_n-1)*SC_xmt)*G515/(SC_n*SC_b)</f>
        <v>0.8572</v>
      </c>
      <c r="I515" s="31" t="n">
        <f aca="false">SC_s*H515*SC_m*SC_n*SC_b*SQRT(2*g_)*G515^1.5</f>
        <v>98.3941880220887</v>
      </c>
      <c r="J515" s="32" t="n">
        <f aca="false">F515+I515</f>
        <v>165.738213407235</v>
      </c>
      <c r="K515" s="32" t="n">
        <f aca="false">F515</f>
        <v>67.3440253851466</v>
      </c>
      <c r="L515" s="32" t="n">
        <f aca="false">C515*1000000/dt_s+J515/2</f>
        <v>12775.2302178147</v>
      </c>
      <c r="M515" s="32" t="n">
        <f aca="false">C515*1000000/dt_s+K515/2</f>
        <v>12726.0331238037</v>
      </c>
    </row>
    <row r="516" customFormat="false" ht="15" hidden="false" customHeight="false" outlineLevel="0" collapsed="false">
      <c r="A516" s="24" t="n">
        <f aca="false">ROUND(A515+0.01,2)</f>
        <v>76.11</v>
      </c>
      <c r="B516" s="25" t="n">
        <f aca="false">INDEX(Bang_F,MATCH(A516,Bang_Z,1))+(A516-INDEX(Bang_Z,MATCH(A516,Bang_Z,1)))*(INDEX(Bang_F,MATCH(A516,Bang_Z,1)+1)-INDEX(Bang_F,MATCH(A516,Bang_Z,1)))</f>
        <v>6.955</v>
      </c>
      <c r="C516" s="25" t="n">
        <f aca="false">INDEX(Bang_W,MATCH(A516,Bang_Z,1))+(A516-INDEX(Bang_Z,MATCH(A516,Bang_Z,1)))*(INDEX(Bang_F,MATCH(A516,Bang_Z,1))+B516)/2</f>
        <v>45.762025</v>
      </c>
      <c r="D516" s="26" t="n">
        <f aca="false">MAX(A516-TC_Z,0)</f>
        <v>1.41</v>
      </c>
      <c r="E516" s="27" t="n">
        <f aca="false">1-0.2*(TC_xmb+(TC_n-1)*TC_xmt)*D516/(TC_n*TC_b)</f>
        <v>0.943861111111111</v>
      </c>
      <c r="F516" s="28" t="n">
        <f aca="false">TC_s*E516*TC_m*TC_n*TC_b*SQRT(2*g_)*D516^1.5</f>
        <v>68.0381549759747</v>
      </c>
      <c r="G516" s="29" t="n">
        <f aca="false">MAX(A516-SC_Z,0)</f>
        <v>5.11</v>
      </c>
      <c r="H516" s="30" t="n">
        <f aca="false">1-0.2*(SC_xmb+(SC_n-1)*SC_xmt)*G516/(SC_n*SC_b)</f>
        <v>0.85692</v>
      </c>
      <c r="I516" s="31" t="n">
        <f aca="false">SC_s*H516*SC_m*SC_n*SC_b*SQRT(2*g_)*G516^1.5</f>
        <v>98.6514899721794</v>
      </c>
      <c r="J516" s="32" t="n">
        <f aca="false">F516+I516</f>
        <v>166.689644948154</v>
      </c>
      <c r="K516" s="32" t="n">
        <f aca="false">F516</f>
        <v>68.0381549759747</v>
      </c>
      <c r="L516" s="32" t="n">
        <f aca="false">C516*1000000/dt_s+J516/2</f>
        <v>12795.0184335852</v>
      </c>
      <c r="M516" s="32" t="n">
        <f aca="false">C516*1000000/dt_s+K516/2</f>
        <v>12745.6926885991</v>
      </c>
    </row>
    <row r="517" customFormat="false" ht="15" hidden="false" customHeight="false" outlineLevel="0" collapsed="false">
      <c r="A517" s="24" t="n">
        <f aca="false">ROUND(A516+0.01,2)</f>
        <v>76.12</v>
      </c>
      <c r="B517" s="25" t="n">
        <f aca="false">INDEX(Bang_F,MATCH(A517,Bang_Z,1))+(A517-INDEX(Bang_Z,MATCH(A517,Bang_Z,1)))*(INDEX(Bang_F,MATCH(A517,Bang_Z,1)+1)-INDEX(Bang_F,MATCH(A517,Bang_Z,1)))</f>
        <v>6.96</v>
      </c>
      <c r="C517" s="25" t="n">
        <f aca="false">INDEX(Bang_W,MATCH(A517,Bang_Z,1))+(A517-INDEX(Bang_Z,MATCH(A517,Bang_Z,1)))*(INDEX(Bang_F,MATCH(A517,Bang_Z,1))+B517)/2</f>
        <v>45.8316</v>
      </c>
      <c r="D517" s="26" t="n">
        <f aca="false">MAX(A517-TC_Z,0)</f>
        <v>1.42</v>
      </c>
      <c r="E517" s="27" t="n">
        <f aca="false">1-0.2*(TC_xmb+(TC_n-1)*TC_xmt)*D517/(TC_n*TC_b)</f>
        <v>0.943462962962963</v>
      </c>
      <c r="F517" s="28" t="n">
        <f aca="false">TC_s*E517*TC_m*TC_n*TC_b*SQRT(2*g_)*D517^1.5</f>
        <v>68.7342406303683</v>
      </c>
      <c r="G517" s="29" t="n">
        <f aca="false">MAX(A517-SC_Z,0)</f>
        <v>5.12</v>
      </c>
      <c r="H517" s="30" t="n">
        <f aca="false">1-0.2*(SC_xmb+(SC_n-1)*SC_xmt)*G517/(SC_n*SC_b)</f>
        <v>0.85664</v>
      </c>
      <c r="I517" s="31" t="n">
        <f aca="false">SC_s*H517*SC_m*SC_n*SC_b*SQRT(2*g_)*G517^1.5</f>
        <v>98.908886028458</v>
      </c>
      <c r="J517" s="32" t="n">
        <f aca="false">F517+I517</f>
        <v>167.643126658826</v>
      </c>
      <c r="K517" s="32" t="n">
        <f aca="false">F517</f>
        <v>68.7342406303683</v>
      </c>
      <c r="L517" s="32" t="n">
        <f aca="false">C517*1000000/dt_s+J517/2</f>
        <v>12814.8215633294</v>
      </c>
      <c r="M517" s="32" t="n">
        <f aca="false">C517*1000000/dt_s+K517/2</f>
        <v>12765.3671203152</v>
      </c>
    </row>
    <row r="518" customFormat="false" ht="15" hidden="false" customHeight="false" outlineLevel="0" collapsed="false">
      <c r="A518" s="24" t="n">
        <f aca="false">ROUND(A517+0.01,2)</f>
        <v>76.13</v>
      </c>
      <c r="B518" s="25" t="n">
        <f aca="false">INDEX(Bang_F,MATCH(A518,Bang_Z,1))+(A518-INDEX(Bang_Z,MATCH(A518,Bang_Z,1)))*(INDEX(Bang_F,MATCH(A518,Bang_Z,1)+1)-INDEX(Bang_F,MATCH(A518,Bang_Z,1)))</f>
        <v>6.965</v>
      </c>
      <c r="C518" s="25" t="n">
        <f aca="false">INDEX(Bang_W,MATCH(A518,Bang_Z,1))+(A518-INDEX(Bang_Z,MATCH(A518,Bang_Z,1)))*(INDEX(Bang_F,MATCH(A518,Bang_Z,1))+B518)/2</f>
        <v>45.901225</v>
      </c>
      <c r="D518" s="26" t="n">
        <f aca="false">MAX(A518-TC_Z,0)</f>
        <v>1.42999999999999</v>
      </c>
      <c r="E518" s="27" t="n">
        <f aca="false">1-0.2*(TC_xmb+(TC_n-1)*TC_xmt)*D518/(TC_n*TC_b)</f>
        <v>0.943064814814815</v>
      </c>
      <c r="F518" s="28" t="n">
        <f aca="false">TC_s*E518*TC_m*TC_n*TC_b*SQRT(2*g_)*D518^1.5</f>
        <v>69.4322700540297</v>
      </c>
      <c r="G518" s="29" t="n">
        <f aca="false">MAX(A518-SC_Z,0)</f>
        <v>5.13</v>
      </c>
      <c r="H518" s="30" t="n">
        <f aca="false">1-0.2*(SC_xmb+(SC_n-1)*SC_xmt)*G518/(SC_n*SC_b)</f>
        <v>0.85636</v>
      </c>
      <c r="I518" s="31" t="n">
        <f aca="false">SC_s*H518*SC_m*SC_n*SC_b*SQRT(2*g_)*G518^1.5</f>
        <v>99.1663756365052</v>
      </c>
      <c r="J518" s="32" t="n">
        <f aca="false">F518+I518</f>
        <v>168.598645690535</v>
      </c>
      <c r="K518" s="32" t="n">
        <f aca="false">F518</f>
        <v>69.4322700540297</v>
      </c>
      <c r="L518" s="32" t="n">
        <f aca="false">C518*1000000/dt_s+J518/2</f>
        <v>12834.639600623</v>
      </c>
      <c r="M518" s="32" t="n">
        <f aca="false">C518*1000000/dt_s+K518/2</f>
        <v>12785.0564128048</v>
      </c>
    </row>
    <row r="519" customFormat="false" ht="15" hidden="false" customHeight="false" outlineLevel="0" collapsed="false">
      <c r="A519" s="24" t="n">
        <f aca="false">ROUND(A518+0.01,2)</f>
        <v>76.14</v>
      </c>
      <c r="B519" s="25" t="n">
        <f aca="false">INDEX(Bang_F,MATCH(A519,Bang_Z,1))+(A519-INDEX(Bang_Z,MATCH(A519,Bang_Z,1)))*(INDEX(Bang_F,MATCH(A519,Bang_Z,1)+1)-INDEX(Bang_F,MATCH(A519,Bang_Z,1)))</f>
        <v>6.97</v>
      </c>
      <c r="C519" s="25" t="n">
        <f aca="false">INDEX(Bang_W,MATCH(A519,Bang_Z,1))+(A519-INDEX(Bang_Z,MATCH(A519,Bang_Z,1)))*(INDEX(Bang_F,MATCH(A519,Bang_Z,1))+B519)/2</f>
        <v>45.9709</v>
      </c>
      <c r="D519" s="26" t="n">
        <f aca="false">MAX(A519-TC_Z,0)</f>
        <v>1.44</v>
      </c>
      <c r="E519" s="27" t="n">
        <f aca="false">1-0.2*(TC_xmb+(TC_n-1)*TC_xmt)*D519/(TC_n*TC_b)</f>
        <v>0.942666666666667</v>
      </c>
      <c r="F519" s="28" t="n">
        <f aca="false">TC_s*E519*TC_m*TC_n*TC_b*SQRT(2*g_)*D519^1.5</f>
        <v>70.1322310629592</v>
      </c>
      <c r="G519" s="29" t="n">
        <f aca="false">MAX(A519-SC_Z,0)</f>
        <v>5.14</v>
      </c>
      <c r="H519" s="30" t="n">
        <f aca="false">1-0.2*(SC_xmb+(SC_n-1)*SC_xmt)*G519/(SC_n*SC_b)</f>
        <v>0.85608</v>
      </c>
      <c r="I519" s="31" t="n">
        <f aca="false">SC_s*H519*SC_m*SC_n*SC_b*SQRT(2*g_)*G519^1.5</f>
        <v>99.4239582430741</v>
      </c>
      <c r="J519" s="32" t="n">
        <f aca="false">F519+I519</f>
        <v>169.556189306033</v>
      </c>
      <c r="K519" s="32" t="n">
        <f aca="false">F519</f>
        <v>70.1322310629592</v>
      </c>
      <c r="L519" s="32" t="n">
        <f aca="false">C519*1000000/dt_s+J519/2</f>
        <v>12854.4725390975</v>
      </c>
      <c r="M519" s="32" t="n">
        <f aca="false">C519*1000000/dt_s+K519/2</f>
        <v>12804.7605599759</v>
      </c>
    </row>
    <row r="520" customFormat="false" ht="15" hidden="false" customHeight="false" outlineLevel="0" collapsed="false">
      <c r="A520" s="24" t="n">
        <f aca="false">ROUND(A519+0.01,2)</f>
        <v>76.15</v>
      </c>
      <c r="B520" s="25" t="n">
        <f aca="false">INDEX(Bang_F,MATCH(A520,Bang_Z,1))+(A520-INDEX(Bang_Z,MATCH(A520,Bang_Z,1)))*(INDEX(Bang_F,MATCH(A520,Bang_Z,1)+1)-INDEX(Bang_F,MATCH(A520,Bang_Z,1)))</f>
        <v>6.975</v>
      </c>
      <c r="C520" s="25" t="n">
        <f aca="false">INDEX(Bang_W,MATCH(A520,Bang_Z,1))+(A520-INDEX(Bang_Z,MATCH(A520,Bang_Z,1)))*(INDEX(Bang_F,MATCH(A520,Bang_Z,1))+B520)/2</f>
        <v>46.040625</v>
      </c>
      <c r="D520" s="26" t="n">
        <f aca="false">MAX(A520-TC_Z,0)</f>
        <v>1.45</v>
      </c>
      <c r="E520" s="27" t="n">
        <f aca="false">1-0.2*(TC_xmb+(TC_n-1)*TC_xmt)*D520/(TC_n*TC_b)</f>
        <v>0.942268518518518</v>
      </c>
      <c r="F520" s="28" t="n">
        <f aca="false">TC_s*E520*TC_m*TC_n*TC_b*SQRT(2*g_)*D520^1.5</f>
        <v>70.8341115815964</v>
      </c>
      <c r="G520" s="29" t="n">
        <f aca="false">MAX(A520-SC_Z,0)</f>
        <v>5.15000000000001</v>
      </c>
      <c r="H520" s="30" t="n">
        <f aca="false">1-0.2*(SC_xmb+(SC_n-1)*SC_xmt)*G520/(SC_n*SC_b)</f>
        <v>0.8558</v>
      </c>
      <c r="I520" s="31" t="n">
        <f aca="false">SC_s*H520*SC_m*SC_n*SC_b*SQRT(2*g_)*G520^1.5</f>
        <v>99.681633296082</v>
      </c>
      <c r="J520" s="32" t="n">
        <f aca="false">F520+I520</f>
        <v>170.515744877678</v>
      </c>
      <c r="K520" s="32" t="n">
        <f aca="false">F520</f>
        <v>70.8341115815964</v>
      </c>
      <c r="L520" s="32" t="n">
        <f aca="false">C520*1000000/dt_s+J520/2</f>
        <v>12874.3203724389</v>
      </c>
      <c r="M520" s="32" t="n">
        <f aca="false">C520*1000000/dt_s+K520/2</f>
        <v>12824.4795557908</v>
      </c>
    </row>
    <row r="521" customFormat="false" ht="15" hidden="false" customHeight="false" outlineLevel="0" collapsed="false">
      <c r="A521" s="24" t="n">
        <f aca="false">ROUND(A520+0.01,2)</f>
        <v>76.16</v>
      </c>
      <c r="B521" s="25" t="n">
        <f aca="false">INDEX(Bang_F,MATCH(A521,Bang_Z,1))+(A521-INDEX(Bang_Z,MATCH(A521,Bang_Z,1)))*(INDEX(Bang_F,MATCH(A521,Bang_Z,1)+1)-INDEX(Bang_F,MATCH(A521,Bang_Z,1)))</f>
        <v>6.98</v>
      </c>
      <c r="C521" s="25" t="n">
        <f aca="false">INDEX(Bang_W,MATCH(A521,Bang_Z,1))+(A521-INDEX(Bang_Z,MATCH(A521,Bang_Z,1)))*(INDEX(Bang_F,MATCH(A521,Bang_Z,1))+B521)/2</f>
        <v>46.1104</v>
      </c>
      <c r="D521" s="26" t="n">
        <f aca="false">MAX(A521-TC_Z,0)</f>
        <v>1.45999999999999</v>
      </c>
      <c r="E521" s="27" t="n">
        <f aca="false">1-0.2*(TC_xmb+(TC_n-1)*TC_xmt)*D521/(TC_n*TC_b)</f>
        <v>0.941870370370371</v>
      </c>
      <c r="F521" s="28" t="n">
        <f aca="false">TC_s*E521*TC_m*TC_n*TC_b*SQRT(2*g_)*D521^1.5</f>
        <v>71.5378996410147</v>
      </c>
      <c r="G521" s="29" t="n">
        <f aca="false">MAX(A521-SC_Z,0)</f>
        <v>5.16</v>
      </c>
      <c r="H521" s="30" t="n">
        <f aca="false">1-0.2*(SC_xmb+(SC_n-1)*SC_xmt)*G521/(SC_n*SC_b)</f>
        <v>0.85552</v>
      </c>
      <c r="I521" s="31" t="n">
        <f aca="false">SC_s*H521*SC_m*SC_n*SC_b*SQRT(2*g_)*G521^1.5</f>
        <v>99.9394002446069</v>
      </c>
      <c r="J521" s="32" t="n">
        <f aca="false">F521+I521</f>
        <v>171.477299885622</v>
      </c>
      <c r="K521" s="32" t="n">
        <f aca="false">F521</f>
        <v>71.5378996410147</v>
      </c>
      <c r="L521" s="32" t="n">
        <f aca="false">C521*1000000/dt_s+J521/2</f>
        <v>12894.1830943872</v>
      </c>
      <c r="M521" s="32" t="n">
        <f aca="false">C521*1000000/dt_s+K521/2</f>
        <v>12844.2133942649</v>
      </c>
    </row>
    <row r="522" customFormat="false" ht="15" hidden="false" customHeight="false" outlineLevel="0" collapsed="false">
      <c r="A522" s="24" t="n">
        <f aca="false">ROUND(A521+0.01,2)</f>
        <v>76.17</v>
      </c>
      <c r="B522" s="25" t="n">
        <f aca="false">INDEX(Bang_F,MATCH(A522,Bang_Z,1))+(A522-INDEX(Bang_Z,MATCH(A522,Bang_Z,1)))*(INDEX(Bang_F,MATCH(A522,Bang_Z,1)+1)-INDEX(Bang_F,MATCH(A522,Bang_Z,1)))</f>
        <v>6.985</v>
      </c>
      <c r="C522" s="25" t="n">
        <f aca="false">INDEX(Bang_W,MATCH(A522,Bang_Z,1))+(A522-INDEX(Bang_Z,MATCH(A522,Bang_Z,1)))*(INDEX(Bang_F,MATCH(A522,Bang_Z,1))+B522)/2</f>
        <v>46.180225</v>
      </c>
      <c r="D522" s="26" t="n">
        <f aca="false">MAX(A522-TC_Z,0)</f>
        <v>1.47</v>
      </c>
      <c r="E522" s="27" t="n">
        <f aca="false">1-0.2*(TC_xmb+(TC_n-1)*TC_xmt)*D522/(TC_n*TC_b)</f>
        <v>0.941472222222222</v>
      </c>
      <c r="F522" s="28" t="n">
        <f aca="false">TC_s*E522*TC_m*TC_n*TC_b*SQRT(2*g_)*D522^1.5</f>
        <v>72.2435833771589</v>
      </c>
      <c r="G522" s="29" t="n">
        <f aca="false">MAX(A522-SC_Z,0)</f>
        <v>5.17</v>
      </c>
      <c r="H522" s="30" t="n">
        <f aca="false">1-0.2*(SC_xmb+(SC_n-1)*SC_xmt)*G522/(SC_n*SC_b)</f>
        <v>0.85524</v>
      </c>
      <c r="I522" s="31" t="n">
        <f aca="false">SC_s*H522*SC_m*SC_n*SC_b*SQRT(2*g_)*G522^1.5</f>
        <v>100.197258538883</v>
      </c>
      <c r="J522" s="32" t="n">
        <f aca="false">F522+I522</f>
        <v>172.440841916042</v>
      </c>
      <c r="K522" s="32" t="n">
        <f aca="false">F522</f>
        <v>72.2435833771589</v>
      </c>
      <c r="L522" s="32" t="n">
        <f aca="false">C522*1000000/dt_s+J522/2</f>
        <v>12914.0606987358</v>
      </c>
      <c r="M522" s="32" t="n">
        <f aca="false">C522*1000000/dt_s+K522/2</f>
        <v>12863.9620694664</v>
      </c>
    </row>
    <row r="523" customFormat="false" ht="15" hidden="false" customHeight="false" outlineLevel="0" collapsed="false">
      <c r="A523" s="24" t="n">
        <f aca="false">ROUND(A522+0.01,2)</f>
        <v>76.18</v>
      </c>
      <c r="B523" s="25" t="n">
        <f aca="false">INDEX(Bang_F,MATCH(A523,Bang_Z,1))+(A523-INDEX(Bang_Z,MATCH(A523,Bang_Z,1)))*(INDEX(Bang_F,MATCH(A523,Bang_Z,1)+1)-INDEX(Bang_F,MATCH(A523,Bang_Z,1)))</f>
        <v>6.99</v>
      </c>
      <c r="C523" s="25" t="n">
        <f aca="false">INDEX(Bang_W,MATCH(A523,Bang_Z,1))+(A523-INDEX(Bang_Z,MATCH(A523,Bang_Z,1)))*(INDEX(Bang_F,MATCH(A523,Bang_Z,1))+B523)/2</f>
        <v>46.2501</v>
      </c>
      <c r="D523" s="26" t="n">
        <f aca="false">MAX(A523-TC_Z,0)</f>
        <v>1.48</v>
      </c>
      <c r="E523" s="27" t="n">
        <f aca="false">1-0.2*(TC_xmb+(TC_n-1)*TC_xmt)*D523/(TC_n*TC_b)</f>
        <v>0.941074074074074</v>
      </c>
      <c r="F523" s="28" t="n">
        <f aca="false">TC_s*E523*TC_m*TC_n*TC_b*SQRT(2*g_)*D523^1.5</f>
        <v>72.9511510291152</v>
      </c>
      <c r="G523" s="29" t="n">
        <f aca="false">MAX(A523-SC_Z,0)</f>
        <v>5.18000000000001</v>
      </c>
      <c r="H523" s="30" t="n">
        <f aca="false">1-0.2*(SC_xmb+(SC_n-1)*SC_xmt)*G523/(SC_n*SC_b)</f>
        <v>0.85496</v>
      </c>
      <c r="I523" s="31" t="n">
        <f aca="false">SC_s*H523*SC_m*SC_n*SC_b*SQRT(2*g_)*G523^1.5</f>
        <v>100.455207630293</v>
      </c>
      <c r="J523" s="32" t="n">
        <f aca="false">F523+I523</f>
        <v>173.406358659408</v>
      </c>
      <c r="K523" s="32" t="n">
        <f aca="false">F523</f>
        <v>72.9511510291152</v>
      </c>
      <c r="L523" s="32" t="n">
        <f aca="false">C523*1000000/dt_s+J523/2</f>
        <v>12933.9531793297</v>
      </c>
      <c r="M523" s="32" t="n">
        <f aca="false">C523*1000000/dt_s+K523/2</f>
        <v>12883.7255755146</v>
      </c>
    </row>
    <row r="524" customFormat="false" ht="15" hidden="false" customHeight="false" outlineLevel="0" collapsed="false">
      <c r="A524" s="24" t="n">
        <f aca="false">ROUND(A523+0.01,2)</f>
        <v>76.19</v>
      </c>
      <c r="B524" s="25" t="n">
        <f aca="false">INDEX(Bang_F,MATCH(A524,Bang_Z,1))+(A524-INDEX(Bang_Z,MATCH(A524,Bang_Z,1)))*(INDEX(Bang_F,MATCH(A524,Bang_Z,1)+1)-INDEX(Bang_F,MATCH(A524,Bang_Z,1)))</f>
        <v>6.995</v>
      </c>
      <c r="C524" s="25" t="n">
        <f aca="false">INDEX(Bang_W,MATCH(A524,Bang_Z,1))+(A524-INDEX(Bang_Z,MATCH(A524,Bang_Z,1)))*(INDEX(Bang_F,MATCH(A524,Bang_Z,1))+B524)/2</f>
        <v>46.320025</v>
      </c>
      <c r="D524" s="26" t="n">
        <f aca="false">MAX(A524-TC_Z,0)</f>
        <v>1.48999999999999</v>
      </c>
      <c r="E524" s="27" t="n">
        <f aca="false">1-0.2*(TC_xmb+(TC_n-1)*TC_xmt)*D524/(TC_n*TC_b)</f>
        <v>0.940675925925926</v>
      </c>
      <c r="F524" s="28" t="n">
        <f aca="false">TC_s*E524*TC_m*TC_n*TC_b*SQRT(2*g_)*D524^1.5</f>
        <v>73.6605909374295</v>
      </c>
      <c r="G524" s="29" t="n">
        <f aca="false">MAX(A524-SC_Z,0)</f>
        <v>5.19</v>
      </c>
      <c r="H524" s="30" t="n">
        <f aca="false">1-0.2*(SC_xmb+(SC_n-1)*SC_xmt)*G524/(SC_n*SC_b)</f>
        <v>0.85468</v>
      </c>
      <c r="I524" s="31" t="n">
        <f aca="false">SC_s*H524*SC_m*SC_n*SC_b*SQRT(2*g_)*G524^1.5</f>
        <v>100.713246971366</v>
      </c>
      <c r="J524" s="32" t="n">
        <f aca="false">F524+I524</f>
        <v>174.373837908796</v>
      </c>
      <c r="K524" s="32" t="n">
        <f aca="false">F524</f>
        <v>73.6605909374295</v>
      </c>
      <c r="L524" s="32" t="n">
        <f aca="false">C524*1000000/dt_s+J524/2</f>
        <v>12953.8605300655</v>
      </c>
      <c r="M524" s="32" t="n">
        <f aca="false">C524*1000000/dt_s+K524/2</f>
        <v>12903.5039065798</v>
      </c>
    </row>
    <row r="525" customFormat="false" ht="15" hidden="false" customHeight="false" outlineLevel="0" collapsed="false">
      <c r="A525" s="24" t="n">
        <f aca="false">ROUND(A524+0.01,2)</f>
        <v>76.2</v>
      </c>
      <c r="B525" s="25" t="n">
        <f aca="false">INDEX(Bang_F,MATCH(A525,Bang_Z,1))+(A525-INDEX(Bang_Z,MATCH(A525,Bang_Z,1)))*(INDEX(Bang_F,MATCH(A525,Bang_Z,1)+1)-INDEX(Bang_F,MATCH(A525,Bang_Z,1)))</f>
        <v>7</v>
      </c>
      <c r="C525" s="25" t="n">
        <f aca="false">INDEX(Bang_W,MATCH(A525,Bang_Z,1))+(A525-INDEX(Bang_Z,MATCH(A525,Bang_Z,1)))*(INDEX(Bang_F,MATCH(A525,Bang_Z,1))+B525)/2</f>
        <v>46.39</v>
      </c>
      <c r="D525" s="26" t="n">
        <f aca="false">MAX(A525-TC_Z,0)</f>
        <v>1.5</v>
      </c>
      <c r="E525" s="27" t="n">
        <f aca="false">1-0.2*(TC_xmb+(TC_n-1)*TC_xmt)*D525/(TC_n*TC_b)</f>
        <v>0.940277777777778</v>
      </c>
      <c r="F525" s="28" t="n">
        <f aca="false">TC_s*E525*TC_m*TC_n*TC_b*SQRT(2*g_)*D525^1.5</f>
        <v>74.3718915424663</v>
      </c>
      <c r="G525" s="29" t="n">
        <f aca="false">MAX(A525-SC_Z,0)</f>
        <v>5.2</v>
      </c>
      <c r="H525" s="30" t="n">
        <f aca="false">1-0.2*(SC_xmb+(SC_n-1)*SC_xmt)*G525/(SC_n*SC_b)</f>
        <v>0.8544</v>
      </c>
      <c r="I525" s="31" t="n">
        <f aca="false">SC_s*H525*SC_m*SC_n*SC_b*SQRT(2*g_)*G525^1.5</f>
        <v>100.971376015771</v>
      </c>
      <c r="J525" s="32" t="n">
        <f aca="false">F525+I525</f>
        <v>175.343267558237</v>
      </c>
      <c r="K525" s="32" t="n">
        <f aca="false">F525</f>
        <v>74.3718915424663</v>
      </c>
      <c r="L525" s="32" t="n">
        <f aca="false">C525*1000000/dt_s+J525/2</f>
        <v>12973.7827448902</v>
      </c>
      <c r="M525" s="32" t="n">
        <f aca="false">C525*1000000/dt_s+K525/2</f>
        <v>12923.2970568824</v>
      </c>
    </row>
    <row r="526" customFormat="false" ht="15" hidden="false" customHeight="false" outlineLevel="0" collapsed="false">
      <c r="A526" s="24" t="n">
        <f aca="false">ROUND(A525+0.01,2)</f>
        <v>76.21</v>
      </c>
      <c r="B526" s="25" t="n">
        <f aca="false">INDEX(Bang_F,MATCH(A526,Bang_Z,1))+(A526-INDEX(Bang_Z,MATCH(A526,Bang_Z,1)))*(INDEX(Bang_F,MATCH(A526,Bang_Z,1)+1)-INDEX(Bang_F,MATCH(A526,Bang_Z,1)))</f>
        <v>7.005</v>
      </c>
      <c r="C526" s="25" t="n">
        <f aca="false">INDEX(Bang_W,MATCH(A526,Bang_Z,1))+(A526-INDEX(Bang_Z,MATCH(A526,Bang_Z,1)))*(INDEX(Bang_F,MATCH(A526,Bang_Z,1))+B526)/2</f>
        <v>46.460025</v>
      </c>
      <c r="D526" s="26" t="n">
        <f aca="false">MAX(A526-TC_Z,0)</f>
        <v>1.50999999999999</v>
      </c>
      <c r="E526" s="27" t="n">
        <f aca="false">1-0.2*(TC_xmb+(TC_n-1)*TC_xmt)*D526/(TC_n*TC_b)</f>
        <v>0.93987962962963</v>
      </c>
      <c r="F526" s="28" t="n">
        <f aca="false">TC_s*E526*TC_m*TC_n*TC_b*SQRT(2*g_)*D526^1.5</f>
        <v>75.0850413827942</v>
      </c>
      <c r="G526" s="29" t="n">
        <f aca="false">MAX(A526-SC_Z,0)</f>
        <v>5.20999999999999</v>
      </c>
      <c r="H526" s="30" t="n">
        <f aca="false">1-0.2*(SC_xmb+(SC_n-1)*SC_xmt)*G526/(SC_n*SC_b)</f>
        <v>0.85412</v>
      </c>
      <c r="I526" s="31" t="n">
        <f aca="false">SC_s*H526*SC_m*SC_n*SC_b*SQRT(2*g_)*G526^1.5</f>
        <v>101.22959421831</v>
      </c>
      <c r="J526" s="32" t="n">
        <f aca="false">F526+I526</f>
        <v>176.314635601104</v>
      </c>
      <c r="K526" s="32" t="n">
        <f aca="false">F526</f>
        <v>75.0850413827942</v>
      </c>
      <c r="L526" s="32" t="n">
        <f aca="false">C526*1000000/dt_s+J526/2</f>
        <v>12993.7198178005</v>
      </c>
      <c r="M526" s="32" t="n">
        <f aca="false">C526*1000000/dt_s+K526/2</f>
        <v>12943.1050206914</v>
      </c>
    </row>
    <row r="527" customFormat="false" ht="15" hidden="false" customHeight="false" outlineLevel="0" collapsed="false">
      <c r="A527" s="24" t="n">
        <f aca="false">ROUND(A526+0.01,2)</f>
        <v>76.22</v>
      </c>
      <c r="B527" s="25" t="n">
        <f aca="false">INDEX(Bang_F,MATCH(A527,Bang_Z,1))+(A527-INDEX(Bang_Z,MATCH(A527,Bang_Z,1)))*(INDEX(Bang_F,MATCH(A527,Bang_Z,1)+1)-INDEX(Bang_F,MATCH(A527,Bang_Z,1)))</f>
        <v>7.01</v>
      </c>
      <c r="C527" s="25" t="n">
        <f aca="false">INDEX(Bang_W,MATCH(A527,Bang_Z,1))+(A527-INDEX(Bang_Z,MATCH(A527,Bang_Z,1)))*(INDEX(Bang_F,MATCH(A527,Bang_Z,1))+B527)/2</f>
        <v>46.5301</v>
      </c>
      <c r="D527" s="26" t="n">
        <f aca="false">MAX(A527-TC_Z,0)</f>
        <v>1.52</v>
      </c>
      <c r="E527" s="27" t="n">
        <f aca="false">1-0.2*(TC_xmb+(TC_n-1)*TC_xmt)*D527/(TC_n*TC_b)</f>
        <v>0.939481481481482</v>
      </c>
      <c r="F527" s="28" t="n">
        <f aca="false">TC_s*E527*TC_m*TC_n*TC_b*SQRT(2*g_)*D527^1.5</f>
        <v>75.8000290936232</v>
      </c>
      <c r="G527" s="29" t="n">
        <f aca="false">MAX(A527-SC_Z,0)</f>
        <v>5.22</v>
      </c>
      <c r="H527" s="30" t="n">
        <f aca="false">1-0.2*(SC_xmb+(SC_n-1)*SC_xmt)*G527/(SC_n*SC_b)</f>
        <v>0.85384</v>
      </c>
      <c r="I527" s="31" t="n">
        <f aca="false">SC_s*H527*SC_m*SC_n*SC_b*SQRT(2*g_)*G527^1.5</f>
        <v>101.487901034917</v>
      </c>
      <c r="J527" s="32" t="n">
        <f aca="false">F527+I527</f>
        <v>177.28793012854</v>
      </c>
      <c r="K527" s="32" t="n">
        <f aca="false">F527</f>
        <v>75.8000290936232</v>
      </c>
      <c r="L527" s="32" t="n">
        <f aca="false">C527*1000000/dt_s+J527/2</f>
        <v>13013.671742842</v>
      </c>
      <c r="M527" s="32" t="n">
        <f aca="false">C527*1000000/dt_s+K527/2</f>
        <v>12962.9277923246</v>
      </c>
    </row>
    <row r="528" customFormat="false" ht="15" hidden="false" customHeight="false" outlineLevel="0" collapsed="false">
      <c r="A528" s="24" t="n">
        <f aca="false">ROUND(A527+0.01,2)</f>
        <v>76.23</v>
      </c>
      <c r="B528" s="25" t="n">
        <f aca="false">INDEX(Bang_F,MATCH(A528,Bang_Z,1))+(A528-INDEX(Bang_Z,MATCH(A528,Bang_Z,1)))*(INDEX(Bang_F,MATCH(A528,Bang_Z,1)+1)-INDEX(Bang_F,MATCH(A528,Bang_Z,1)))</f>
        <v>7.015</v>
      </c>
      <c r="C528" s="25" t="n">
        <f aca="false">INDEX(Bang_W,MATCH(A528,Bang_Z,1))+(A528-INDEX(Bang_Z,MATCH(A528,Bang_Z,1)))*(INDEX(Bang_F,MATCH(A528,Bang_Z,1))+B528)/2</f>
        <v>46.600225</v>
      </c>
      <c r="D528" s="26" t="n">
        <f aca="false">MAX(A528-TC_Z,0)</f>
        <v>1.53</v>
      </c>
      <c r="E528" s="27" t="n">
        <f aca="false">1-0.2*(TC_xmb+(TC_n-1)*TC_xmt)*D528/(TC_n*TC_b)</f>
        <v>0.939083333333333</v>
      </c>
      <c r="F528" s="28" t="n">
        <f aca="false">TC_s*E528*TC_m*TC_n*TC_b*SQRT(2*g_)*D528^1.5</f>
        <v>76.5168434052637</v>
      </c>
      <c r="G528" s="29" t="n">
        <f aca="false">MAX(A528-SC_Z,0)</f>
        <v>5.23</v>
      </c>
      <c r="H528" s="30" t="n">
        <f aca="false">1-0.2*(SC_xmb+(SC_n-1)*SC_xmt)*G528/(SC_n*SC_b)</f>
        <v>0.85356</v>
      </c>
      <c r="I528" s="31" t="n">
        <f aca="false">SC_s*H528*SC_m*SC_n*SC_b*SQRT(2*g_)*G528^1.5</f>
        <v>101.74629592265</v>
      </c>
      <c r="J528" s="32" t="n">
        <f aca="false">F528+I528</f>
        <v>178.263139327914</v>
      </c>
      <c r="K528" s="32" t="n">
        <f aca="false">F528</f>
        <v>76.5168434052637</v>
      </c>
      <c r="L528" s="32" t="n">
        <f aca="false">C528*1000000/dt_s+J528/2</f>
        <v>13033.6385141084</v>
      </c>
      <c r="M528" s="32" t="n">
        <f aca="false">C528*1000000/dt_s+K528/2</f>
        <v>12982.7653661471</v>
      </c>
    </row>
    <row r="529" customFormat="false" ht="15" hidden="false" customHeight="false" outlineLevel="0" collapsed="false">
      <c r="A529" s="24" t="n">
        <f aca="false">ROUND(A528+0.01,2)</f>
        <v>76.24</v>
      </c>
      <c r="B529" s="25" t="n">
        <f aca="false">INDEX(Bang_F,MATCH(A529,Bang_Z,1))+(A529-INDEX(Bang_Z,MATCH(A529,Bang_Z,1)))*(INDEX(Bang_F,MATCH(A529,Bang_Z,1)+1)-INDEX(Bang_F,MATCH(A529,Bang_Z,1)))</f>
        <v>7.02</v>
      </c>
      <c r="C529" s="25" t="n">
        <f aca="false">INDEX(Bang_W,MATCH(A529,Bang_Z,1))+(A529-INDEX(Bang_Z,MATCH(A529,Bang_Z,1)))*(INDEX(Bang_F,MATCH(A529,Bang_Z,1))+B529)/2</f>
        <v>46.6704</v>
      </c>
      <c r="D529" s="26" t="n">
        <f aca="false">MAX(A529-TC_Z,0)</f>
        <v>1.53999999999999</v>
      </c>
      <c r="E529" s="27" t="n">
        <f aca="false">1-0.2*(TC_xmb+(TC_n-1)*TC_xmt)*D529/(TC_n*TC_b)</f>
        <v>0.938685185185186</v>
      </c>
      <c r="F529" s="28" t="n">
        <f aca="false">TC_s*E529*TC_m*TC_n*TC_b*SQRT(2*g_)*D529^1.5</f>
        <v>77.2354731416285</v>
      </c>
      <c r="G529" s="29" t="n">
        <f aca="false">MAX(A529-SC_Z,0)</f>
        <v>5.24</v>
      </c>
      <c r="H529" s="30" t="n">
        <f aca="false">1-0.2*(SC_xmb+(SC_n-1)*SC_xmt)*G529/(SC_n*SC_b)</f>
        <v>0.85328</v>
      </c>
      <c r="I529" s="31" t="n">
        <f aca="false">SC_s*H529*SC_m*SC_n*SC_b*SQRT(2*g_)*G529^1.5</f>
        <v>102.004778339686</v>
      </c>
      <c r="J529" s="32" t="n">
        <f aca="false">F529+I529</f>
        <v>179.240251481314</v>
      </c>
      <c r="K529" s="32" t="n">
        <f aca="false">F529</f>
        <v>77.2354731416285</v>
      </c>
      <c r="L529" s="32" t="n">
        <f aca="false">C529*1000000/dt_s+J529/2</f>
        <v>13053.6201257406</v>
      </c>
      <c r="M529" s="32" t="n">
        <f aca="false">C529*1000000/dt_s+K529/2</f>
        <v>13002.6177365708</v>
      </c>
    </row>
    <row r="530" customFormat="false" ht="15" hidden="false" customHeight="false" outlineLevel="0" collapsed="false">
      <c r="A530" s="24" t="n">
        <f aca="false">ROUND(A529+0.01,2)</f>
        <v>76.25</v>
      </c>
      <c r="B530" s="25" t="n">
        <f aca="false">INDEX(Bang_F,MATCH(A530,Bang_Z,1))+(A530-INDEX(Bang_Z,MATCH(A530,Bang_Z,1)))*(INDEX(Bang_F,MATCH(A530,Bang_Z,1)+1)-INDEX(Bang_F,MATCH(A530,Bang_Z,1)))</f>
        <v>7.025</v>
      </c>
      <c r="C530" s="25" t="n">
        <f aca="false">INDEX(Bang_W,MATCH(A530,Bang_Z,1))+(A530-INDEX(Bang_Z,MATCH(A530,Bang_Z,1)))*(INDEX(Bang_F,MATCH(A530,Bang_Z,1))+B530)/2</f>
        <v>46.740625</v>
      </c>
      <c r="D530" s="26" t="n">
        <f aca="false">MAX(A530-TC_Z,0)</f>
        <v>1.55</v>
      </c>
      <c r="E530" s="27" t="n">
        <f aca="false">1-0.2*(TC_xmb+(TC_n-1)*TC_xmt)*D530/(TC_n*TC_b)</f>
        <v>0.938287037037037</v>
      </c>
      <c r="F530" s="28" t="n">
        <f aca="false">TC_s*E530*TC_m*TC_n*TC_b*SQRT(2*g_)*D530^1.5</f>
        <v>77.9559072187703</v>
      </c>
      <c r="G530" s="29" t="n">
        <f aca="false">MAX(A530-SC_Z,0)</f>
        <v>5.25</v>
      </c>
      <c r="H530" s="30" t="n">
        <f aca="false">1-0.2*(SC_xmb+(SC_n-1)*SC_xmt)*G530/(SC_n*SC_b)</f>
        <v>0.853</v>
      </c>
      <c r="I530" s="31" t="n">
        <f aca="false">SC_s*H530*SC_m*SC_n*SC_b*SQRT(2*g_)*G530^1.5</f>
        <v>102.263347745318</v>
      </c>
      <c r="J530" s="32" t="n">
        <f aca="false">F530+I530</f>
        <v>180.219254964088</v>
      </c>
      <c r="K530" s="32" t="n">
        <f aca="false">F530</f>
        <v>77.9559072187703</v>
      </c>
      <c r="L530" s="32" t="n">
        <f aca="false">C530*1000000/dt_s+J530/2</f>
        <v>13073.6165719265</v>
      </c>
      <c r="M530" s="32" t="n">
        <f aca="false">C530*1000000/dt_s+K530/2</f>
        <v>13022.4848980538</v>
      </c>
    </row>
    <row r="531" customFormat="false" ht="15" hidden="false" customHeight="false" outlineLevel="0" collapsed="false">
      <c r="A531" s="24" t="n">
        <f aca="false">ROUND(A530+0.01,2)</f>
        <v>76.26</v>
      </c>
      <c r="B531" s="25" t="n">
        <f aca="false">INDEX(Bang_F,MATCH(A531,Bang_Z,1))+(A531-INDEX(Bang_Z,MATCH(A531,Bang_Z,1)))*(INDEX(Bang_F,MATCH(A531,Bang_Z,1)+1)-INDEX(Bang_F,MATCH(A531,Bang_Z,1)))</f>
        <v>7.03</v>
      </c>
      <c r="C531" s="25" t="n">
        <f aca="false">INDEX(Bang_W,MATCH(A531,Bang_Z,1))+(A531-INDEX(Bang_Z,MATCH(A531,Bang_Z,1)))*(INDEX(Bang_F,MATCH(A531,Bang_Z,1))+B531)/2</f>
        <v>46.8109</v>
      </c>
      <c r="D531" s="26" t="n">
        <f aca="false">MAX(A531-TC_Z,0)</f>
        <v>1.56</v>
      </c>
      <c r="E531" s="27" t="n">
        <f aca="false">1-0.2*(TC_xmb+(TC_n-1)*TC_xmt)*D531/(TC_n*TC_b)</f>
        <v>0.937888888888889</v>
      </c>
      <c r="F531" s="28" t="n">
        <f aca="false">TC_s*E531*TC_m*TC_n*TC_b*SQRT(2*g_)*D531^1.5</f>
        <v>78.6781346434405</v>
      </c>
      <c r="G531" s="29" t="n">
        <f aca="false">MAX(A531-SC_Z,0)</f>
        <v>5.26000000000001</v>
      </c>
      <c r="H531" s="30" t="n">
        <f aca="false">1-0.2*(SC_xmb+(SC_n-1)*SC_xmt)*G531/(SC_n*SC_b)</f>
        <v>0.85272</v>
      </c>
      <c r="I531" s="31" t="n">
        <f aca="false">SC_s*H531*SC_m*SC_n*SC_b*SQRT(2*g_)*G531^1.5</f>
        <v>102.522003599949</v>
      </c>
      <c r="J531" s="32" t="n">
        <f aca="false">F531+I531</f>
        <v>181.20013824339</v>
      </c>
      <c r="K531" s="32" t="n">
        <f aca="false">F531</f>
        <v>78.6781346434405</v>
      </c>
      <c r="L531" s="32" t="n">
        <f aca="false">C531*1000000/dt_s+J531/2</f>
        <v>13093.6278468995</v>
      </c>
      <c r="M531" s="32" t="n">
        <f aca="false">C531*1000000/dt_s+K531/2</f>
        <v>13042.3668450995</v>
      </c>
    </row>
    <row r="532" customFormat="false" ht="15" hidden="false" customHeight="false" outlineLevel="0" collapsed="false">
      <c r="A532" s="24" t="n">
        <f aca="false">ROUND(A531+0.01,2)</f>
        <v>76.27</v>
      </c>
      <c r="B532" s="25" t="n">
        <f aca="false">INDEX(Bang_F,MATCH(A532,Bang_Z,1))+(A532-INDEX(Bang_Z,MATCH(A532,Bang_Z,1)))*(INDEX(Bang_F,MATCH(A532,Bang_Z,1)+1)-INDEX(Bang_F,MATCH(A532,Bang_Z,1)))</f>
        <v>7.035</v>
      </c>
      <c r="C532" s="25" t="n">
        <f aca="false">INDEX(Bang_W,MATCH(A532,Bang_Z,1))+(A532-INDEX(Bang_Z,MATCH(A532,Bang_Z,1)))*(INDEX(Bang_F,MATCH(A532,Bang_Z,1))+B532)/2</f>
        <v>46.881225</v>
      </c>
      <c r="D532" s="26" t="n">
        <f aca="false">MAX(A532-TC_Z,0)</f>
        <v>1.56999999999999</v>
      </c>
      <c r="E532" s="27" t="n">
        <f aca="false">1-0.2*(TC_xmb+(TC_n-1)*TC_xmt)*D532/(TC_n*TC_b)</f>
        <v>0.937490740740741</v>
      </c>
      <c r="F532" s="28" t="n">
        <f aca="false">TC_s*E532*TC_m*TC_n*TC_b*SQRT(2*g_)*D532^1.5</f>
        <v>79.4021445116913</v>
      </c>
      <c r="G532" s="29" t="n">
        <f aca="false">MAX(A532-SC_Z,0)</f>
        <v>5.27</v>
      </c>
      <c r="H532" s="30" t="n">
        <f aca="false">1-0.2*(SC_xmb+(SC_n-1)*SC_xmt)*G532/(SC_n*SC_b)</f>
        <v>0.85244</v>
      </c>
      <c r="I532" s="31" t="n">
        <f aca="false">SC_s*H532*SC_m*SC_n*SC_b*SQRT(2*g_)*G532^1.5</f>
        <v>102.780745365087</v>
      </c>
      <c r="J532" s="32" t="n">
        <f aca="false">F532+I532</f>
        <v>182.182889876778</v>
      </c>
      <c r="K532" s="32" t="n">
        <f aca="false">F532</f>
        <v>79.4021445116913</v>
      </c>
      <c r="L532" s="32" t="n">
        <f aca="false">C532*1000000/dt_s+J532/2</f>
        <v>13113.6539449384</v>
      </c>
      <c r="M532" s="32" t="n">
        <f aca="false">C532*1000000/dt_s+K532/2</f>
        <v>13062.2635722558</v>
      </c>
    </row>
    <row r="533" customFormat="false" ht="15" hidden="false" customHeight="false" outlineLevel="0" collapsed="false">
      <c r="A533" s="24" t="n">
        <f aca="false">ROUND(A532+0.01,2)</f>
        <v>76.28</v>
      </c>
      <c r="B533" s="25" t="n">
        <f aca="false">INDEX(Bang_F,MATCH(A533,Bang_Z,1))+(A533-INDEX(Bang_Z,MATCH(A533,Bang_Z,1)))*(INDEX(Bang_F,MATCH(A533,Bang_Z,1)+1)-INDEX(Bang_F,MATCH(A533,Bang_Z,1)))</f>
        <v>7.04</v>
      </c>
      <c r="C533" s="25" t="n">
        <f aca="false">INDEX(Bang_W,MATCH(A533,Bang_Z,1))+(A533-INDEX(Bang_Z,MATCH(A533,Bang_Z,1)))*(INDEX(Bang_F,MATCH(A533,Bang_Z,1))+B533)/2</f>
        <v>46.9516</v>
      </c>
      <c r="D533" s="26" t="n">
        <f aca="false">MAX(A533-TC_Z,0)</f>
        <v>1.58</v>
      </c>
      <c r="E533" s="27" t="n">
        <f aca="false">1-0.2*(TC_xmb+(TC_n-1)*TC_xmt)*D533/(TC_n*TC_b)</f>
        <v>0.937092592592593</v>
      </c>
      <c r="F533" s="28" t="n">
        <f aca="false">TC_s*E533*TC_m*TC_n*TC_b*SQRT(2*g_)*D533^1.5</f>
        <v>80.1279260075063</v>
      </c>
      <c r="G533" s="29" t="n">
        <f aca="false">MAX(A533-SC_Z,0)</f>
        <v>5.28</v>
      </c>
      <c r="H533" s="30" t="n">
        <f aca="false">1-0.2*(SC_xmb+(SC_n-1)*SC_xmt)*G533/(SC_n*SC_b)</f>
        <v>0.85216</v>
      </c>
      <c r="I533" s="31" t="n">
        <f aca="false">SC_s*H533*SC_m*SC_n*SC_b*SQRT(2*g_)*G533^1.5</f>
        <v>103.03957250334</v>
      </c>
      <c r="J533" s="32" t="n">
        <f aca="false">F533+I533</f>
        <v>183.167498510846</v>
      </c>
      <c r="K533" s="32" t="n">
        <f aca="false">F533</f>
        <v>80.1279260075063</v>
      </c>
      <c r="L533" s="32" t="n">
        <f aca="false">C533*1000000/dt_s+J533/2</f>
        <v>13133.6948603665</v>
      </c>
      <c r="M533" s="32" t="n">
        <f aca="false">C533*1000000/dt_s+K533/2</f>
        <v>13082.1750741149</v>
      </c>
    </row>
    <row r="534" customFormat="false" ht="15" hidden="false" customHeight="false" outlineLevel="0" collapsed="false">
      <c r="A534" s="24" t="n">
        <f aca="false">ROUND(A533+0.01,2)</f>
        <v>76.29</v>
      </c>
      <c r="B534" s="25" t="n">
        <f aca="false">INDEX(Bang_F,MATCH(A534,Bang_Z,1))+(A534-INDEX(Bang_Z,MATCH(A534,Bang_Z,1)))*(INDEX(Bang_F,MATCH(A534,Bang_Z,1)+1)-INDEX(Bang_F,MATCH(A534,Bang_Z,1)))</f>
        <v>7.045</v>
      </c>
      <c r="C534" s="25" t="n">
        <f aca="false">INDEX(Bang_W,MATCH(A534,Bang_Z,1))+(A534-INDEX(Bang_Z,MATCH(A534,Bang_Z,1)))*(INDEX(Bang_F,MATCH(A534,Bang_Z,1))+B534)/2</f>
        <v>47.022025</v>
      </c>
      <c r="D534" s="26" t="n">
        <f aca="false">MAX(A534-TC_Z,0)</f>
        <v>1.59</v>
      </c>
      <c r="E534" s="27" t="n">
        <f aca="false">1-0.2*(TC_xmb+(TC_n-1)*TC_xmt)*D534/(TC_n*TC_b)</f>
        <v>0.936694444444444</v>
      </c>
      <c r="F534" s="28" t="n">
        <f aca="false">TC_s*E534*TC_m*TC_n*TC_b*SQRT(2*g_)*D534^1.5</f>
        <v>80.8554684014536</v>
      </c>
      <c r="G534" s="29" t="n">
        <f aca="false">MAX(A534-SC_Z,0)</f>
        <v>5.29000000000001</v>
      </c>
      <c r="H534" s="30" t="n">
        <f aca="false">1-0.2*(SC_xmb+(SC_n-1)*SC_xmt)*G534/(SC_n*SC_b)</f>
        <v>0.85188</v>
      </c>
      <c r="I534" s="31" t="n">
        <f aca="false">SC_s*H534*SC_m*SC_n*SC_b*SQRT(2*g_)*G534^1.5</f>
        <v>103.298484478411</v>
      </c>
      <c r="J534" s="32" t="n">
        <f aca="false">F534+I534</f>
        <v>184.153952879864</v>
      </c>
      <c r="K534" s="32" t="n">
        <f aca="false">F534</f>
        <v>80.8554684014536</v>
      </c>
      <c r="L534" s="32" t="n">
        <f aca="false">C534*1000000/dt_s+J534/2</f>
        <v>13153.7505875511</v>
      </c>
      <c r="M534" s="32" t="n">
        <f aca="false">C534*1000000/dt_s+K534/2</f>
        <v>13102.1013453119</v>
      </c>
    </row>
    <row r="535" customFormat="false" ht="15" hidden="false" customHeight="false" outlineLevel="0" collapsed="false">
      <c r="A535" s="24" t="n">
        <f aca="false">ROUND(A534+0.01,2)</f>
        <v>76.3</v>
      </c>
      <c r="B535" s="25" t="n">
        <f aca="false">INDEX(Bang_F,MATCH(A535,Bang_Z,1))+(A535-INDEX(Bang_Z,MATCH(A535,Bang_Z,1)))*(INDEX(Bang_F,MATCH(A535,Bang_Z,1)+1)-INDEX(Bang_F,MATCH(A535,Bang_Z,1)))</f>
        <v>7.05</v>
      </c>
      <c r="C535" s="25" t="n">
        <f aca="false">INDEX(Bang_W,MATCH(A535,Bang_Z,1))+(A535-INDEX(Bang_Z,MATCH(A535,Bang_Z,1)))*(INDEX(Bang_F,MATCH(A535,Bang_Z,1))+B535)/2</f>
        <v>47.0925</v>
      </c>
      <c r="D535" s="26" t="n">
        <f aca="false">MAX(A535-TC_Z,0)</f>
        <v>1.59999999999999</v>
      </c>
      <c r="E535" s="27" t="n">
        <f aca="false">1-0.2*(TC_xmb+(TC_n-1)*TC_xmt)*D535/(TC_n*TC_b)</f>
        <v>0.936296296296297</v>
      </c>
      <c r="F535" s="28" t="n">
        <f aca="false">TC_s*E535*TC_m*TC_n*TC_b*SQRT(2*g_)*D535^1.5</f>
        <v>81.584761049376</v>
      </c>
      <c r="G535" s="29" t="n">
        <f aca="false">MAX(A535-SC_Z,0)</f>
        <v>5.3</v>
      </c>
      <c r="H535" s="30" t="n">
        <f aca="false">1-0.2*(SC_xmb+(SC_n-1)*SC_xmt)*G535/(SC_n*SC_b)</f>
        <v>0.8516</v>
      </c>
      <c r="I535" s="31" t="n">
        <f aca="false">SC_s*H535*SC_m*SC_n*SC_b*SQRT(2*g_)*G535^1.5</f>
        <v>103.557480755095</v>
      </c>
      <c r="J535" s="32" t="n">
        <f aca="false">F535+I535</f>
        <v>185.142241804471</v>
      </c>
      <c r="K535" s="32" t="n">
        <f aca="false">F535</f>
        <v>81.584761049376</v>
      </c>
      <c r="L535" s="32" t="n">
        <f aca="false">C535*1000000/dt_s+J535/2</f>
        <v>13173.8211209022</v>
      </c>
      <c r="M535" s="32" t="n">
        <f aca="false">C535*1000000/dt_s+K535/2</f>
        <v>13122.0423805247</v>
      </c>
    </row>
    <row r="536" customFormat="false" ht="15" hidden="false" customHeight="false" outlineLevel="0" collapsed="false">
      <c r="A536" s="24" t="n">
        <f aca="false">ROUND(A535+0.01,2)</f>
        <v>76.31</v>
      </c>
      <c r="B536" s="25" t="n">
        <f aca="false">INDEX(Bang_F,MATCH(A536,Bang_Z,1))+(A536-INDEX(Bang_Z,MATCH(A536,Bang_Z,1)))*(INDEX(Bang_F,MATCH(A536,Bang_Z,1)+1)-INDEX(Bang_F,MATCH(A536,Bang_Z,1)))</f>
        <v>7.055</v>
      </c>
      <c r="C536" s="25" t="n">
        <f aca="false">INDEX(Bang_W,MATCH(A536,Bang_Z,1))+(A536-INDEX(Bang_Z,MATCH(A536,Bang_Z,1)))*(INDEX(Bang_F,MATCH(A536,Bang_Z,1))+B536)/2</f>
        <v>47.163025</v>
      </c>
      <c r="D536" s="26" t="n">
        <f aca="false">MAX(A536-TC_Z,0)</f>
        <v>1.61</v>
      </c>
      <c r="E536" s="27" t="n">
        <f aca="false">1-0.2*(TC_xmb+(TC_n-1)*TC_xmt)*D536/(TC_n*TC_b)</f>
        <v>0.935898148148148</v>
      </c>
      <c r="F536" s="28" t="n">
        <f aca="false">TC_s*E536*TC_m*TC_n*TC_b*SQRT(2*g_)*D536^1.5</f>
        <v>82.3157933911104</v>
      </c>
      <c r="G536" s="29" t="n">
        <f aca="false">MAX(A536-SC_Z,0)</f>
        <v>5.31</v>
      </c>
      <c r="H536" s="30" t="n">
        <f aca="false">1-0.2*(SC_xmb+(SC_n-1)*SC_xmt)*G536/(SC_n*SC_b)</f>
        <v>0.85132</v>
      </c>
      <c r="I536" s="31" t="n">
        <f aca="false">SC_s*H536*SC_m*SC_n*SC_b*SQRT(2*g_)*G536^1.5</f>
        <v>103.816560799273</v>
      </c>
      <c r="J536" s="32" t="n">
        <f aca="false">F536+I536</f>
        <v>186.132354190384</v>
      </c>
      <c r="K536" s="32" t="n">
        <f aca="false">F536</f>
        <v>82.3157933911104</v>
      </c>
      <c r="L536" s="32" t="n">
        <f aca="false">C536*1000000/dt_s+J536/2</f>
        <v>13193.906454873</v>
      </c>
      <c r="M536" s="32" t="n">
        <f aca="false">C536*1000000/dt_s+K536/2</f>
        <v>13141.9981744733</v>
      </c>
    </row>
    <row r="537" customFormat="false" ht="15" hidden="false" customHeight="false" outlineLevel="0" collapsed="false">
      <c r="A537" s="24" t="n">
        <f aca="false">ROUND(A536+0.01,2)</f>
        <v>76.32</v>
      </c>
      <c r="B537" s="25" t="n">
        <f aca="false">INDEX(Bang_F,MATCH(A537,Bang_Z,1))+(A537-INDEX(Bang_Z,MATCH(A537,Bang_Z,1)))*(INDEX(Bang_F,MATCH(A537,Bang_Z,1)+1)-INDEX(Bang_F,MATCH(A537,Bang_Z,1)))</f>
        <v>7.06</v>
      </c>
      <c r="C537" s="25" t="n">
        <f aca="false">INDEX(Bang_W,MATCH(A537,Bang_Z,1))+(A537-INDEX(Bang_Z,MATCH(A537,Bang_Z,1)))*(INDEX(Bang_F,MATCH(A537,Bang_Z,1))+B537)/2</f>
        <v>47.2336</v>
      </c>
      <c r="D537" s="26" t="n">
        <f aca="false">MAX(A537-TC_Z,0)</f>
        <v>1.61999999999999</v>
      </c>
      <c r="E537" s="27" t="n">
        <f aca="false">1-0.2*(TC_xmb+(TC_n-1)*TC_xmt)*D537/(TC_n*TC_b)</f>
        <v>0.9355</v>
      </c>
      <c r="F537" s="28" t="n">
        <f aca="false">TC_s*E537*TC_m*TC_n*TC_b*SQRT(2*g_)*D537^1.5</f>
        <v>83.0485549492234</v>
      </c>
      <c r="G537" s="29" t="n">
        <f aca="false">MAX(A537-SC_Z,0)</f>
        <v>5.31999999999999</v>
      </c>
      <c r="H537" s="30" t="n">
        <f aca="false">1-0.2*(SC_xmb+(SC_n-1)*SC_xmt)*G537/(SC_n*SC_b)</f>
        <v>0.85104</v>
      </c>
      <c r="I537" s="31" t="n">
        <f aca="false">SC_s*H537*SC_m*SC_n*SC_b*SQRT(2*g_)*G537^1.5</f>
        <v>104.075724077906</v>
      </c>
      <c r="J537" s="32" t="n">
        <f aca="false">F537+I537</f>
        <v>187.12427902713</v>
      </c>
      <c r="K537" s="32" t="n">
        <f aca="false">F537</f>
        <v>83.0485549492234</v>
      </c>
      <c r="L537" s="32" t="n">
        <f aca="false">C537*1000000/dt_s+J537/2</f>
        <v>13214.006583958</v>
      </c>
      <c r="M537" s="32" t="n">
        <f aca="false">C537*1000000/dt_s+K537/2</f>
        <v>13161.968721919</v>
      </c>
    </row>
    <row r="538" customFormat="false" ht="15" hidden="false" customHeight="false" outlineLevel="0" collapsed="false">
      <c r="A538" s="24" t="n">
        <f aca="false">ROUND(A537+0.01,2)</f>
        <v>76.33</v>
      </c>
      <c r="B538" s="25" t="n">
        <f aca="false">INDEX(Bang_F,MATCH(A538,Bang_Z,1))+(A538-INDEX(Bang_Z,MATCH(A538,Bang_Z,1)))*(INDEX(Bang_F,MATCH(A538,Bang_Z,1)+1)-INDEX(Bang_F,MATCH(A538,Bang_Z,1)))</f>
        <v>7.065</v>
      </c>
      <c r="C538" s="25" t="n">
        <f aca="false">INDEX(Bang_W,MATCH(A538,Bang_Z,1))+(A538-INDEX(Bang_Z,MATCH(A538,Bang_Z,1)))*(INDEX(Bang_F,MATCH(A538,Bang_Z,1))+B538)/2</f>
        <v>47.304225</v>
      </c>
      <c r="D538" s="26" t="n">
        <f aca="false">MAX(A538-TC_Z,0)</f>
        <v>1.63</v>
      </c>
      <c r="E538" s="27" t="n">
        <f aca="false">1-0.2*(TC_xmb+(TC_n-1)*TC_xmt)*D538/(TC_n*TC_b)</f>
        <v>0.935101851851852</v>
      </c>
      <c r="F538" s="28" t="n">
        <f aca="false">TC_s*E538*TC_m*TC_n*TC_b*SQRT(2*g_)*D538^1.5</f>
        <v>83.7830353277902</v>
      </c>
      <c r="G538" s="29" t="n">
        <f aca="false">MAX(A538-SC_Z,0)</f>
        <v>5.33</v>
      </c>
      <c r="H538" s="30" t="n">
        <f aca="false">1-0.2*(SC_xmb+(SC_n-1)*SC_xmt)*G538/(SC_n*SC_b)</f>
        <v>0.85076</v>
      </c>
      <c r="I538" s="31" t="n">
        <f aca="false">SC_s*H538*SC_m*SC_n*SC_b*SQRT(2*g_)*G538^1.5</f>
        <v>104.334970059034</v>
      </c>
      <c r="J538" s="32" t="n">
        <f aca="false">F538+I538</f>
        <v>188.118005386824</v>
      </c>
      <c r="K538" s="32" t="n">
        <f aca="false">F538</f>
        <v>83.7830353277902</v>
      </c>
      <c r="L538" s="32" t="n">
        <f aca="false">C538*1000000/dt_s+J538/2</f>
        <v>13234.1215026934</v>
      </c>
      <c r="M538" s="32" t="n">
        <f aca="false">C538*1000000/dt_s+K538/2</f>
        <v>13181.9540176639</v>
      </c>
    </row>
    <row r="539" customFormat="false" ht="15" hidden="false" customHeight="false" outlineLevel="0" collapsed="false">
      <c r="A539" s="24" t="n">
        <f aca="false">ROUND(A538+0.01,2)</f>
        <v>76.34</v>
      </c>
      <c r="B539" s="25" t="n">
        <f aca="false">INDEX(Bang_F,MATCH(A539,Bang_Z,1))+(A539-INDEX(Bang_Z,MATCH(A539,Bang_Z,1)))*(INDEX(Bang_F,MATCH(A539,Bang_Z,1)+1)-INDEX(Bang_F,MATCH(A539,Bang_Z,1)))</f>
        <v>7.07</v>
      </c>
      <c r="C539" s="25" t="n">
        <f aca="false">INDEX(Bang_W,MATCH(A539,Bang_Z,1))+(A539-INDEX(Bang_Z,MATCH(A539,Bang_Z,1)))*(INDEX(Bang_F,MATCH(A539,Bang_Z,1))+B539)/2</f>
        <v>47.3749</v>
      </c>
      <c r="D539" s="26" t="n">
        <f aca="false">MAX(A539-TC_Z,0)</f>
        <v>1.64</v>
      </c>
      <c r="E539" s="27" t="n">
        <f aca="false">1-0.2*(TC_xmb+(TC_n-1)*TC_xmt)*D539/(TC_n*TC_b)</f>
        <v>0.934703703703704</v>
      </c>
      <c r="F539" s="28" t="n">
        <f aca="false">TC_s*E539*TC_m*TC_n*TC_b*SQRT(2*g_)*D539^1.5</f>
        <v>84.5192242111831</v>
      </c>
      <c r="G539" s="29" t="n">
        <f aca="false">MAX(A539-SC_Z,0)</f>
        <v>5.34</v>
      </c>
      <c r="H539" s="30" t="n">
        <f aca="false">1-0.2*(SC_xmb+(SC_n-1)*SC_xmt)*G539/(SC_n*SC_b)</f>
        <v>0.85048</v>
      </c>
      <c r="I539" s="31" t="n">
        <f aca="false">SC_s*H539*SC_m*SC_n*SC_b*SQRT(2*g_)*G539^1.5</f>
        <v>104.594298211766</v>
      </c>
      <c r="J539" s="32" t="n">
        <f aca="false">F539+I539</f>
        <v>189.113522422949</v>
      </c>
      <c r="K539" s="32" t="n">
        <f aca="false">F539</f>
        <v>84.5192242111831</v>
      </c>
      <c r="L539" s="32" t="n">
        <f aca="false">C539*1000000/dt_s+J539/2</f>
        <v>13254.2512056559</v>
      </c>
      <c r="M539" s="32" t="n">
        <f aca="false">C539*1000000/dt_s+K539/2</f>
        <v>13201.95405655</v>
      </c>
    </row>
    <row r="540" customFormat="false" ht="15" hidden="false" customHeight="false" outlineLevel="0" collapsed="false">
      <c r="A540" s="24" t="n">
        <f aca="false">ROUND(A539+0.01,2)</f>
        <v>76.35</v>
      </c>
      <c r="B540" s="25" t="n">
        <f aca="false">INDEX(Bang_F,MATCH(A540,Bang_Z,1))+(A540-INDEX(Bang_Z,MATCH(A540,Bang_Z,1)))*(INDEX(Bang_F,MATCH(A540,Bang_Z,1)+1)-INDEX(Bang_F,MATCH(A540,Bang_Z,1)))</f>
        <v>7.075</v>
      </c>
      <c r="C540" s="25" t="n">
        <f aca="false">INDEX(Bang_W,MATCH(A540,Bang_Z,1))+(A540-INDEX(Bang_Z,MATCH(A540,Bang_Z,1)))*(INDEX(Bang_F,MATCH(A540,Bang_Z,1))+B540)/2</f>
        <v>47.445625</v>
      </c>
      <c r="D540" s="26" t="n">
        <f aca="false">MAX(A540-TC_Z,0)</f>
        <v>1.64999999999999</v>
      </c>
      <c r="E540" s="27" t="n">
        <f aca="false">1-0.2*(TC_xmb+(TC_n-1)*TC_xmt)*D540/(TC_n*TC_b)</f>
        <v>0.934305555555556</v>
      </c>
      <c r="F540" s="28" t="n">
        <f aca="false">TC_s*E540*TC_m*TC_n*TC_b*SQRT(2*g_)*D540^1.5</f>
        <v>85.2571113628962</v>
      </c>
      <c r="G540" s="29" t="n">
        <f aca="false">MAX(A540-SC_Z,0)</f>
        <v>5.34999999999999</v>
      </c>
      <c r="H540" s="30" t="n">
        <f aca="false">1-0.2*(SC_xmb+(SC_n-1)*SC_xmt)*G540/(SC_n*SC_b)</f>
        <v>0.8502</v>
      </c>
      <c r="I540" s="31" t="n">
        <f aca="false">SC_s*H540*SC_m*SC_n*SC_b*SQRT(2*g_)*G540^1.5</f>
        <v>104.853708006279</v>
      </c>
      <c r="J540" s="32" t="n">
        <f aca="false">F540+I540</f>
        <v>190.110819369175</v>
      </c>
      <c r="K540" s="32" t="n">
        <f aca="false">F540</f>
        <v>85.2571113628962</v>
      </c>
      <c r="L540" s="32" t="n">
        <f aca="false">C540*1000000/dt_s+J540/2</f>
        <v>13274.3956874624</v>
      </c>
      <c r="M540" s="32" t="n">
        <f aca="false">C540*1000000/dt_s+K540/2</f>
        <v>13221.9688334592</v>
      </c>
    </row>
    <row r="541" customFormat="false" ht="15" hidden="false" customHeight="false" outlineLevel="0" collapsed="false">
      <c r="A541" s="24" t="n">
        <f aca="false">ROUND(A540+0.01,2)</f>
        <v>76.36</v>
      </c>
      <c r="B541" s="25" t="n">
        <f aca="false">INDEX(Bang_F,MATCH(A541,Bang_Z,1))+(A541-INDEX(Bang_Z,MATCH(A541,Bang_Z,1)))*(INDEX(Bang_F,MATCH(A541,Bang_Z,1)+1)-INDEX(Bang_F,MATCH(A541,Bang_Z,1)))</f>
        <v>7.08</v>
      </c>
      <c r="C541" s="25" t="n">
        <f aca="false">INDEX(Bang_W,MATCH(A541,Bang_Z,1))+(A541-INDEX(Bang_Z,MATCH(A541,Bang_Z,1)))*(INDEX(Bang_F,MATCH(A541,Bang_Z,1))+B541)/2</f>
        <v>47.5164</v>
      </c>
      <c r="D541" s="26" t="n">
        <f aca="false">MAX(A541-TC_Z,0)</f>
        <v>1.66</v>
      </c>
      <c r="E541" s="27" t="n">
        <f aca="false">1-0.2*(TC_xmb+(TC_n-1)*TC_xmt)*D541/(TC_n*TC_b)</f>
        <v>0.933907407407408</v>
      </c>
      <c r="F541" s="28" t="n">
        <f aca="false">TC_s*E541*TC_m*TC_n*TC_b*SQRT(2*g_)*D541^1.5</f>
        <v>85.9966866243942</v>
      </c>
      <c r="G541" s="29" t="n">
        <f aca="false">MAX(A541-SC_Z,0)</f>
        <v>5.36</v>
      </c>
      <c r="H541" s="30" t="n">
        <f aca="false">1-0.2*(SC_xmb+(SC_n-1)*SC_xmt)*G541/(SC_n*SC_b)</f>
        <v>0.84992</v>
      </c>
      <c r="I541" s="31" t="n">
        <f aca="false">SC_s*H541*SC_m*SC_n*SC_b*SQRT(2*g_)*G541^1.5</f>
        <v>105.113198913816</v>
      </c>
      <c r="J541" s="32" t="n">
        <f aca="false">F541+I541</f>
        <v>191.10988553821</v>
      </c>
      <c r="K541" s="32" t="n">
        <f aca="false">F541</f>
        <v>85.9966866243942</v>
      </c>
      <c r="L541" s="32" t="n">
        <f aca="false">C541*1000000/dt_s+J541/2</f>
        <v>13294.5549427691</v>
      </c>
      <c r="M541" s="32" t="n">
        <f aca="false">C541*1000000/dt_s+K541/2</f>
        <v>13241.9983433122</v>
      </c>
    </row>
    <row r="542" customFormat="false" ht="15" hidden="false" customHeight="false" outlineLevel="0" collapsed="false">
      <c r="A542" s="24" t="n">
        <f aca="false">ROUND(A541+0.01,2)</f>
        <v>76.37</v>
      </c>
      <c r="B542" s="25" t="n">
        <f aca="false">INDEX(Bang_F,MATCH(A542,Bang_Z,1))+(A542-INDEX(Bang_Z,MATCH(A542,Bang_Z,1)))*(INDEX(Bang_F,MATCH(A542,Bang_Z,1)+1)-INDEX(Bang_F,MATCH(A542,Bang_Z,1)))</f>
        <v>7.085</v>
      </c>
      <c r="C542" s="25" t="n">
        <f aca="false">INDEX(Bang_W,MATCH(A542,Bang_Z,1))+(A542-INDEX(Bang_Z,MATCH(A542,Bang_Z,1)))*(INDEX(Bang_F,MATCH(A542,Bang_Z,1))+B542)/2</f>
        <v>47.587225</v>
      </c>
      <c r="D542" s="26" t="n">
        <f aca="false">MAX(A542-TC_Z,0)</f>
        <v>1.67</v>
      </c>
      <c r="E542" s="27" t="n">
        <f aca="false">1-0.2*(TC_xmb+(TC_n-1)*TC_xmt)*D542/(TC_n*TC_b)</f>
        <v>0.933509259259259</v>
      </c>
      <c r="F542" s="28" t="n">
        <f aca="false">TC_s*E542*TC_m*TC_n*TC_b*SQRT(2*g_)*D542^1.5</f>
        <v>86.7379399139767</v>
      </c>
      <c r="G542" s="29" t="n">
        <f aca="false">MAX(A542-SC_Z,0)</f>
        <v>5.37</v>
      </c>
      <c r="H542" s="30" t="n">
        <f aca="false">1-0.2*(SC_xmb+(SC_n-1)*SC_xmt)*G542/(SC_n*SC_b)</f>
        <v>0.84964</v>
      </c>
      <c r="I542" s="31" t="n">
        <f aca="false">SC_s*H542*SC_m*SC_n*SC_b*SQRT(2*g_)*G542^1.5</f>
        <v>105.372770406674</v>
      </c>
      <c r="J542" s="32" t="n">
        <f aca="false">F542+I542</f>
        <v>192.110710320651</v>
      </c>
      <c r="K542" s="32" t="n">
        <f aca="false">F542</f>
        <v>86.7379399139767</v>
      </c>
      <c r="L542" s="32" t="n">
        <f aca="false">C542*1000000/dt_s+J542/2</f>
        <v>13314.7289662714</v>
      </c>
      <c r="M542" s="32" t="n">
        <f aca="false">C542*1000000/dt_s+K542/2</f>
        <v>13262.0425810681</v>
      </c>
    </row>
    <row r="543" customFormat="false" ht="15" hidden="false" customHeight="false" outlineLevel="0" collapsed="false">
      <c r="A543" s="24" t="n">
        <f aca="false">ROUND(A542+0.01,2)</f>
        <v>76.38</v>
      </c>
      <c r="B543" s="25" t="n">
        <f aca="false">INDEX(Bang_F,MATCH(A543,Bang_Z,1))+(A543-INDEX(Bang_Z,MATCH(A543,Bang_Z,1)))*(INDEX(Bang_F,MATCH(A543,Bang_Z,1)+1)-INDEX(Bang_F,MATCH(A543,Bang_Z,1)))</f>
        <v>7.09</v>
      </c>
      <c r="C543" s="25" t="n">
        <f aca="false">INDEX(Bang_W,MATCH(A543,Bang_Z,1))+(A543-INDEX(Bang_Z,MATCH(A543,Bang_Z,1)))*(INDEX(Bang_F,MATCH(A543,Bang_Z,1))+B543)/2</f>
        <v>47.6581</v>
      </c>
      <c r="D543" s="26" t="n">
        <f aca="false">MAX(A543-TC_Z,0)</f>
        <v>1.67999999999999</v>
      </c>
      <c r="E543" s="27" t="n">
        <f aca="false">1-0.2*(TC_xmb+(TC_n-1)*TC_xmt)*D543/(TC_n*TC_b)</f>
        <v>0.933111111111111</v>
      </c>
      <c r="F543" s="28" t="n">
        <f aca="false">TC_s*E543*TC_m*TC_n*TC_b*SQRT(2*g_)*D543^1.5</f>
        <v>87.4808612256739</v>
      </c>
      <c r="G543" s="29" t="n">
        <f aca="false">MAX(A543-SC_Z,0)</f>
        <v>5.38</v>
      </c>
      <c r="H543" s="30" t="n">
        <f aca="false">1-0.2*(SC_xmb+(SC_n-1)*SC_xmt)*G543/(SC_n*SC_b)</f>
        <v>0.84936</v>
      </c>
      <c r="I543" s="31" t="n">
        <f aca="false">SC_s*H543*SC_m*SC_n*SC_b*SQRT(2*g_)*G543^1.5</f>
        <v>105.632421958205</v>
      </c>
      <c r="J543" s="32" t="n">
        <f aca="false">F543+I543</f>
        <v>193.113283183879</v>
      </c>
      <c r="K543" s="32" t="n">
        <f aca="false">F543</f>
        <v>87.4808612256739</v>
      </c>
      <c r="L543" s="32" t="n">
        <f aca="false">C543*1000000/dt_s+J543/2</f>
        <v>13334.917752703</v>
      </c>
      <c r="M543" s="32" t="n">
        <f aca="false">C543*1000000/dt_s+K543/2</f>
        <v>13282.1015417239</v>
      </c>
    </row>
    <row r="544" customFormat="false" ht="15" hidden="false" customHeight="false" outlineLevel="0" collapsed="false">
      <c r="A544" s="24" t="n">
        <f aca="false">ROUND(A543+0.01,2)</f>
        <v>76.39</v>
      </c>
      <c r="B544" s="25" t="n">
        <f aca="false">INDEX(Bang_F,MATCH(A544,Bang_Z,1))+(A544-INDEX(Bang_Z,MATCH(A544,Bang_Z,1)))*(INDEX(Bang_F,MATCH(A544,Bang_Z,1)+1)-INDEX(Bang_F,MATCH(A544,Bang_Z,1)))</f>
        <v>7.095</v>
      </c>
      <c r="C544" s="25" t="n">
        <f aca="false">INDEX(Bang_W,MATCH(A544,Bang_Z,1))+(A544-INDEX(Bang_Z,MATCH(A544,Bang_Z,1)))*(INDEX(Bang_F,MATCH(A544,Bang_Z,1))+B544)/2</f>
        <v>47.729025</v>
      </c>
      <c r="D544" s="26" t="n">
        <f aca="false">MAX(A544-TC_Z,0)</f>
        <v>1.69</v>
      </c>
      <c r="E544" s="27" t="n">
        <f aca="false">1-0.2*(TC_xmb+(TC_n-1)*TC_xmt)*D544/(TC_n*TC_b)</f>
        <v>0.932712962962963</v>
      </c>
      <c r="F544" s="28" t="n">
        <f aca="false">TC_s*E544*TC_m*TC_n*TC_b*SQRT(2*g_)*D544^1.5</f>
        <v>88.225440628166</v>
      </c>
      <c r="G544" s="29" t="n">
        <f aca="false">MAX(A544-SC_Z,0)</f>
        <v>5.39</v>
      </c>
      <c r="H544" s="30" t="n">
        <f aca="false">1-0.2*(SC_xmb+(SC_n-1)*SC_xmt)*G544/(SC_n*SC_b)</f>
        <v>0.84908</v>
      </c>
      <c r="I544" s="31" t="n">
        <f aca="false">SC_s*H544*SC_m*SC_n*SC_b*SQRT(2*g_)*G544^1.5</f>
        <v>105.892153042813</v>
      </c>
      <c r="J544" s="32" t="n">
        <f aca="false">F544+I544</f>
        <v>194.117593670979</v>
      </c>
      <c r="K544" s="32" t="n">
        <f aca="false">F544</f>
        <v>88.225440628166</v>
      </c>
      <c r="L544" s="32" t="n">
        <f aca="false">C544*1000000/dt_s+J544/2</f>
        <v>13355.1212968355</v>
      </c>
      <c r="M544" s="32" t="n">
        <f aca="false">C544*1000000/dt_s+K544/2</f>
        <v>13302.1752203141</v>
      </c>
    </row>
    <row r="545" customFormat="false" ht="15" hidden="false" customHeight="false" outlineLevel="0" collapsed="false">
      <c r="A545" s="24" t="n">
        <f aca="false">ROUND(A544+0.01,2)</f>
        <v>76.4</v>
      </c>
      <c r="B545" s="25" t="n">
        <f aca="false">INDEX(Bang_F,MATCH(A545,Bang_Z,1))+(A545-INDEX(Bang_Z,MATCH(A545,Bang_Z,1)))*(INDEX(Bang_F,MATCH(A545,Bang_Z,1)+1)-INDEX(Bang_F,MATCH(A545,Bang_Z,1)))</f>
        <v>7.1</v>
      </c>
      <c r="C545" s="25" t="n">
        <f aca="false">INDEX(Bang_W,MATCH(A545,Bang_Z,1))+(A545-INDEX(Bang_Z,MATCH(A545,Bang_Z,1)))*(INDEX(Bang_F,MATCH(A545,Bang_Z,1))+B545)/2</f>
        <v>47.8</v>
      </c>
      <c r="D545" s="26" t="n">
        <f aca="false">MAX(A545-TC_Z,0)</f>
        <v>1.7</v>
      </c>
      <c r="E545" s="27" t="n">
        <f aca="false">1-0.2*(TC_xmb+(TC_n-1)*TC_xmt)*D545/(TC_n*TC_b)</f>
        <v>0.932314814814815</v>
      </c>
      <c r="F545" s="28" t="n">
        <f aca="false">TC_s*E545*TC_m*TC_n*TC_b*SQRT(2*g_)*D545^1.5</f>
        <v>88.971668263715</v>
      </c>
      <c r="G545" s="29" t="n">
        <f aca="false">MAX(A545-SC_Z,0)</f>
        <v>5.40000000000001</v>
      </c>
      <c r="H545" s="30" t="n">
        <f aca="false">1-0.2*(SC_xmb+(SC_n-1)*SC_xmt)*G545/(SC_n*SC_b)</f>
        <v>0.8488</v>
      </c>
      <c r="I545" s="31" t="n">
        <f aca="false">SC_s*H545*SC_m*SC_n*SC_b*SQRT(2*g_)*G545^1.5</f>
        <v>106.151963135941</v>
      </c>
      <c r="J545" s="32" t="n">
        <f aca="false">F545+I545</f>
        <v>195.123631399656</v>
      </c>
      <c r="K545" s="32" t="n">
        <f aca="false">F545</f>
        <v>88.971668263715</v>
      </c>
      <c r="L545" s="32" t="n">
        <f aca="false">C545*1000000/dt_s+J545/2</f>
        <v>13375.3395934776</v>
      </c>
      <c r="M545" s="32" t="n">
        <f aca="false">C545*1000000/dt_s+K545/2</f>
        <v>13322.2636119096</v>
      </c>
    </row>
    <row r="546" customFormat="false" ht="15" hidden="false" customHeight="false" outlineLevel="0" collapsed="false">
      <c r="A546" s="24" t="n">
        <f aca="false">ROUND(A545+0.01,2)</f>
        <v>76.41</v>
      </c>
      <c r="B546" s="25" t="n">
        <f aca="false">INDEX(Bang_F,MATCH(A546,Bang_Z,1))+(A546-INDEX(Bang_Z,MATCH(A546,Bang_Z,1)))*(INDEX(Bang_F,MATCH(A546,Bang_Z,1)+1)-INDEX(Bang_F,MATCH(A546,Bang_Z,1)))</f>
        <v>7.105</v>
      </c>
      <c r="C546" s="25" t="n">
        <f aca="false">INDEX(Bang_W,MATCH(A546,Bang_Z,1))+(A546-INDEX(Bang_Z,MATCH(A546,Bang_Z,1)))*(INDEX(Bang_F,MATCH(A546,Bang_Z,1))+B546)/2</f>
        <v>47.871025</v>
      </c>
      <c r="D546" s="26" t="n">
        <f aca="false">MAX(A546-TC_Z,0)</f>
        <v>1.70999999999999</v>
      </c>
      <c r="E546" s="27" t="n">
        <f aca="false">1-0.2*(TC_xmb+(TC_n-1)*TC_xmt)*D546/(TC_n*TC_b)</f>
        <v>0.931916666666667</v>
      </c>
      <c r="F546" s="28" t="n">
        <f aca="false">TC_s*E546*TC_m*TC_n*TC_b*SQRT(2*g_)*D546^1.5</f>
        <v>89.7195343471274</v>
      </c>
      <c r="G546" s="29" t="n">
        <f aca="false">MAX(A546-SC_Z,0)</f>
        <v>5.41</v>
      </c>
      <c r="H546" s="30" t="n">
        <f aca="false">1-0.2*(SC_xmb+(SC_n-1)*SC_xmt)*G546/(SC_n*SC_b)</f>
        <v>0.84852</v>
      </c>
      <c r="I546" s="31" t="n">
        <f aca="false">SC_s*H546*SC_m*SC_n*SC_b*SQRT(2*g_)*G546^1.5</f>
        <v>106.411851714078</v>
      </c>
      <c r="J546" s="32" t="n">
        <f aca="false">F546+I546</f>
        <v>196.131386061205</v>
      </c>
      <c r="K546" s="32" t="n">
        <f aca="false">F546</f>
        <v>89.7195343471274</v>
      </c>
      <c r="L546" s="32" t="n">
        <f aca="false">C546*1000000/dt_s+J546/2</f>
        <v>13395.572637475</v>
      </c>
      <c r="M546" s="32" t="n">
        <f aca="false">C546*1000000/dt_s+K546/2</f>
        <v>13342.366711618</v>
      </c>
    </row>
    <row r="547" customFormat="false" ht="15" hidden="false" customHeight="false" outlineLevel="0" collapsed="false">
      <c r="A547" s="24" t="n">
        <f aca="false">ROUND(A546+0.01,2)</f>
        <v>76.42</v>
      </c>
      <c r="B547" s="25" t="n">
        <f aca="false">INDEX(Bang_F,MATCH(A547,Bang_Z,1))+(A547-INDEX(Bang_Z,MATCH(A547,Bang_Z,1)))*(INDEX(Bang_F,MATCH(A547,Bang_Z,1)+1)-INDEX(Bang_F,MATCH(A547,Bang_Z,1)))</f>
        <v>7.11</v>
      </c>
      <c r="C547" s="25" t="n">
        <f aca="false">INDEX(Bang_W,MATCH(A547,Bang_Z,1))+(A547-INDEX(Bang_Z,MATCH(A547,Bang_Z,1)))*(INDEX(Bang_F,MATCH(A547,Bang_Z,1))+B547)/2</f>
        <v>47.9421</v>
      </c>
      <c r="D547" s="26" t="n">
        <f aca="false">MAX(A547-TC_Z,0)</f>
        <v>1.72</v>
      </c>
      <c r="E547" s="27" t="n">
        <f aca="false">1-0.2*(TC_xmb+(TC_n-1)*TC_xmt)*D547/(TC_n*TC_b)</f>
        <v>0.931518518518519</v>
      </c>
      <c r="F547" s="28" t="n">
        <f aca="false">TC_s*E547*TC_m*TC_n*TC_b*SQRT(2*g_)*D547^1.5</f>
        <v>90.4690291647374</v>
      </c>
      <c r="G547" s="29" t="n">
        <f aca="false">MAX(A547-SC_Z,0)</f>
        <v>5.42</v>
      </c>
      <c r="H547" s="30" t="n">
        <f aca="false">1-0.2*(SC_xmb+(SC_n-1)*SC_xmt)*G547/(SC_n*SC_b)</f>
        <v>0.84824</v>
      </c>
      <c r="I547" s="31" t="n">
        <f aca="false">SC_s*H547*SC_m*SC_n*SC_b*SQRT(2*g_)*G547^1.5</f>
        <v>106.671818254745</v>
      </c>
      <c r="J547" s="32" t="n">
        <f aca="false">F547+I547</f>
        <v>197.140847419482</v>
      </c>
      <c r="K547" s="32" t="n">
        <f aca="false">F547</f>
        <v>90.4690291647374</v>
      </c>
      <c r="L547" s="32" t="n">
        <f aca="false">C547*1000000/dt_s+J547/2</f>
        <v>13415.8204237097</v>
      </c>
      <c r="M547" s="32" t="n">
        <f aca="false">C547*1000000/dt_s+K547/2</f>
        <v>13362.4845145824</v>
      </c>
    </row>
    <row r="548" customFormat="false" ht="15" hidden="false" customHeight="false" outlineLevel="0" collapsed="false">
      <c r="A548" s="24" t="n">
        <f aca="false">ROUND(A547+0.01,2)</f>
        <v>76.43</v>
      </c>
      <c r="B548" s="25" t="n">
        <f aca="false">INDEX(Bang_F,MATCH(A548,Bang_Z,1))+(A548-INDEX(Bang_Z,MATCH(A548,Bang_Z,1)))*(INDEX(Bang_F,MATCH(A548,Bang_Z,1)+1)-INDEX(Bang_F,MATCH(A548,Bang_Z,1)))</f>
        <v>7.115</v>
      </c>
      <c r="C548" s="25" t="n">
        <f aca="false">INDEX(Bang_W,MATCH(A548,Bang_Z,1))+(A548-INDEX(Bang_Z,MATCH(A548,Bang_Z,1)))*(INDEX(Bang_F,MATCH(A548,Bang_Z,1))+B548)/2</f>
        <v>48.0132250000001</v>
      </c>
      <c r="D548" s="26" t="n">
        <f aca="false">MAX(A548-TC_Z,0)</f>
        <v>1.73</v>
      </c>
      <c r="E548" s="27" t="n">
        <f aca="false">1-0.2*(TC_xmb+(TC_n-1)*TC_xmt)*D548/(TC_n*TC_b)</f>
        <v>0.93112037037037</v>
      </c>
      <c r="F548" s="28" t="n">
        <f aca="false">TC_s*E548*TC_m*TC_n*TC_b*SQRT(2*g_)*D548^1.5</f>
        <v>91.2201430734022</v>
      </c>
      <c r="G548" s="29" t="n">
        <f aca="false">MAX(A548-SC_Z,0)</f>
        <v>5.43000000000001</v>
      </c>
      <c r="H548" s="30" t="n">
        <f aca="false">1-0.2*(SC_xmb+(SC_n-1)*SC_xmt)*G548/(SC_n*SC_b)</f>
        <v>0.84796</v>
      </c>
      <c r="I548" s="31" t="n">
        <f aca="false">SC_s*H548*SC_m*SC_n*SC_b*SQRT(2*g_)*G548^1.5</f>
        <v>106.931862236496</v>
      </c>
      <c r="J548" s="32" t="n">
        <f aca="false">F548+I548</f>
        <v>198.152005309898</v>
      </c>
      <c r="K548" s="32" t="n">
        <f aca="false">F548</f>
        <v>91.2201430734022</v>
      </c>
      <c r="L548" s="32" t="n">
        <f aca="false">C548*1000000/dt_s+J548/2</f>
        <v>13436.0829470994</v>
      </c>
      <c r="M548" s="32" t="n">
        <f aca="false">C548*1000000/dt_s+K548/2</f>
        <v>13382.6170159812</v>
      </c>
    </row>
    <row r="549" customFormat="false" ht="15" hidden="false" customHeight="false" outlineLevel="0" collapsed="false">
      <c r="A549" s="24" t="n">
        <f aca="false">ROUND(A548+0.01,2)</f>
        <v>76.44</v>
      </c>
      <c r="B549" s="25" t="n">
        <f aca="false">INDEX(Bang_F,MATCH(A549,Bang_Z,1))+(A549-INDEX(Bang_Z,MATCH(A549,Bang_Z,1)))*(INDEX(Bang_F,MATCH(A549,Bang_Z,1)+1)-INDEX(Bang_F,MATCH(A549,Bang_Z,1)))</f>
        <v>7.12</v>
      </c>
      <c r="C549" s="25" t="n">
        <f aca="false">INDEX(Bang_W,MATCH(A549,Bang_Z,1))+(A549-INDEX(Bang_Z,MATCH(A549,Bang_Z,1)))*(INDEX(Bang_F,MATCH(A549,Bang_Z,1))+B549)/2</f>
        <v>48.0844</v>
      </c>
      <c r="D549" s="26" t="n">
        <f aca="false">MAX(A549-TC_Z,0)</f>
        <v>1.73999999999999</v>
      </c>
      <c r="E549" s="27" t="n">
        <f aca="false">1-0.2*(TC_xmb+(TC_n-1)*TC_xmt)*D549/(TC_n*TC_b)</f>
        <v>0.930722222222223</v>
      </c>
      <c r="F549" s="28" t="n">
        <f aca="false">TC_s*E549*TC_m*TC_n*TC_b*SQRT(2*g_)*D549^1.5</f>
        <v>91.9728664995253</v>
      </c>
      <c r="G549" s="29" t="n">
        <f aca="false">MAX(A549-SC_Z,0)</f>
        <v>5.44</v>
      </c>
      <c r="H549" s="30" t="n">
        <f aca="false">1-0.2*(SC_xmb+(SC_n-1)*SC_xmt)*G549/(SC_n*SC_b)</f>
        <v>0.84768</v>
      </c>
      <c r="I549" s="31" t="n">
        <f aca="false">SC_s*H549*SC_m*SC_n*SC_b*SQRT(2*g_)*G549^1.5</f>
        <v>107.191983138911</v>
      </c>
      <c r="J549" s="32" t="n">
        <f aca="false">F549+I549</f>
        <v>199.164849638437</v>
      </c>
      <c r="K549" s="32" t="n">
        <f aca="false">F549</f>
        <v>91.9728664995253</v>
      </c>
      <c r="L549" s="32" t="n">
        <f aca="false">C549*1000000/dt_s+J549/2</f>
        <v>13456.360202597</v>
      </c>
      <c r="M549" s="32" t="n">
        <f aca="false">C549*1000000/dt_s+K549/2</f>
        <v>13402.7642110275</v>
      </c>
    </row>
    <row r="550" customFormat="false" ht="15" hidden="false" customHeight="false" outlineLevel="0" collapsed="false">
      <c r="A550" s="24" t="n">
        <f aca="false">ROUND(A549+0.01,2)</f>
        <v>76.45</v>
      </c>
      <c r="B550" s="25" t="n">
        <f aca="false">INDEX(Bang_F,MATCH(A550,Bang_Z,1))+(A550-INDEX(Bang_Z,MATCH(A550,Bang_Z,1)))*(INDEX(Bang_F,MATCH(A550,Bang_Z,1)+1)-INDEX(Bang_F,MATCH(A550,Bang_Z,1)))</f>
        <v>7.125</v>
      </c>
      <c r="C550" s="25" t="n">
        <f aca="false">INDEX(Bang_W,MATCH(A550,Bang_Z,1))+(A550-INDEX(Bang_Z,MATCH(A550,Bang_Z,1)))*(INDEX(Bang_F,MATCH(A550,Bang_Z,1))+B550)/2</f>
        <v>48.155625</v>
      </c>
      <c r="D550" s="26" t="n">
        <f aca="false">MAX(A550-TC_Z,0)</f>
        <v>1.75</v>
      </c>
      <c r="E550" s="27" t="n">
        <f aca="false">1-0.2*(TC_xmb+(TC_n-1)*TC_xmt)*D550/(TC_n*TC_b)</f>
        <v>0.930324074074074</v>
      </c>
      <c r="F550" s="28" t="n">
        <f aca="false">TC_s*E550*TC_m*TC_n*TC_b*SQRT(2*g_)*D550^1.5</f>
        <v>92.7271899381</v>
      </c>
      <c r="G550" s="29" t="n">
        <f aca="false">MAX(A550-SC_Z,0)</f>
        <v>5.45</v>
      </c>
      <c r="H550" s="30" t="n">
        <f aca="false">1-0.2*(SC_xmb+(SC_n-1)*SC_xmt)*G550/(SC_n*SC_b)</f>
        <v>0.8474</v>
      </c>
      <c r="I550" s="31" t="n">
        <f aca="false">SC_s*H550*SC_m*SC_n*SC_b*SQRT(2*g_)*G550^1.5</f>
        <v>107.452180442595</v>
      </c>
      <c r="J550" s="32" t="n">
        <f aca="false">F550+I550</f>
        <v>200.179370380695</v>
      </c>
      <c r="K550" s="32" t="n">
        <f aca="false">F550</f>
        <v>92.7271899381</v>
      </c>
      <c r="L550" s="32" t="n">
        <f aca="false">C550*1000000/dt_s+J550/2</f>
        <v>13476.6521851904</v>
      </c>
      <c r="M550" s="32" t="n">
        <f aca="false">C550*1000000/dt_s+K550/2</f>
        <v>13422.9260949691</v>
      </c>
    </row>
    <row r="551" customFormat="false" ht="15" hidden="false" customHeight="false" outlineLevel="0" collapsed="false">
      <c r="A551" s="24" t="n">
        <f aca="false">ROUND(A550+0.01,2)</f>
        <v>76.46</v>
      </c>
      <c r="B551" s="25" t="n">
        <f aca="false">INDEX(Bang_F,MATCH(A551,Bang_Z,1))+(A551-INDEX(Bang_Z,MATCH(A551,Bang_Z,1)))*(INDEX(Bang_F,MATCH(A551,Bang_Z,1)+1)-INDEX(Bang_F,MATCH(A551,Bang_Z,1)))</f>
        <v>7.13</v>
      </c>
      <c r="C551" s="25" t="n">
        <f aca="false">INDEX(Bang_W,MATCH(A551,Bang_Z,1))+(A551-INDEX(Bang_Z,MATCH(A551,Bang_Z,1)))*(INDEX(Bang_F,MATCH(A551,Bang_Z,1))+B551)/2</f>
        <v>48.2269</v>
      </c>
      <c r="D551" s="26" t="n">
        <f aca="false">MAX(A551-TC_Z,0)</f>
        <v>1.75999999999999</v>
      </c>
      <c r="E551" s="27" t="n">
        <f aca="false">1-0.2*(TC_xmb+(TC_n-1)*TC_xmt)*D551/(TC_n*TC_b)</f>
        <v>0.929925925925926</v>
      </c>
      <c r="F551" s="28" t="n">
        <f aca="false">TC_s*E551*TC_m*TC_n*TC_b*SQRT(2*g_)*D551^1.5</f>
        <v>93.4831039517611</v>
      </c>
      <c r="G551" s="29" t="n">
        <f aca="false">MAX(A551-SC_Z,0)</f>
        <v>5.45999999999999</v>
      </c>
      <c r="H551" s="30" t="n">
        <f aca="false">1-0.2*(SC_xmb+(SC_n-1)*SC_xmt)*G551/(SC_n*SC_b)</f>
        <v>0.84712</v>
      </c>
      <c r="I551" s="31" t="n">
        <f aca="false">SC_s*H551*SC_m*SC_n*SC_b*SQRT(2*g_)*G551^1.5</f>
        <v>107.712453629168</v>
      </c>
      <c r="J551" s="32" t="n">
        <f aca="false">F551+I551</f>
        <v>201.195557580929</v>
      </c>
      <c r="K551" s="32" t="n">
        <f aca="false">F551</f>
        <v>93.4831039517611</v>
      </c>
      <c r="L551" s="32" t="n">
        <f aca="false">C551*1000000/dt_s+J551/2</f>
        <v>13496.9588899016</v>
      </c>
      <c r="M551" s="32" t="n">
        <f aca="false">C551*1000000/dt_s+K551/2</f>
        <v>13443.102663087</v>
      </c>
    </row>
    <row r="552" customFormat="false" ht="15" hidden="false" customHeight="false" outlineLevel="0" collapsed="false">
      <c r="A552" s="24" t="n">
        <f aca="false">ROUND(A551+0.01,2)</f>
        <v>76.47</v>
      </c>
      <c r="B552" s="25" t="n">
        <f aca="false">INDEX(Bang_F,MATCH(A552,Bang_Z,1))+(A552-INDEX(Bang_Z,MATCH(A552,Bang_Z,1)))*(INDEX(Bang_F,MATCH(A552,Bang_Z,1)+1)-INDEX(Bang_F,MATCH(A552,Bang_Z,1)))</f>
        <v>7.135</v>
      </c>
      <c r="C552" s="25" t="n">
        <f aca="false">INDEX(Bang_W,MATCH(A552,Bang_Z,1))+(A552-INDEX(Bang_Z,MATCH(A552,Bang_Z,1)))*(INDEX(Bang_F,MATCH(A552,Bang_Z,1))+B552)/2</f>
        <v>48.298225</v>
      </c>
      <c r="D552" s="26" t="n">
        <f aca="false">MAX(A552-TC_Z,0)</f>
        <v>1.77</v>
      </c>
      <c r="E552" s="27" t="n">
        <f aca="false">1-0.2*(TC_xmb+(TC_n-1)*TC_xmt)*D552/(TC_n*TC_b)</f>
        <v>0.929527777777778</v>
      </c>
      <c r="F552" s="28" t="n">
        <f aca="false">TC_s*E552*TC_m*TC_n*TC_b*SQRT(2*g_)*D552^1.5</f>
        <v>94.2405991698708</v>
      </c>
      <c r="G552" s="29" t="n">
        <f aca="false">MAX(A552-SC_Z,0)</f>
        <v>5.47</v>
      </c>
      <c r="H552" s="30" t="n">
        <f aca="false">1-0.2*(SC_xmb+(SC_n-1)*SC_xmt)*G552/(SC_n*SC_b)</f>
        <v>0.84684</v>
      </c>
      <c r="I552" s="31" t="n">
        <f aca="false">SC_s*H552*SC_m*SC_n*SC_b*SQRT(2*g_)*G552^1.5</f>
        <v>107.972802181268</v>
      </c>
      <c r="J552" s="32" t="n">
        <f aca="false">F552+I552</f>
        <v>202.213401351138</v>
      </c>
      <c r="K552" s="32" t="n">
        <f aca="false">F552</f>
        <v>94.2405991698708</v>
      </c>
      <c r="L552" s="32" t="n">
        <f aca="false">C552*1000000/dt_s+J552/2</f>
        <v>13517.2803117867</v>
      </c>
      <c r="M552" s="32" t="n">
        <f aca="false">C552*1000000/dt_s+K552/2</f>
        <v>13463.293910696</v>
      </c>
    </row>
    <row r="553" customFormat="false" ht="15" hidden="false" customHeight="false" outlineLevel="0" collapsed="false">
      <c r="A553" s="24" t="n">
        <f aca="false">ROUND(A552+0.01,2)</f>
        <v>76.48</v>
      </c>
      <c r="B553" s="25" t="n">
        <f aca="false">INDEX(Bang_F,MATCH(A553,Bang_Z,1))+(A553-INDEX(Bang_Z,MATCH(A553,Bang_Z,1)))*(INDEX(Bang_F,MATCH(A553,Bang_Z,1)+1)-INDEX(Bang_F,MATCH(A553,Bang_Z,1)))</f>
        <v>7.14</v>
      </c>
      <c r="C553" s="25" t="n">
        <f aca="false">INDEX(Bang_W,MATCH(A553,Bang_Z,1))+(A553-INDEX(Bang_Z,MATCH(A553,Bang_Z,1)))*(INDEX(Bang_F,MATCH(A553,Bang_Z,1))+B553)/2</f>
        <v>48.3696</v>
      </c>
      <c r="D553" s="26" t="n">
        <f aca="false">MAX(A553-TC_Z,0)</f>
        <v>1.78</v>
      </c>
      <c r="E553" s="27" t="n">
        <f aca="false">1-0.2*(TC_xmb+(TC_n-1)*TC_xmt)*D553/(TC_n*TC_b)</f>
        <v>0.92912962962963</v>
      </c>
      <c r="F553" s="28" t="n">
        <f aca="false">TC_s*E553*TC_m*TC_n*TC_b*SQRT(2*g_)*D553^1.5</f>
        <v>94.9996662876065</v>
      </c>
      <c r="G553" s="29" t="n">
        <f aca="false">MAX(A553-SC_Z,0)</f>
        <v>5.48</v>
      </c>
      <c r="H553" s="30" t="n">
        <f aca="false">1-0.2*(SC_xmb+(SC_n-1)*SC_xmt)*G553/(SC_n*SC_b)</f>
        <v>0.84656</v>
      </c>
      <c r="I553" s="31" t="n">
        <f aca="false">SC_s*H553*SC_m*SC_n*SC_b*SQRT(2*g_)*G553^1.5</f>
        <v>108.233225582538</v>
      </c>
      <c r="J553" s="32" t="n">
        <f aca="false">F553+I553</f>
        <v>203.232891870145</v>
      </c>
      <c r="K553" s="32" t="n">
        <f aca="false">F553</f>
        <v>94.9996662876065</v>
      </c>
      <c r="L553" s="32" t="n">
        <f aca="false">C553*1000000/dt_s+J553/2</f>
        <v>13537.6164459351</v>
      </c>
      <c r="M553" s="32" t="n">
        <f aca="false">C553*1000000/dt_s+K553/2</f>
        <v>13483.4998331438</v>
      </c>
    </row>
    <row r="554" customFormat="false" ht="15" hidden="false" customHeight="false" outlineLevel="0" collapsed="false">
      <c r="A554" s="24" t="n">
        <f aca="false">ROUND(A553+0.01,2)</f>
        <v>76.49</v>
      </c>
      <c r="B554" s="25" t="n">
        <f aca="false">INDEX(Bang_F,MATCH(A554,Bang_Z,1))+(A554-INDEX(Bang_Z,MATCH(A554,Bang_Z,1)))*(INDEX(Bang_F,MATCH(A554,Bang_Z,1)+1)-INDEX(Bang_F,MATCH(A554,Bang_Z,1)))</f>
        <v>7.145</v>
      </c>
      <c r="C554" s="25" t="n">
        <f aca="false">INDEX(Bang_W,MATCH(A554,Bang_Z,1))+(A554-INDEX(Bang_Z,MATCH(A554,Bang_Z,1)))*(INDEX(Bang_F,MATCH(A554,Bang_Z,1))+B554)/2</f>
        <v>48.441025</v>
      </c>
      <c r="D554" s="26" t="n">
        <f aca="false">MAX(A554-TC_Z,0)</f>
        <v>1.78999999999999</v>
      </c>
      <c r="E554" s="27" t="n">
        <f aca="false">1-0.2*(TC_xmb+(TC_n-1)*TC_xmt)*D554/(TC_n*TC_b)</f>
        <v>0.928731481481482</v>
      </c>
      <c r="F554" s="28" t="n">
        <f aca="false">TC_s*E554*TC_m*TC_n*TC_b*SQRT(2*g_)*D554^1.5</f>
        <v>95.7602960650766</v>
      </c>
      <c r="G554" s="29" t="n">
        <f aca="false">MAX(A554-SC_Z,0)</f>
        <v>5.49</v>
      </c>
      <c r="H554" s="30" t="n">
        <f aca="false">1-0.2*(SC_xmb+(SC_n-1)*SC_xmt)*G554/(SC_n*SC_b)</f>
        <v>0.84628</v>
      </c>
      <c r="I554" s="31" t="n">
        <f aca="false">SC_s*H554*SC_m*SC_n*SC_b*SQRT(2*g_)*G554^1.5</f>
        <v>108.493723317631</v>
      </c>
      <c r="J554" s="32" t="n">
        <f aca="false">F554+I554</f>
        <v>204.254019382708</v>
      </c>
      <c r="K554" s="32" t="n">
        <f aca="false">F554</f>
        <v>95.7602960650766</v>
      </c>
      <c r="L554" s="32" t="n">
        <f aca="false">C554*1000000/dt_s+J554/2</f>
        <v>13557.9672874691</v>
      </c>
      <c r="M554" s="32" t="n">
        <f aca="false">C554*1000000/dt_s+K554/2</f>
        <v>13503.7204258103</v>
      </c>
    </row>
    <row r="555" customFormat="false" ht="15" hidden="false" customHeight="false" outlineLevel="0" collapsed="false">
      <c r="A555" s="24" t="n">
        <f aca="false">ROUND(A554+0.01,2)</f>
        <v>76.5</v>
      </c>
      <c r="B555" s="25" t="n">
        <f aca="false">INDEX(Bang_F,MATCH(A555,Bang_Z,1))+(A555-INDEX(Bang_Z,MATCH(A555,Bang_Z,1)))*(INDEX(Bang_F,MATCH(A555,Bang_Z,1)+1)-INDEX(Bang_F,MATCH(A555,Bang_Z,1)))</f>
        <v>7.15</v>
      </c>
      <c r="C555" s="25" t="n">
        <f aca="false">INDEX(Bang_W,MATCH(A555,Bang_Z,1))+(A555-INDEX(Bang_Z,MATCH(A555,Bang_Z,1)))*(INDEX(Bang_F,MATCH(A555,Bang_Z,1))+B555)/2</f>
        <v>48.5125</v>
      </c>
      <c r="D555" s="26" t="n">
        <f aca="false">MAX(A555-TC_Z,0)</f>
        <v>1.8</v>
      </c>
      <c r="E555" s="27" t="n">
        <f aca="false">1-0.2*(TC_xmb+(TC_n-1)*TC_xmt)*D555/(TC_n*TC_b)</f>
        <v>0.928333333333334</v>
      </c>
      <c r="F555" s="28" t="n">
        <f aca="false">TC_s*E555*TC_m*TC_n*TC_b*SQRT(2*g_)*D555^1.5</f>
        <v>96.5224793264543</v>
      </c>
      <c r="G555" s="29" t="n">
        <f aca="false">MAX(A555-SC_Z,0)</f>
        <v>5.5</v>
      </c>
      <c r="H555" s="30" t="n">
        <f aca="false">1-0.2*(SC_xmb+(SC_n-1)*SC_xmt)*G555/(SC_n*SC_b)</f>
        <v>0.846</v>
      </c>
      <c r="I555" s="31" t="n">
        <f aca="false">SC_s*H555*SC_m*SC_n*SC_b*SQRT(2*g_)*G555^1.5</f>
        <v>108.7542948722</v>
      </c>
      <c r="J555" s="32" t="n">
        <f aca="false">F555+I555</f>
        <v>205.276774198654</v>
      </c>
      <c r="K555" s="32" t="n">
        <f aca="false">F555</f>
        <v>96.5224793264543</v>
      </c>
      <c r="L555" s="32" t="n">
        <f aca="false">C555*1000000/dt_s+J555/2</f>
        <v>13578.3328315438</v>
      </c>
      <c r="M555" s="32" t="n">
        <f aca="false">C555*1000000/dt_s+K555/2</f>
        <v>13523.9556841077</v>
      </c>
    </row>
    <row r="556" customFormat="false" ht="15" hidden="false" customHeight="false" outlineLevel="0" collapsed="false">
      <c r="A556" s="24" t="n">
        <f aca="false">ROUND(A555+0.01,2)</f>
        <v>76.51</v>
      </c>
      <c r="B556" s="25" t="n">
        <f aca="false">INDEX(Bang_F,MATCH(A556,Bang_Z,1))+(A556-INDEX(Bang_Z,MATCH(A556,Bang_Z,1)))*(INDEX(Bang_F,MATCH(A556,Bang_Z,1)+1)-INDEX(Bang_F,MATCH(A556,Bang_Z,1)))</f>
        <v>7.155</v>
      </c>
      <c r="C556" s="25" t="n">
        <f aca="false">INDEX(Bang_W,MATCH(A556,Bang_Z,1))+(A556-INDEX(Bang_Z,MATCH(A556,Bang_Z,1)))*(INDEX(Bang_F,MATCH(A556,Bang_Z,1))+B556)/2</f>
        <v>48.584025</v>
      </c>
      <c r="D556" s="26" t="n">
        <f aca="false">MAX(A556-TC_Z,0)</f>
        <v>1.81</v>
      </c>
      <c r="E556" s="27" t="n">
        <f aca="false">1-0.2*(TC_xmb+(TC_n-1)*TC_xmt)*D556/(TC_n*TC_b)</f>
        <v>0.927935185185185</v>
      </c>
      <c r="F556" s="28" t="n">
        <f aca="false">TC_s*E556*TC_m*TC_n*TC_b*SQRT(2*g_)*D556^1.5</f>
        <v>97.2862069591166</v>
      </c>
      <c r="G556" s="29" t="n">
        <f aca="false">MAX(A556-SC_Z,0)</f>
        <v>5.51000000000001</v>
      </c>
      <c r="H556" s="30" t="n">
        <f aca="false">1-0.2*(SC_xmb+(SC_n-1)*SC_xmt)*G556/(SC_n*SC_b)</f>
        <v>0.84572</v>
      </c>
      <c r="I556" s="31" t="n">
        <f aca="false">SC_s*H556*SC_m*SC_n*SC_b*SQRT(2*g_)*G556^1.5</f>
        <v>109.014939732894</v>
      </c>
      <c r="J556" s="32" t="n">
        <f aca="false">F556+I556</f>
        <v>206.30114669201</v>
      </c>
      <c r="K556" s="32" t="n">
        <f aca="false">F556</f>
        <v>97.2862069591166</v>
      </c>
      <c r="L556" s="32" t="n">
        <f aca="false">C556*1000000/dt_s+J556/2</f>
        <v>13598.713073346</v>
      </c>
      <c r="M556" s="32" t="n">
        <f aca="false">C556*1000000/dt_s+K556/2</f>
        <v>13544.2056034796</v>
      </c>
    </row>
    <row r="557" customFormat="false" ht="15" hidden="false" customHeight="false" outlineLevel="0" collapsed="false">
      <c r="A557" s="24" t="n">
        <f aca="false">ROUND(A556+0.01,2)</f>
        <v>76.52</v>
      </c>
      <c r="B557" s="25" t="n">
        <f aca="false">INDEX(Bang_F,MATCH(A557,Bang_Z,1))+(A557-INDEX(Bang_Z,MATCH(A557,Bang_Z,1)))*(INDEX(Bang_F,MATCH(A557,Bang_Z,1)+1)-INDEX(Bang_F,MATCH(A557,Bang_Z,1)))</f>
        <v>7.16</v>
      </c>
      <c r="C557" s="25" t="n">
        <f aca="false">INDEX(Bang_W,MATCH(A557,Bang_Z,1))+(A557-INDEX(Bang_Z,MATCH(A557,Bang_Z,1)))*(INDEX(Bang_F,MATCH(A557,Bang_Z,1))+B557)/2</f>
        <v>48.6556</v>
      </c>
      <c r="D557" s="26" t="n">
        <f aca="false">MAX(A557-TC_Z,0)</f>
        <v>1.81999999999999</v>
      </c>
      <c r="E557" s="27" t="n">
        <f aca="false">1-0.2*(TC_xmb+(TC_n-1)*TC_xmt)*D557/(TC_n*TC_b)</f>
        <v>0.927537037037037</v>
      </c>
      <c r="F557" s="28" t="n">
        <f aca="false">TC_s*E557*TC_m*TC_n*TC_b*SQRT(2*g_)*D557^1.5</f>
        <v>98.0514699128112</v>
      </c>
      <c r="G557" s="29" t="n">
        <f aca="false">MAX(A557-SC_Z,0)</f>
        <v>5.52</v>
      </c>
      <c r="H557" s="30" t="n">
        <f aca="false">1-0.2*(SC_xmb+(SC_n-1)*SC_xmt)*G557/(SC_n*SC_b)</f>
        <v>0.84544</v>
      </c>
      <c r="I557" s="31" t="n">
        <f aca="false">SC_s*H557*SC_m*SC_n*SC_b*SQRT(2*g_)*G557^1.5</f>
        <v>109.275657387355</v>
      </c>
      <c r="J557" s="32" t="n">
        <f aca="false">F557+I557</f>
        <v>207.327127300167</v>
      </c>
      <c r="K557" s="32" t="n">
        <f aca="false">F557</f>
        <v>98.0514699128112</v>
      </c>
      <c r="L557" s="32" t="n">
        <f aca="false">C557*1000000/dt_s+J557/2</f>
        <v>13619.1080080945</v>
      </c>
      <c r="M557" s="32" t="n">
        <f aca="false">C557*1000000/dt_s+K557/2</f>
        <v>13564.4701794008</v>
      </c>
    </row>
    <row r="558" customFormat="false" ht="15" hidden="false" customHeight="false" outlineLevel="0" collapsed="false">
      <c r="A558" s="24" t="n">
        <f aca="false">ROUND(A557+0.01,2)</f>
        <v>76.53</v>
      </c>
      <c r="B558" s="25" t="n">
        <f aca="false">INDEX(Bang_F,MATCH(A558,Bang_Z,1))+(A558-INDEX(Bang_Z,MATCH(A558,Bang_Z,1)))*(INDEX(Bang_F,MATCH(A558,Bang_Z,1)+1)-INDEX(Bang_F,MATCH(A558,Bang_Z,1)))</f>
        <v>7.165</v>
      </c>
      <c r="C558" s="25" t="n">
        <f aca="false">INDEX(Bang_W,MATCH(A558,Bang_Z,1))+(A558-INDEX(Bang_Z,MATCH(A558,Bang_Z,1)))*(INDEX(Bang_F,MATCH(A558,Bang_Z,1))+B558)/2</f>
        <v>48.727225</v>
      </c>
      <c r="D558" s="26" t="n">
        <f aca="false">MAX(A558-TC_Z,0)</f>
        <v>1.83</v>
      </c>
      <c r="E558" s="27" t="n">
        <f aca="false">1-0.2*(TC_xmb+(TC_n-1)*TC_xmt)*D558/(TC_n*TC_b)</f>
        <v>0.927138888888889</v>
      </c>
      <c r="F558" s="28" t="n">
        <f aca="false">TC_s*E558*TC_m*TC_n*TC_b*SQRT(2*g_)*D558^1.5</f>
        <v>98.8182591988379</v>
      </c>
      <c r="G558" s="29" t="n">
        <f aca="false">MAX(A558-SC_Z,0)</f>
        <v>5.53</v>
      </c>
      <c r="H558" s="30" t="n">
        <f aca="false">1-0.2*(SC_xmb+(SC_n-1)*SC_xmt)*G558/(SC_n*SC_b)</f>
        <v>0.84516</v>
      </c>
      <c r="I558" s="31" t="n">
        <f aca="false">SC_s*H558*SC_m*SC_n*SC_b*SQRT(2*g_)*G558^1.5</f>
        <v>109.536447324218</v>
      </c>
      <c r="J558" s="32" t="n">
        <f aca="false">F558+I558</f>
        <v>208.354706523055</v>
      </c>
      <c r="K558" s="32" t="n">
        <f aca="false">F558</f>
        <v>98.8182591988379</v>
      </c>
      <c r="L558" s="32" t="n">
        <f aca="false">C558*1000000/dt_s+J558/2</f>
        <v>13639.5176310393</v>
      </c>
      <c r="M558" s="32" t="n">
        <f aca="false">C558*1000000/dt_s+K558/2</f>
        <v>13584.7494073772</v>
      </c>
    </row>
    <row r="559" customFormat="false" ht="15" hidden="false" customHeight="false" outlineLevel="0" collapsed="false">
      <c r="A559" s="24" t="n">
        <f aca="false">ROUND(A558+0.01,2)</f>
        <v>76.54</v>
      </c>
      <c r="B559" s="25" t="n">
        <f aca="false">INDEX(Bang_F,MATCH(A559,Bang_Z,1))+(A559-INDEX(Bang_Z,MATCH(A559,Bang_Z,1)))*(INDEX(Bang_F,MATCH(A559,Bang_Z,1)+1)-INDEX(Bang_F,MATCH(A559,Bang_Z,1)))</f>
        <v>7.17</v>
      </c>
      <c r="C559" s="25" t="n">
        <f aca="false">INDEX(Bang_W,MATCH(A559,Bang_Z,1))+(A559-INDEX(Bang_Z,MATCH(A559,Bang_Z,1)))*(INDEX(Bang_F,MATCH(A559,Bang_Z,1))+B559)/2</f>
        <v>48.7989</v>
      </c>
      <c r="D559" s="26" t="n">
        <f aca="false">MAX(A559-TC_Z,0)</f>
        <v>1.84</v>
      </c>
      <c r="E559" s="27" t="n">
        <f aca="false">1-0.2*(TC_xmb+(TC_n-1)*TC_xmt)*D559/(TC_n*TC_b)</f>
        <v>0.926740740740741</v>
      </c>
      <c r="F559" s="28" t="n">
        <f aca="false">TC_s*E559*TC_m*TC_n*TC_b*SQRT(2*g_)*D559^1.5</f>
        <v>99.5865658892358</v>
      </c>
      <c r="G559" s="29" t="n">
        <f aca="false">MAX(A559-SC_Z,0)</f>
        <v>5.54000000000001</v>
      </c>
      <c r="H559" s="30" t="n">
        <f aca="false">1-0.2*(SC_xmb+(SC_n-1)*SC_xmt)*G559/(SC_n*SC_b)</f>
        <v>0.84488</v>
      </c>
      <c r="I559" s="31" t="n">
        <f aca="false">SC_s*H559*SC_m*SC_n*SC_b*SQRT(2*g_)*G559^1.5</f>
        <v>109.797309033096</v>
      </c>
      <c r="J559" s="32" t="n">
        <f aca="false">F559+I559</f>
        <v>209.383874922332</v>
      </c>
      <c r="K559" s="32" t="n">
        <f aca="false">F559</f>
        <v>99.5865658892358</v>
      </c>
      <c r="L559" s="32" t="n">
        <f aca="false">C559*1000000/dt_s+J559/2</f>
        <v>13659.9419374612</v>
      </c>
      <c r="M559" s="32" t="n">
        <f aca="false">C559*1000000/dt_s+K559/2</f>
        <v>13605.0432829446</v>
      </c>
    </row>
    <row r="560" customFormat="false" ht="15" hidden="false" customHeight="false" outlineLevel="0" collapsed="false">
      <c r="A560" s="24" t="n">
        <f aca="false">ROUND(A559+0.01,2)</f>
        <v>76.55</v>
      </c>
      <c r="B560" s="25" t="n">
        <f aca="false">INDEX(Bang_F,MATCH(A560,Bang_Z,1))+(A560-INDEX(Bang_Z,MATCH(A560,Bang_Z,1)))*(INDEX(Bang_F,MATCH(A560,Bang_Z,1)+1)-INDEX(Bang_F,MATCH(A560,Bang_Z,1)))</f>
        <v>7.175</v>
      </c>
      <c r="C560" s="25" t="n">
        <f aca="false">INDEX(Bang_W,MATCH(A560,Bang_Z,1))+(A560-INDEX(Bang_Z,MATCH(A560,Bang_Z,1)))*(INDEX(Bang_F,MATCH(A560,Bang_Z,1))+B560)/2</f>
        <v>48.870625</v>
      </c>
      <c r="D560" s="26" t="n">
        <f aca="false">MAX(A560-TC_Z,0)</f>
        <v>1.84999999999999</v>
      </c>
      <c r="E560" s="27" t="n">
        <f aca="false">1-0.2*(TC_xmb+(TC_n-1)*TC_xmt)*D560/(TC_n*TC_b)</f>
        <v>0.926342592592593</v>
      </c>
      <c r="F560" s="28" t="n">
        <f aca="false">TC_s*E560*TC_m*TC_n*TC_b*SQRT(2*g_)*D560^1.5</f>
        <v>100.356381115996</v>
      </c>
      <c r="G560" s="29" t="n">
        <f aca="false">MAX(A560-SC_Z,0)</f>
        <v>5.55</v>
      </c>
      <c r="H560" s="30" t="n">
        <f aca="false">1-0.2*(SC_xmb+(SC_n-1)*SC_xmt)*G560/(SC_n*SC_b)</f>
        <v>0.8446</v>
      </c>
      <c r="I560" s="31" t="n">
        <f aca="false">SC_s*H560*SC_m*SC_n*SC_b*SQRT(2*g_)*G560^1.5</f>
        <v>110.058242004589</v>
      </c>
      <c r="J560" s="32" t="n">
        <f aca="false">F560+I560</f>
        <v>210.414623120585</v>
      </c>
      <c r="K560" s="32" t="n">
        <f aca="false">F560</f>
        <v>100.356381115996</v>
      </c>
      <c r="L560" s="32" t="n">
        <f aca="false">C560*1000000/dt_s+J560/2</f>
        <v>13680.3809226714</v>
      </c>
      <c r="M560" s="32" t="n">
        <f aca="false">C560*1000000/dt_s+K560/2</f>
        <v>13625.3518016691</v>
      </c>
    </row>
    <row r="561" customFormat="false" ht="15" hidden="false" customHeight="false" outlineLevel="0" collapsed="false">
      <c r="A561" s="24" t="n">
        <f aca="false">ROUND(A560+0.01,2)</f>
        <v>76.56</v>
      </c>
      <c r="B561" s="25" t="n">
        <f aca="false">INDEX(Bang_F,MATCH(A561,Bang_Z,1))+(A561-INDEX(Bang_Z,MATCH(A561,Bang_Z,1)))*(INDEX(Bang_F,MATCH(A561,Bang_Z,1)+1)-INDEX(Bang_F,MATCH(A561,Bang_Z,1)))</f>
        <v>7.18</v>
      </c>
      <c r="C561" s="25" t="n">
        <f aca="false">INDEX(Bang_W,MATCH(A561,Bang_Z,1))+(A561-INDEX(Bang_Z,MATCH(A561,Bang_Z,1)))*(INDEX(Bang_F,MATCH(A561,Bang_Z,1))+B561)/2</f>
        <v>48.9424</v>
      </c>
      <c r="D561" s="26" t="n">
        <f aca="false">MAX(A561-TC_Z,0)</f>
        <v>1.86</v>
      </c>
      <c r="E561" s="27" t="n">
        <f aca="false">1-0.2*(TC_xmb+(TC_n-1)*TC_xmt)*D561/(TC_n*TC_b)</f>
        <v>0.925944444444445</v>
      </c>
      <c r="F561" s="28" t="n">
        <f aca="false">TC_s*E561*TC_m*TC_n*TC_b*SQRT(2*g_)*D561^1.5</f>
        <v>101.127696070289</v>
      </c>
      <c r="G561" s="29" t="n">
        <f aca="false">MAX(A561-SC_Z,0)</f>
        <v>5.56</v>
      </c>
      <c r="H561" s="30" t="n">
        <f aca="false">1-0.2*(SC_xmb+(SC_n-1)*SC_xmt)*G561/(SC_n*SC_b)</f>
        <v>0.84432</v>
      </c>
      <c r="I561" s="31" t="n">
        <f aca="false">SC_s*H561*SC_m*SC_n*SC_b*SQRT(2*g_)*G561^1.5</f>
        <v>110.31924573027</v>
      </c>
      <c r="J561" s="32" t="n">
        <f aca="false">F561+I561</f>
        <v>211.446941800558</v>
      </c>
      <c r="K561" s="32" t="n">
        <f aca="false">F561</f>
        <v>101.127696070289</v>
      </c>
      <c r="L561" s="32" t="n">
        <f aca="false">C561*1000000/dt_s+J561/2</f>
        <v>13700.8345820114</v>
      </c>
      <c r="M561" s="32" t="n">
        <f aca="false">C561*1000000/dt_s+K561/2</f>
        <v>13645.6749591463</v>
      </c>
    </row>
    <row r="562" customFormat="false" ht="15" hidden="false" customHeight="false" outlineLevel="0" collapsed="false">
      <c r="A562" s="24" t="n">
        <f aca="false">ROUND(A561+0.01,2)</f>
        <v>76.57</v>
      </c>
      <c r="B562" s="25" t="n">
        <f aca="false">INDEX(Bang_F,MATCH(A562,Bang_Z,1))+(A562-INDEX(Bang_Z,MATCH(A562,Bang_Z,1)))*(INDEX(Bang_F,MATCH(A562,Bang_Z,1)+1)-INDEX(Bang_F,MATCH(A562,Bang_Z,1)))</f>
        <v>7.185</v>
      </c>
      <c r="C562" s="25" t="n">
        <f aca="false">INDEX(Bang_W,MATCH(A562,Bang_Z,1))+(A562-INDEX(Bang_Z,MATCH(A562,Bang_Z,1)))*(INDEX(Bang_F,MATCH(A562,Bang_Z,1))+B562)/2</f>
        <v>49.014225</v>
      </c>
      <c r="D562" s="26" t="n">
        <f aca="false">MAX(A562-TC_Z,0)</f>
        <v>1.86999999999999</v>
      </c>
      <c r="E562" s="27" t="n">
        <f aca="false">1-0.2*(TC_xmb+(TC_n-1)*TC_xmt)*D562/(TC_n*TC_b)</f>
        <v>0.925546296296297</v>
      </c>
      <c r="F562" s="28" t="n">
        <f aca="false">TC_s*E562*TC_m*TC_n*TC_b*SQRT(2*g_)*D562^1.5</f>
        <v>101.900502001692</v>
      </c>
      <c r="G562" s="29" t="n">
        <f aca="false">MAX(A562-SC_Z,0)</f>
        <v>5.56999999999999</v>
      </c>
      <c r="H562" s="30" t="n">
        <f aca="false">1-0.2*(SC_xmb+(SC_n-1)*SC_xmt)*G562/(SC_n*SC_b)</f>
        <v>0.84404</v>
      </c>
      <c r="I562" s="31" t="n">
        <f aca="false">SC_s*H562*SC_m*SC_n*SC_b*SQRT(2*g_)*G562^1.5</f>
        <v>110.580319702685</v>
      </c>
      <c r="J562" s="32" t="n">
        <f aca="false">F562+I562</f>
        <v>212.480821704378</v>
      </c>
      <c r="K562" s="32" t="n">
        <f aca="false">F562</f>
        <v>101.900502001692</v>
      </c>
      <c r="L562" s="32" t="n">
        <f aca="false">C562*1000000/dt_s+J562/2</f>
        <v>13721.3029108522</v>
      </c>
      <c r="M562" s="32" t="n">
        <f aca="false">C562*1000000/dt_s+K562/2</f>
        <v>13666.0127510008</v>
      </c>
    </row>
    <row r="563" customFormat="false" ht="15" hidden="false" customHeight="false" outlineLevel="0" collapsed="false">
      <c r="A563" s="24" t="n">
        <f aca="false">ROUND(A562+0.01,2)</f>
        <v>76.58</v>
      </c>
      <c r="B563" s="25" t="n">
        <f aca="false">INDEX(Bang_F,MATCH(A563,Bang_Z,1))+(A563-INDEX(Bang_Z,MATCH(A563,Bang_Z,1)))*(INDEX(Bang_F,MATCH(A563,Bang_Z,1)+1)-INDEX(Bang_F,MATCH(A563,Bang_Z,1)))</f>
        <v>7.19</v>
      </c>
      <c r="C563" s="25" t="n">
        <f aca="false">INDEX(Bang_W,MATCH(A563,Bang_Z,1))+(A563-INDEX(Bang_Z,MATCH(A563,Bang_Z,1)))*(INDEX(Bang_F,MATCH(A563,Bang_Z,1))+B563)/2</f>
        <v>49.0861</v>
      </c>
      <c r="D563" s="26" t="n">
        <f aca="false">MAX(A563-TC_Z,0)</f>
        <v>1.88</v>
      </c>
      <c r="E563" s="27" t="n">
        <f aca="false">1-0.2*(TC_xmb+(TC_n-1)*TC_xmt)*D563/(TC_n*TC_b)</f>
        <v>0.925148148148148</v>
      </c>
      <c r="F563" s="28" t="n">
        <f aca="false">TC_s*E563*TC_m*TC_n*TC_b*SQRT(2*g_)*D563^1.5</f>
        <v>102.674790217457</v>
      </c>
      <c r="G563" s="29" t="n">
        <f aca="false">MAX(A563-SC_Z,0)</f>
        <v>5.58</v>
      </c>
      <c r="H563" s="30" t="n">
        <f aca="false">1-0.2*(SC_xmb+(SC_n-1)*SC_xmt)*G563/(SC_n*SC_b)</f>
        <v>0.84376</v>
      </c>
      <c r="I563" s="31" t="n">
        <f aca="false">SC_s*H563*SC_m*SC_n*SC_b*SQRT(2*g_)*G563^1.5</f>
        <v>110.841463415351</v>
      </c>
      <c r="J563" s="32" t="n">
        <f aca="false">F563+I563</f>
        <v>213.516253632808</v>
      </c>
      <c r="K563" s="32" t="n">
        <f aca="false">F563</f>
        <v>102.674790217457</v>
      </c>
      <c r="L563" s="32" t="n">
        <f aca="false">C563*1000000/dt_s+J563/2</f>
        <v>13741.7859045942</v>
      </c>
      <c r="M563" s="32" t="n">
        <f aca="false">C563*1000000/dt_s+K563/2</f>
        <v>13686.3651728865</v>
      </c>
    </row>
    <row r="564" customFormat="false" ht="15" hidden="false" customHeight="false" outlineLevel="0" collapsed="false">
      <c r="A564" s="24" t="n">
        <f aca="false">ROUND(A563+0.01,2)</f>
        <v>76.59</v>
      </c>
      <c r="B564" s="25" t="n">
        <f aca="false">INDEX(Bang_F,MATCH(A564,Bang_Z,1))+(A564-INDEX(Bang_Z,MATCH(A564,Bang_Z,1)))*(INDEX(Bang_F,MATCH(A564,Bang_Z,1)+1)-INDEX(Bang_F,MATCH(A564,Bang_Z,1)))</f>
        <v>7.195</v>
      </c>
      <c r="C564" s="25" t="n">
        <f aca="false">INDEX(Bang_W,MATCH(A564,Bang_Z,1))+(A564-INDEX(Bang_Z,MATCH(A564,Bang_Z,1)))*(INDEX(Bang_F,MATCH(A564,Bang_Z,1))+B564)/2</f>
        <v>49.158025</v>
      </c>
      <c r="D564" s="26" t="n">
        <f aca="false">MAX(A564-TC_Z,0)</f>
        <v>1.89</v>
      </c>
      <c r="E564" s="27" t="n">
        <f aca="false">1-0.2*(TC_xmb+(TC_n-1)*TC_xmt)*D564/(TC_n*TC_b)</f>
        <v>0.92475</v>
      </c>
      <c r="F564" s="28" t="n">
        <f aca="false">TC_s*E564*TC_m*TC_n*TC_b*SQRT(2*g_)*D564^1.5</f>
        <v>103.45055208176</v>
      </c>
      <c r="G564" s="29" t="n">
        <f aca="false">MAX(A564-SC_Z,0)</f>
        <v>5.59</v>
      </c>
      <c r="H564" s="30" t="n">
        <f aca="false">1-0.2*(SC_xmb+(SC_n-1)*SC_xmt)*G564/(SC_n*SC_b)</f>
        <v>0.84348</v>
      </c>
      <c r="I564" s="31" t="n">
        <f aca="false">SC_s*H564*SC_m*SC_n*SC_b*SQRT(2*g_)*G564^1.5</f>
        <v>111.102676362747</v>
      </c>
      <c r="J564" s="32" t="n">
        <f aca="false">F564+I564</f>
        <v>214.553228444507</v>
      </c>
      <c r="K564" s="32" t="n">
        <f aca="false">F564</f>
        <v>103.45055208176</v>
      </c>
      <c r="L564" s="32" t="n">
        <f aca="false">C564*1000000/dt_s+J564/2</f>
        <v>13762.2835586667</v>
      </c>
      <c r="M564" s="32" t="n">
        <f aca="false">C564*1000000/dt_s+K564/2</f>
        <v>13706.7322204853</v>
      </c>
    </row>
    <row r="565" customFormat="false" ht="15" hidden="false" customHeight="false" outlineLevel="0" collapsed="false">
      <c r="A565" s="24" t="n">
        <f aca="false">ROUND(A564+0.01,2)</f>
        <v>76.6</v>
      </c>
      <c r="B565" s="25" t="n">
        <f aca="false">INDEX(Bang_F,MATCH(A565,Bang_Z,1))+(A565-INDEX(Bang_Z,MATCH(A565,Bang_Z,1)))*(INDEX(Bang_F,MATCH(A565,Bang_Z,1)+1)-INDEX(Bang_F,MATCH(A565,Bang_Z,1)))</f>
        <v>7.2</v>
      </c>
      <c r="C565" s="25" t="n">
        <f aca="false">INDEX(Bang_W,MATCH(A565,Bang_Z,1))+(A565-INDEX(Bang_Z,MATCH(A565,Bang_Z,1)))*(INDEX(Bang_F,MATCH(A565,Bang_Z,1))+B565)/2</f>
        <v>49.23</v>
      </c>
      <c r="D565" s="26" t="n">
        <f aca="false">MAX(A565-TC_Z,0)</f>
        <v>1.89999999999999</v>
      </c>
      <c r="E565" s="27" t="n">
        <f aca="false">1-0.2*(TC_xmb+(TC_n-1)*TC_xmt)*D565/(TC_n*TC_b)</f>
        <v>0.924351851851852</v>
      </c>
      <c r="F565" s="28" t="n">
        <f aca="false">TC_s*E565*TC_m*TC_n*TC_b*SQRT(2*g_)*D565^1.5</f>
        <v>104.227779014988</v>
      </c>
      <c r="G565" s="29" t="n">
        <f aca="false">MAX(A565-SC_Z,0)</f>
        <v>5.59999999999999</v>
      </c>
      <c r="H565" s="30" t="n">
        <f aca="false">1-0.2*(SC_xmb+(SC_n-1)*SC_xmt)*G565/(SC_n*SC_b)</f>
        <v>0.8432</v>
      </c>
      <c r="I565" s="31" t="n">
        <f aca="false">SC_s*H565*SC_m*SC_n*SC_b*SQRT(2*g_)*G565^1.5</f>
        <v>111.363958040314</v>
      </c>
      <c r="J565" s="32" t="n">
        <f aca="false">F565+I565</f>
        <v>215.591737055302</v>
      </c>
      <c r="K565" s="32" t="n">
        <f aca="false">F565</f>
        <v>104.227779014988</v>
      </c>
      <c r="L565" s="32" t="n">
        <f aca="false">C565*1000000/dt_s+J565/2</f>
        <v>13782.7958685276</v>
      </c>
      <c r="M565" s="32" t="n">
        <f aca="false">C565*1000000/dt_s+K565/2</f>
        <v>13727.1138895075</v>
      </c>
    </row>
    <row r="566" customFormat="false" ht="15" hidden="false" customHeight="false" outlineLevel="0" collapsed="false">
      <c r="A566" s="24" t="n">
        <f aca="false">ROUND(A565+0.01,2)</f>
        <v>76.61</v>
      </c>
      <c r="B566" s="25" t="n">
        <f aca="false">INDEX(Bang_F,MATCH(A566,Bang_Z,1))+(A566-INDEX(Bang_Z,MATCH(A566,Bang_Z,1)))*(INDEX(Bang_F,MATCH(A566,Bang_Z,1)+1)-INDEX(Bang_F,MATCH(A566,Bang_Z,1)))</f>
        <v>7.205</v>
      </c>
      <c r="C566" s="25" t="n">
        <f aca="false">INDEX(Bang_W,MATCH(A566,Bang_Z,1))+(A566-INDEX(Bang_Z,MATCH(A566,Bang_Z,1)))*(INDEX(Bang_F,MATCH(A566,Bang_Z,1))+B566)/2</f>
        <v>49.302025</v>
      </c>
      <c r="D566" s="26" t="n">
        <f aca="false">MAX(A566-TC_Z,0)</f>
        <v>1.91</v>
      </c>
      <c r="E566" s="27" t="n">
        <f aca="false">1-0.2*(TC_xmb+(TC_n-1)*TC_xmt)*D566/(TC_n*TC_b)</f>
        <v>0.923953703703704</v>
      </c>
      <c r="F566" s="28" t="n">
        <f aca="false">TC_s*E566*TC_m*TC_n*TC_b*SQRT(2*g_)*D566^1.5</f>
        <v>105.006462493037</v>
      </c>
      <c r="G566" s="29" t="n">
        <f aca="false">MAX(A566-SC_Z,0)</f>
        <v>5.61</v>
      </c>
      <c r="H566" s="30" t="n">
        <f aca="false">1-0.2*(SC_xmb+(SC_n-1)*SC_xmt)*G566/(SC_n*SC_b)</f>
        <v>0.84292</v>
      </c>
      <c r="I566" s="31" t="n">
        <f aca="false">SC_s*H566*SC_m*SC_n*SC_b*SQRT(2*g_)*G566^1.5</f>
        <v>111.625307944449</v>
      </c>
      <c r="J566" s="32" t="n">
        <f aca="false">F566+I566</f>
        <v>216.631770437485</v>
      </c>
      <c r="K566" s="32" t="n">
        <f aca="false">F566</f>
        <v>105.006462493037</v>
      </c>
      <c r="L566" s="32" t="n">
        <f aca="false">C566*1000000/dt_s+J566/2</f>
        <v>13803.3228296632</v>
      </c>
      <c r="M566" s="32" t="n">
        <f aca="false">C566*1000000/dt_s+K566/2</f>
        <v>13747.510175691</v>
      </c>
    </row>
    <row r="567" customFormat="false" ht="15" hidden="false" customHeight="false" outlineLevel="0" collapsed="false">
      <c r="A567" s="24" t="n">
        <f aca="false">ROUND(A566+0.01,2)</f>
        <v>76.62</v>
      </c>
      <c r="B567" s="25" t="n">
        <f aca="false">INDEX(Bang_F,MATCH(A567,Bang_Z,1))+(A567-INDEX(Bang_Z,MATCH(A567,Bang_Z,1)))*(INDEX(Bang_F,MATCH(A567,Bang_Z,1)+1)-INDEX(Bang_F,MATCH(A567,Bang_Z,1)))</f>
        <v>7.21</v>
      </c>
      <c r="C567" s="25" t="n">
        <f aca="false">INDEX(Bang_W,MATCH(A567,Bang_Z,1))+(A567-INDEX(Bang_Z,MATCH(A567,Bang_Z,1)))*(INDEX(Bang_F,MATCH(A567,Bang_Z,1))+B567)/2</f>
        <v>49.3741</v>
      </c>
      <c r="D567" s="26" t="n">
        <f aca="false">MAX(A567-TC_Z,0)</f>
        <v>1.92</v>
      </c>
      <c r="E567" s="27" t="n">
        <f aca="false">1-0.2*(TC_xmb+(TC_n-1)*TC_xmt)*D567/(TC_n*TC_b)</f>
        <v>0.923555555555556</v>
      </c>
      <c r="F567" s="28" t="n">
        <f aca="false">TC_s*E567*TC_m*TC_n*TC_b*SQRT(2*g_)*D567^1.5</f>
        <v>105.786594046603</v>
      </c>
      <c r="G567" s="29" t="n">
        <f aca="false">MAX(A567-SC_Z,0)</f>
        <v>5.62</v>
      </c>
      <c r="H567" s="30" t="n">
        <f aca="false">1-0.2*(SC_xmb+(SC_n-1)*SC_xmt)*G567/(SC_n*SC_b)</f>
        <v>0.84264</v>
      </c>
      <c r="I567" s="31" t="n">
        <f aca="false">SC_s*H567*SC_m*SC_n*SC_b*SQRT(2*g_)*G567^1.5</f>
        <v>111.886725572502</v>
      </c>
      <c r="J567" s="32" t="n">
        <f aca="false">F567+I567</f>
        <v>217.673319619105</v>
      </c>
      <c r="K567" s="32" t="n">
        <f aca="false">F567</f>
        <v>105.786594046603</v>
      </c>
      <c r="L567" s="32" t="n">
        <f aca="false">C567*1000000/dt_s+J567/2</f>
        <v>13823.8644375873</v>
      </c>
      <c r="M567" s="32" t="n">
        <f aca="false">C567*1000000/dt_s+K567/2</f>
        <v>13767.9210748011</v>
      </c>
    </row>
    <row r="568" customFormat="false" ht="15" hidden="false" customHeight="false" outlineLevel="0" collapsed="false">
      <c r="A568" s="24" t="n">
        <f aca="false">ROUND(A567+0.01,2)</f>
        <v>76.63</v>
      </c>
      <c r="B568" s="25" t="n">
        <f aca="false">INDEX(Bang_F,MATCH(A568,Bang_Z,1))+(A568-INDEX(Bang_Z,MATCH(A568,Bang_Z,1)))*(INDEX(Bang_F,MATCH(A568,Bang_Z,1)+1)-INDEX(Bang_F,MATCH(A568,Bang_Z,1)))</f>
        <v>7.215</v>
      </c>
      <c r="C568" s="25" t="n">
        <f aca="false">INDEX(Bang_W,MATCH(A568,Bang_Z,1))+(A568-INDEX(Bang_Z,MATCH(A568,Bang_Z,1)))*(INDEX(Bang_F,MATCH(A568,Bang_Z,1))+B568)/2</f>
        <v>49.446225</v>
      </c>
      <c r="D568" s="26" t="n">
        <f aca="false">MAX(A568-TC_Z,0)</f>
        <v>1.92999999999999</v>
      </c>
      <c r="E568" s="27" t="n">
        <f aca="false">1-0.2*(TC_xmb+(TC_n-1)*TC_xmt)*D568/(TC_n*TC_b)</f>
        <v>0.923157407407408</v>
      </c>
      <c r="F568" s="28" t="n">
        <f aca="false">TC_s*E568*TC_m*TC_n*TC_b*SQRT(2*g_)*D568^1.5</f>
        <v>106.56816526051</v>
      </c>
      <c r="G568" s="29" t="n">
        <f aca="false">MAX(A568-SC_Z,0)</f>
        <v>5.63</v>
      </c>
      <c r="H568" s="30" t="n">
        <f aca="false">1-0.2*(SC_xmb+(SC_n-1)*SC_xmt)*G568/(SC_n*SC_b)</f>
        <v>0.84236</v>
      </c>
      <c r="I568" s="31" t="n">
        <f aca="false">SC_s*H568*SC_m*SC_n*SC_b*SQRT(2*g_)*G568^1.5</f>
        <v>112.148210422772</v>
      </c>
      <c r="J568" s="32" t="n">
        <f aca="false">F568+I568</f>
        <v>218.716375683282</v>
      </c>
      <c r="K568" s="32" t="n">
        <f aca="false">F568</f>
        <v>106.56816526051</v>
      </c>
      <c r="L568" s="32" t="n">
        <f aca="false">C568*1000000/dt_s+J568/2</f>
        <v>13844.4206878416</v>
      </c>
      <c r="M568" s="32" t="n">
        <f aca="false">C568*1000000/dt_s+K568/2</f>
        <v>13788.3465826302</v>
      </c>
    </row>
    <row r="569" customFormat="false" ht="15" hidden="false" customHeight="false" outlineLevel="0" collapsed="false">
      <c r="A569" s="24" t="n">
        <f aca="false">ROUND(A568+0.01,2)</f>
        <v>76.64</v>
      </c>
      <c r="B569" s="25" t="n">
        <f aca="false">INDEX(Bang_F,MATCH(A569,Bang_Z,1))+(A569-INDEX(Bang_Z,MATCH(A569,Bang_Z,1)))*(INDEX(Bang_F,MATCH(A569,Bang_Z,1)+1)-INDEX(Bang_F,MATCH(A569,Bang_Z,1)))</f>
        <v>7.22</v>
      </c>
      <c r="C569" s="25" t="n">
        <f aca="false">INDEX(Bang_W,MATCH(A569,Bang_Z,1))+(A569-INDEX(Bang_Z,MATCH(A569,Bang_Z,1)))*(INDEX(Bang_F,MATCH(A569,Bang_Z,1))+B569)/2</f>
        <v>49.5184</v>
      </c>
      <c r="D569" s="26" t="n">
        <f aca="false">MAX(A569-TC_Z,0)</f>
        <v>1.94</v>
      </c>
      <c r="E569" s="27" t="n">
        <f aca="false">1-0.2*(TC_xmb+(TC_n-1)*TC_xmt)*D569/(TC_n*TC_b)</f>
        <v>0.922759259259259</v>
      </c>
      <c r="F569" s="28" t="n">
        <f aca="false">TC_s*E569*TC_m*TC_n*TC_b*SQRT(2*g_)*D569^1.5</f>
        <v>107.351167773038</v>
      </c>
      <c r="G569" s="29" t="n">
        <f aca="false">MAX(A569-SC_Z,0)</f>
        <v>5.64</v>
      </c>
      <c r="H569" s="30" t="n">
        <f aca="false">1-0.2*(SC_xmb+(SC_n-1)*SC_xmt)*G569/(SC_n*SC_b)</f>
        <v>0.84208</v>
      </c>
      <c r="I569" s="31" t="n">
        <f aca="false">SC_s*H569*SC_m*SC_n*SC_b*SQRT(2*g_)*G569^1.5</f>
        <v>112.409761994504</v>
      </c>
      <c r="J569" s="32" t="n">
        <f aca="false">F569+I569</f>
        <v>219.760929767543</v>
      </c>
      <c r="K569" s="32" t="n">
        <f aca="false">F569</f>
        <v>107.351167773038</v>
      </c>
      <c r="L569" s="32" t="n">
        <f aca="false">C569*1000000/dt_s+J569/2</f>
        <v>13864.9915759949</v>
      </c>
      <c r="M569" s="32" t="n">
        <f aca="false">C569*1000000/dt_s+K569/2</f>
        <v>13808.7866949976</v>
      </c>
    </row>
    <row r="570" customFormat="false" ht="15" hidden="false" customHeight="false" outlineLevel="0" collapsed="false">
      <c r="A570" s="24" t="n">
        <f aca="false">ROUND(A569+0.01,2)</f>
        <v>76.65</v>
      </c>
      <c r="B570" s="25" t="n">
        <f aca="false">INDEX(Bang_F,MATCH(A570,Bang_Z,1))+(A570-INDEX(Bang_Z,MATCH(A570,Bang_Z,1)))*(INDEX(Bang_F,MATCH(A570,Bang_Z,1)+1)-INDEX(Bang_F,MATCH(A570,Bang_Z,1)))</f>
        <v>7.225</v>
      </c>
      <c r="C570" s="25" t="n">
        <f aca="false">INDEX(Bang_W,MATCH(A570,Bang_Z,1))+(A570-INDEX(Bang_Z,MATCH(A570,Bang_Z,1)))*(INDEX(Bang_F,MATCH(A570,Bang_Z,1))+B570)/2</f>
        <v>49.590625</v>
      </c>
      <c r="D570" s="26" t="n">
        <f aca="false">MAX(A570-TC_Z,0)</f>
        <v>1.95</v>
      </c>
      <c r="E570" s="27" t="n">
        <f aca="false">1-0.2*(TC_xmb+(TC_n-1)*TC_xmt)*D570/(TC_n*TC_b)</f>
        <v>0.922361111111111</v>
      </c>
      <c r="F570" s="28" t="n">
        <f aca="false">TC_s*E570*TC_m*TC_n*TC_b*SQRT(2*g_)*D570^1.5</f>
        <v>108.13559327526</v>
      </c>
      <c r="G570" s="29" t="n">
        <f aca="false">MAX(A570-SC_Z,0)</f>
        <v>5.65000000000001</v>
      </c>
      <c r="H570" s="30" t="n">
        <f aca="false">1-0.2*(SC_xmb+(SC_n-1)*SC_xmt)*G570/(SC_n*SC_b)</f>
        <v>0.8418</v>
      </c>
      <c r="I570" s="31" t="n">
        <f aca="false">SC_s*H570*SC_m*SC_n*SC_b*SQRT(2*g_)*G570^1.5</f>
        <v>112.671379787884</v>
      </c>
      <c r="J570" s="32" t="n">
        <f aca="false">F570+I570</f>
        <v>220.806973063144</v>
      </c>
      <c r="K570" s="32" t="n">
        <f aca="false">F570</f>
        <v>108.13559327526</v>
      </c>
      <c r="L570" s="32" t="n">
        <f aca="false">C570*1000000/dt_s+J570/2</f>
        <v>13885.5770976427</v>
      </c>
      <c r="M570" s="32" t="n">
        <f aca="false">C570*1000000/dt_s+K570/2</f>
        <v>13829.2414077488</v>
      </c>
    </row>
    <row r="571" customFormat="false" ht="15" hidden="false" customHeight="false" outlineLevel="0" collapsed="false">
      <c r="A571" s="24" t="n">
        <f aca="false">ROUND(A570+0.01,2)</f>
        <v>76.66</v>
      </c>
      <c r="B571" s="25" t="n">
        <f aca="false">INDEX(Bang_F,MATCH(A571,Bang_Z,1))+(A571-INDEX(Bang_Z,MATCH(A571,Bang_Z,1)))*(INDEX(Bang_F,MATCH(A571,Bang_Z,1)+1)-INDEX(Bang_F,MATCH(A571,Bang_Z,1)))</f>
        <v>7.23</v>
      </c>
      <c r="C571" s="25" t="n">
        <f aca="false">INDEX(Bang_W,MATCH(A571,Bang_Z,1))+(A571-INDEX(Bang_Z,MATCH(A571,Bang_Z,1)))*(INDEX(Bang_F,MATCH(A571,Bang_Z,1))+B571)/2</f>
        <v>49.6629</v>
      </c>
      <c r="D571" s="26" t="n">
        <f aca="false">MAX(A571-TC_Z,0)</f>
        <v>1.95999999999999</v>
      </c>
      <c r="E571" s="27" t="n">
        <f aca="false">1-0.2*(TC_xmb+(TC_n-1)*TC_xmt)*D571/(TC_n*TC_b)</f>
        <v>0.921962962962963</v>
      </c>
      <c r="F571" s="28" t="n">
        <f aca="false">TC_s*E571*TC_m*TC_n*TC_b*SQRT(2*g_)*D571^1.5</f>
        <v>108.921433510397</v>
      </c>
      <c r="G571" s="29" t="n">
        <f aca="false">MAX(A571-SC_Z,0)</f>
        <v>5.66</v>
      </c>
      <c r="H571" s="30" t="n">
        <f aca="false">1-0.2*(SC_xmb+(SC_n-1)*SC_xmt)*G571/(SC_n*SC_b)</f>
        <v>0.84152</v>
      </c>
      <c r="I571" s="31" t="n">
        <f aca="false">SC_s*H571*SC_m*SC_n*SC_b*SQRT(2*g_)*G571^1.5</f>
        <v>112.933063304033</v>
      </c>
      <c r="J571" s="32" t="n">
        <f aca="false">F571+I571</f>
        <v>221.85449681443</v>
      </c>
      <c r="K571" s="32" t="n">
        <f aca="false">F571</f>
        <v>108.921433510397</v>
      </c>
      <c r="L571" s="32" t="n">
        <f aca="false">C571*1000000/dt_s+J571/2</f>
        <v>13906.1772484072</v>
      </c>
      <c r="M571" s="32" t="n">
        <f aca="false">C571*1000000/dt_s+K571/2</f>
        <v>13849.7107167552</v>
      </c>
    </row>
    <row r="572" customFormat="false" ht="15" hidden="false" customHeight="false" outlineLevel="0" collapsed="false">
      <c r="A572" s="24" t="n">
        <f aca="false">ROUND(A571+0.01,2)</f>
        <v>76.67</v>
      </c>
      <c r="B572" s="25" t="n">
        <f aca="false">INDEX(Bang_F,MATCH(A572,Bang_Z,1))+(A572-INDEX(Bang_Z,MATCH(A572,Bang_Z,1)))*(INDEX(Bang_F,MATCH(A572,Bang_Z,1)+1)-INDEX(Bang_F,MATCH(A572,Bang_Z,1)))</f>
        <v>7.235</v>
      </c>
      <c r="C572" s="25" t="n">
        <f aca="false">INDEX(Bang_W,MATCH(A572,Bang_Z,1))+(A572-INDEX(Bang_Z,MATCH(A572,Bang_Z,1)))*(INDEX(Bang_F,MATCH(A572,Bang_Z,1))+B572)/2</f>
        <v>49.735225</v>
      </c>
      <c r="D572" s="26" t="n">
        <f aca="false">MAX(A572-TC_Z,0)</f>
        <v>1.97</v>
      </c>
      <c r="E572" s="27" t="n">
        <f aca="false">1-0.2*(TC_xmb+(TC_n-1)*TC_xmt)*D572/(TC_n*TC_b)</f>
        <v>0.921564814814815</v>
      </c>
      <c r="F572" s="28" t="n">
        <f aca="false">TC_s*E572*TC_m*TC_n*TC_b*SQRT(2*g_)*D572^1.5</f>
        <v>109.708680273186</v>
      </c>
      <c r="G572" s="29" t="n">
        <f aca="false">MAX(A572-SC_Z,0)</f>
        <v>5.67</v>
      </c>
      <c r="H572" s="30" t="n">
        <f aca="false">1-0.2*(SC_xmb+(SC_n-1)*SC_xmt)*G572/(SC_n*SC_b)</f>
        <v>0.84124</v>
      </c>
      <c r="I572" s="31" t="n">
        <f aca="false">SC_s*H572*SC_m*SC_n*SC_b*SQRT(2*g_)*G572^1.5</f>
        <v>113.194812045009</v>
      </c>
      <c r="J572" s="32" t="n">
        <f aca="false">F572+I572</f>
        <v>222.903492318195</v>
      </c>
      <c r="K572" s="32" t="n">
        <f aca="false">F572</f>
        <v>109.708680273186</v>
      </c>
      <c r="L572" s="32" t="n">
        <f aca="false">C572*1000000/dt_s+J572/2</f>
        <v>13926.7920239369</v>
      </c>
      <c r="M572" s="32" t="n">
        <f aca="false">C572*1000000/dt_s+K572/2</f>
        <v>13870.1946179144</v>
      </c>
    </row>
    <row r="573" customFormat="false" ht="15" hidden="false" customHeight="false" outlineLevel="0" collapsed="false">
      <c r="A573" s="24" t="n">
        <f aca="false">ROUND(A572+0.01,2)</f>
        <v>76.68</v>
      </c>
      <c r="B573" s="25" t="n">
        <f aca="false">INDEX(Bang_F,MATCH(A573,Bang_Z,1))+(A573-INDEX(Bang_Z,MATCH(A573,Bang_Z,1)))*(INDEX(Bang_F,MATCH(A573,Bang_Z,1)+1)-INDEX(Bang_F,MATCH(A573,Bang_Z,1)))</f>
        <v>7.24</v>
      </c>
      <c r="C573" s="25" t="n">
        <f aca="false">INDEX(Bang_W,MATCH(A573,Bang_Z,1))+(A573-INDEX(Bang_Z,MATCH(A573,Bang_Z,1)))*(INDEX(Bang_F,MATCH(A573,Bang_Z,1))+B573)/2</f>
        <v>49.8076000000001</v>
      </c>
      <c r="D573" s="26" t="n">
        <f aca="false">MAX(A573-TC_Z,0)</f>
        <v>1.98</v>
      </c>
      <c r="E573" s="27" t="n">
        <f aca="false">1-0.2*(TC_xmb+(TC_n-1)*TC_xmt)*D573/(TC_n*TC_b)</f>
        <v>0.921166666666667</v>
      </c>
      <c r="F573" s="28" t="n">
        <f aca="false">TC_s*E573*TC_m*TC_n*TC_b*SQRT(2*g_)*D573^1.5</f>
        <v>110.49732540925</v>
      </c>
      <c r="G573" s="29" t="n">
        <f aca="false">MAX(A573-SC_Z,0)</f>
        <v>5.68000000000001</v>
      </c>
      <c r="H573" s="30" t="n">
        <f aca="false">1-0.2*(SC_xmb+(SC_n-1)*SC_xmt)*G573/(SC_n*SC_b)</f>
        <v>0.84096</v>
      </c>
      <c r="I573" s="31" t="n">
        <f aca="false">SC_s*H573*SC_m*SC_n*SC_b*SQRT(2*g_)*G573^1.5</f>
        <v>113.456625513798</v>
      </c>
      <c r="J573" s="32" t="n">
        <f aca="false">F573+I573</f>
        <v>223.953950923047</v>
      </c>
      <c r="K573" s="32" t="n">
        <f aca="false">F573</f>
        <v>110.49732540925</v>
      </c>
      <c r="L573" s="32" t="n">
        <f aca="false">C573*1000000/dt_s+J573/2</f>
        <v>13947.421419906</v>
      </c>
      <c r="M573" s="32" t="n">
        <f aca="false">C573*1000000/dt_s+K573/2</f>
        <v>13890.6931071491</v>
      </c>
    </row>
    <row r="574" customFormat="false" ht="15" hidden="false" customHeight="false" outlineLevel="0" collapsed="false">
      <c r="A574" s="24" t="n">
        <f aca="false">ROUND(A573+0.01,2)</f>
        <v>76.69</v>
      </c>
      <c r="B574" s="25" t="n">
        <f aca="false">INDEX(Bang_F,MATCH(A574,Bang_Z,1))+(A574-INDEX(Bang_Z,MATCH(A574,Bang_Z,1)))*(INDEX(Bang_F,MATCH(A574,Bang_Z,1)+1)-INDEX(Bang_F,MATCH(A574,Bang_Z,1)))</f>
        <v>7.245</v>
      </c>
      <c r="C574" s="25" t="n">
        <f aca="false">INDEX(Bang_W,MATCH(A574,Bang_Z,1))+(A574-INDEX(Bang_Z,MATCH(A574,Bang_Z,1)))*(INDEX(Bang_F,MATCH(A574,Bang_Z,1))+B574)/2</f>
        <v>49.880025</v>
      </c>
      <c r="D574" s="26" t="n">
        <f aca="false">MAX(A574-TC_Z,0)</f>
        <v>1.98999999999999</v>
      </c>
      <c r="E574" s="27" t="n">
        <f aca="false">1-0.2*(TC_xmb+(TC_n-1)*TC_xmt)*D574/(TC_n*TC_b)</f>
        <v>0.920768518518519</v>
      </c>
      <c r="F574" s="28" t="n">
        <f aca="false">TC_s*E574*TC_m*TC_n*TC_b*SQRT(2*g_)*D574^1.5</f>
        <v>111.287360814483</v>
      </c>
      <c r="G574" s="29" t="n">
        <f aca="false">MAX(A574-SC_Z,0)</f>
        <v>5.69</v>
      </c>
      <c r="H574" s="30" t="n">
        <f aca="false">1-0.2*(SC_xmb+(SC_n-1)*SC_xmt)*G574/(SC_n*SC_b)</f>
        <v>0.84068</v>
      </c>
      <c r="I574" s="31" t="n">
        <f aca="false">SC_s*H574*SC_m*SC_n*SC_b*SQRT(2*g_)*G574^1.5</f>
        <v>113.718503214311</v>
      </c>
      <c r="J574" s="32" t="n">
        <f aca="false">F574+I574</f>
        <v>225.005864028794</v>
      </c>
      <c r="K574" s="32" t="n">
        <f aca="false">F574</f>
        <v>111.287360814483</v>
      </c>
      <c r="L574" s="32" t="n">
        <f aca="false">C574*1000000/dt_s+J574/2</f>
        <v>13968.0654320144</v>
      </c>
      <c r="M574" s="32" t="n">
        <f aca="false">C574*1000000/dt_s+K574/2</f>
        <v>13911.2061804072</v>
      </c>
    </row>
    <row r="575" customFormat="false" ht="15" hidden="false" customHeight="false" outlineLevel="0" collapsed="false">
      <c r="A575" s="24" t="n">
        <f aca="false">ROUND(A574+0.01,2)</f>
        <v>76.7</v>
      </c>
      <c r="B575" s="25" t="n">
        <f aca="false">INDEX(Bang_F,MATCH(A575,Bang_Z,1))+(A575-INDEX(Bang_Z,MATCH(A575,Bang_Z,1)))*(INDEX(Bang_F,MATCH(A575,Bang_Z,1)+1)-INDEX(Bang_F,MATCH(A575,Bang_Z,1)))</f>
        <v>7.25</v>
      </c>
      <c r="C575" s="25" t="n">
        <f aca="false">INDEX(Bang_W,MATCH(A575,Bang_Z,1))+(A575-INDEX(Bang_Z,MATCH(A575,Bang_Z,1)))*(INDEX(Bang_F,MATCH(A575,Bang_Z,1))+B575)/2</f>
        <v>49.9525</v>
      </c>
      <c r="D575" s="26" t="n">
        <f aca="false">MAX(A575-TC_Z,0)</f>
        <v>2</v>
      </c>
      <c r="E575" s="27" t="n">
        <f aca="false">1-0.2*(TC_xmb+(TC_n-1)*TC_xmt)*D575/(TC_n*TC_b)</f>
        <v>0.92037037037037</v>
      </c>
      <c r="F575" s="28" t="n">
        <f aca="false">TC_s*E575*TC_m*TC_n*TC_b*SQRT(2*g_)*D575^1.5</f>
        <v>112.078778434457</v>
      </c>
      <c r="G575" s="29" t="n">
        <f aca="false">MAX(A575-SC_Z,0)</f>
        <v>5.7</v>
      </c>
      <c r="H575" s="30" t="n">
        <f aca="false">1-0.2*(SC_xmb+(SC_n-1)*SC_xmt)*G575/(SC_n*SC_b)</f>
        <v>0.8404</v>
      </c>
      <c r="I575" s="31" t="n">
        <f aca="false">SC_s*H575*SC_m*SC_n*SC_b*SQRT(2*g_)*G575^1.5</f>
        <v>113.980444651385</v>
      </c>
      <c r="J575" s="32" t="n">
        <f aca="false">F575+I575</f>
        <v>226.059223085842</v>
      </c>
      <c r="K575" s="32" t="n">
        <f aca="false">F575</f>
        <v>112.078778434457</v>
      </c>
      <c r="L575" s="32" t="n">
        <f aca="false">C575*1000000/dt_s+J575/2</f>
        <v>13988.7240559874</v>
      </c>
      <c r="M575" s="32" t="n">
        <f aca="false">C575*1000000/dt_s+K575/2</f>
        <v>13931.7338336617</v>
      </c>
    </row>
    <row r="576" customFormat="false" ht="15" hidden="false" customHeight="false" outlineLevel="0" collapsed="false">
      <c r="A576" s="24" t="n">
        <f aca="false">ROUND(A575+0.01,2)</f>
        <v>76.71</v>
      </c>
      <c r="B576" s="25" t="n">
        <f aca="false">INDEX(Bang_F,MATCH(A576,Bang_Z,1))+(A576-INDEX(Bang_Z,MATCH(A576,Bang_Z,1)))*(INDEX(Bang_F,MATCH(A576,Bang_Z,1)+1)-INDEX(Bang_F,MATCH(A576,Bang_Z,1)))</f>
        <v>7.255</v>
      </c>
      <c r="C576" s="25" t="n">
        <f aca="false">INDEX(Bang_W,MATCH(A576,Bang_Z,1))+(A576-INDEX(Bang_Z,MATCH(A576,Bang_Z,1)))*(INDEX(Bang_F,MATCH(A576,Bang_Z,1))+B576)/2</f>
        <v>50.025025</v>
      </c>
      <c r="D576" s="26" t="n">
        <f aca="false">MAX(A576-TC_Z,0)</f>
        <v>2.00999999999999</v>
      </c>
      <c r="E576" s="27" t="n">
        <f aca="false">1-0.2*(TC_xmb+(TC_n-1)*TC_xmt)*D576/(TC_n*TC_b)</f>
        <v>0.919972222222223</v>
      </c>
      <c r="F576" s="28" t="n">
        <f aca="false">TC_s*E576*TC_m*TC_n*TC_b*SQRT(2*g_)*D576^1.5</f>
        <v>112.871570263814</v>
      </c>
      <c r="G576" s="29" t="n">
        <f aca="false">MAX(A576-SC_Z,0)</f>
        <v>5.70999999999999</v>
      </c>
      <c r="H576" s="30" t="n">
        <f aca="false">1-0.2*(SC_xmb+(SC_n-1)*SC_xmt)*G576/(SC_n*SC_b)</f>
        <v>0.84012</v>
      </c>
      <c r="I576" s="31" t="n">
        <f aca="false">SC_s*H576*SC_m*SC_n*SC_b*SQRT(2*g_)*G576^1.5</f>
        <v>114.242449330773</v>
      </c>
      <c r="J576" s="32" t="n">
        <f aca="false">F576+I576</f>
        <v>227.114019594587</v>
      </c>
      <c r="K576" s="32" t="n">
        <f aca="false">F576</f>
        <v>112.871570263814</v>
      </c>
      <c r="L576" s="32" t="n">
        <f aca="false">C576*1000000/dt_s+J576/2</f>
        <v>14009.3972875751</v>
      </c>
      <c r="M576" s="32" t="n">
        <f aca="false">C576*1000000/dt_s+K576/2</f>
        <v>13952.2760629097</v>
      </c>
    </row>
    <row r="577" customFormat="false" ht="15" hidden="false" customHeight="false" outlineLevel="0" collapsed="false">
      <c r="A577" s="24" t="n">
        <f aca="false">ROUND(A576+0.01,2)</f>
        <v>76.72</v>
      </c>
      <c r="B577" s="25" t="n">
        <f aca="false">INDEX(Bang_F,MATCH(A577,Bang_Z,1))+(A577-INDEX(Bang_Z,MATCH(A577,Bang_Z,1)))*(INDEX(Bang_F,MATCH(A577,Bang_Z,1)+1)-INDEX(Bang_F,MATCH(A577,Bang_Z,1)))</f>
        <v>7.26</v>
      </c>
      <c r="C577" s="25" t="n">
        <f aca="false">INDEX(Bang_W,MATCH(A577,Bang_Z,1))+(A577-INDEX(Bang_Z,MATCH(A577,Bang_Z,1)))*(INDEX(Bang_F,MATCH(A577,Bang_Z,1))+B577)/2</f>
        <v>50.0976</v>
      </c>
      <c r="D577" s="26" t="n">
        <f aca="false">MAX(A577-TC_Z,0)</f>
        <v>2.02</v>
      </c>
      <c r="E577" s="27" t="n">
        <f aca="false">1-0.2*(TC_xmb+(TC_n-1)*TC_xmt)*D577/(TC_n*TC_b)</f>
        <v>0.919574074074074</v>
      </c>
      <c r="F577" s="28" t="n">
        <f aca="false">TC_s*E577*TC_m*TC_n*TC_b*SQRT(2*g_)*D577^1.5</f>
        <v>113.6657283457</v>
      </c>
      <c r="G577" s="29" t="n">
        <f aca="false">MAX(A577-SC_Z,0)</f>
        <v>5.72</v>
      </c>
      <c r="H577" s="30" t="n">
        <f aca="false">1-0.2*(SC_xmb+(SC_n-1)*SC_xmt)*G577/(SC_n*SC_b)</f>
        <v>0.83984</v>
      </c>
      <c r="I577" s="31" t="n">
        <f aca="false">SC_s*H577*SC_m*SC_n*SC_b*SQRT(2*g_)*G577^1.5</f>
        <v>114.504516759142</v>
      </c>
      <c r="J577" s="32" t="n">
        <f aca="false">F577+I577</f>
        <v>228.170245104842</v>
      </c>
      <c r="K577" s="32" t="n">
        <f aca="false">F577</f>
        <v>113.6657283457</v>
      </c>
      <c r="L577" s="32" t="n">
        <f aca="false">C577*1000000/dt_s+J577/2</f>
        <v>14030.0851225524</v>
      </c>
      <c r="M577" s="32" t="n">
        <f aca="false">C577*1000000/dt_s+K577/2</f>
        <v>13972.8328641728</v>
      </c>
    </row>
    <row r="578" customFormat="false" ht="15" hidden="false" customHeight="false" outlineLevel="0" collapsed="false">
      <c r="A578" s="24" t="n">
        <f aca="false">ROUND(A577+0.01,2)</f>
        <v>76.73</v>
      </c>
      <c r="B578" s="25" t="n">
        <f aca="false">INDEX(Bang_F,MATCH(A578,Bang_Z,1))+(A578-INDEX(Bang_Z,MATCH(A578,Bang_Z,1)))*(INDEX(Bang_F,MATCH(A578,Bang_Z,1)+1)-INDEX(Bang_F,MATCH(A578,Bang_Z,1)))</f>
        <v>7.265</v>
      </c>
      <c r="C578" s="25" t="n">
        <f aca="false">INDEX(Bang_W,MATCH(A578,Bang_Z,1))+(A578-INDEX(Bang_Z,MATCH(A578,Bang_Z,1)))*(INDEX(Bang_F,MATCH(A578,Bang_Z,1))+B578)/2</f>
        <v>50.170225</v>
      </c>
      <c r="D578" s="26" t="n">
        <f aca="false">MAX(A578-TC_Z,0)</f>
        <v>2.03</v>
      </c>
      <c r="E578" s="27" t="n">
        <f aca="false">1-0.2*(TC_xmb+(TC_n-1)*TC_xmt)*D578/(TC_n*TC_b)</f>
        <v>0.919175925925926</v>
      </c>
      <c r="F578" s="28" t="n">
        <f aca="false">TC_s*E578*TC_m*TC_n*TC_b*SQRT(2*g_)*D578^1.5</f>
        <v>114.461244771177</v>
      </c>
      <c r="G578" s="29" t="n">
        <f aca="false">MAX(A578-SC_Z,0)</f>
        <v>5.73</v>
      </c>
      <c r="H578" s="30" t="n">
        <f aca="false">1-0.2*(SC_xmb+(SC_n-1)*SC_xmt)*G578/(SC_n*SC_b)</f>
        <v>0.83956</v>
      </c>
      <c r="I578" s="31" t="n">
        <f aca="false">SC_s*H578*SC_m*SC_n*SC_b*SQRT(2*g_)*G578^1.5</f>
        <v>114.766646444073</v>
      </c>
      <c r="J578" s="32" t="n">
        <f aca="false">F578+I578</f>
        <v>229.227891215249</v>
      </c>
      <c r="K578" s="32" t="n">
        <f aca="false">F578</f>
        <v>114.461244771177</v>
      </c>
      <c r="L578" s="32" t="n">
        <f aca="false">C578*1000000/dt_s+J578/2</f>
        <v>14050.7875567187</v>
      </c>
      <c r="M578" s="32" t="n">
        <f aca="false">C578*1000000/dt_s+K578/2</f>
        <v>13993.4042334967</v>
      </c>
    </row>
    <row r="579" customFormat="false" ht="15" hidden="false" customHeight="false" outlineLevel="0" collapsed="false">
      <c r="A579" s="24" t="n">
        <f aca="false">ROUND(A578+0.01,2)</f>
        <v>76.74</v>
      </c>
      <c r="B579" s="25" t="n">
        <f aca="false">INDEX(Bang_F,MATCH(A579,Bang_Z,1))+(A579-INDEX(Bang_Z,MATCH(A579,Bang_Z,1)))*(INDEX(Bang_F,MATCH(A579,Bang_Z,1)+1)-INDEX(Bang_F,MATCH(A579,Bang_Z,1)))</f>
        <v>7.27</v>
      </c>
      <c r="C579" s="25" t="n">
        <f aca="false">INDEX(Bang_W,MATCH(A579,Bang_Z,1))+(A579-INDEX(Bang_Z,MATCH(A579,Bang_Z,1)))*(INDEX(Bang_F,MATCH(A579,Bang_Z,1))+B579)/2</f>
        <v>50.2429</v>
      </c>
      <c r="D579" s="26" t="n">
        <f aca="false">MAX(A579-TC_Z,0)</f>
        <v>2.03999999999999</v>
      </c>
      <c r="E579" s="27" t="n">
        <f aca="false">1-0.2*(TC_xmb+(TC_n-1)*TC_xmt)*D579/(TC_n*TC_b)</f>
        <v>0.918777777777778</v>
      </c>
      <c r="F579" s="28" t="n">
        <f aca="false">TC_s*E579*TC_m*TC_n*TC_b*SQRT(2*g_)*D579^1.5</f>
        <v>115.258111678665</v>
      </c>
      <c r="G579" s="29" t="n">
        <f aca="false">MAX(A579-SC_Z,0)</f>
        <v>5.74</v>
      </c>
      <c r="H579" s="30" t="n">
        <f aca="false">1-0.2*(SC_xmb+(SC_n-1)*SC_xmt)*G579/(SC_n*SC_b)</f>
        <v>0.83928</v>
      </c>
      <c r="I579" s="31" t="n">
        <f aca="false">SC_s*H579*SC_m*SC_n*SC_b*SQRT(2*g_)*G579^1.5</f>
        <v>115.028837894052</v>
      </c>
      <c r="J579" s="32" t="n">
        <f aca="false">F579+I579</f>
        <v>230.286949572717</v>
      </c>
      <c r="K579" s="32" t="n">
        <f aca="false">F579</f>
        <v>115.258111678665</v>
      </c>
      <c r="L579" s="32" t="n">
        <f aca="false">C579*1000000/dt_s+J579/2</f>
        <v>14071.5045858975</v>
      </c>
      <c r="M579" s="32" t="n">
        <f aca="false">C579*1000000/dt_s+K579/2</f>
        <v>14013.9901669504</v>
      </c>
    </row>
    <row r="580" customFormat="false" ht="15" hidden="false" customHeight="false" outlineLevel="0" collapsed="false">
      <c r="A580" s="24" t="n">
        <f aca="false">ROUND(A579+0.01,2)</f>
        <v>76.75</v>
      </c>
      <c r="B580" s="25" t="n">
        <f aca="false">INDEX(Bang_F,MATCH(A580,Bang_Z,1))+(A580-INDEX(Bang_Z,MATCH(A580,Bang_Z,1)))*(INDEX(Bang_F,MATCH(A580,Bang_Z,1)+1)-INDEX(Bang_F,MATCH(A580,Bang_Z,1)))</f>
        <v>7.275</v>
      </c>
      <c r="C580" s="25" t="n">
        <f aca="false">INDEX(Bang_W,MATCH(A580,Bang_Z,1))+(A580-INDEX(Bang_Z,MATCH(A580,Bang_Z,1)))*(INDEX(Bang_F,MATCH(A580,Bang_Z,1))+B580)/2</f>
        <v>50.315625</v>
      </c>
      <c r="D580" s="26" t="n">
        <f aca="false">MAX(A580-TC_Z,0)</f>
        <v>2.05</v>
      </c>
      <c r="E580" s="27" t="n">
        <f aca="false">1-0.2*(TC_xmb+(TC_n-1)*TC_xmt)*D580/(TC_n*TC_b)</f>
        <v>0.91837962962963</v>
      </c>
      <c r="F580" s="28" t="n">
        <f aca="false">TC_s*E580*TC_m*TC_n*TC_b*SQRT(2*g_)*D580^1.5</f>
        <v>116.056321253396</v>
      </c>
      <c r="G580" s="29" t="n">
        <f aca="false">MAX(A580-SC_Z,0)</f>
        <v>5.75</v>
      </c>
      <c r="H580" s="30" t="n">
        <f aca="false">1-0.2*(SC_xmb+(SC_n-1)*SC_xmt)*G580/(SC_n*SC_b)</f>
        <v>0.839</v>
      </c>
      <c r="I580" s="31" t="n">
        <f aca="false">SC_s*H580*SC_m*SC_n*SC_b*SQRT(2*g_)*G580^1.5</f>
        <v>115.291090618472</v>
      </c>
      <c r="J580" s="32" t="n">
        <f aca="false">F580+I580</f>
        <v>231.347411871868</v>
      </c>
      <c r="K580" s="32" t="n">
        <f aca="false">F580</f>
        <v>116.056321253396</v>
      </c>
      <c r="L580" s="32" t="n">
        <f aca="false">C580*1000000/dt_s+J580/2</f>
        <v>14092.2362059359</v>
      </c>
      <c r="M580" s="32" t="n">
        <f aca="false">C580*1000000/dt_s+K580/2</f>
        <v>14034.5906606267</v>
      </c>
    </row>
    <row r="581" customFormat="false" ht="15" hidden="false" customHeight="false" outlineLevel="0" collapsed="false">
      <c r="A581" s="24" t="n">
        <f aca="false">ROUND(A580+0.01,2)</f>
        <v>76.76</v>
      </c>
      <c r="B581" s="25" t="n">
        <f aca="false">INDEX(Bang_F,MATCH(A581,Bang_Z,1))+(A581-INDEX(Bang_Z,MATCH(A581,Bang_Z,1)))*(INDEX(Bang_F,MATCH(A581,Bang_Z,1)+1)-INDEX(Bang_F,MATCH(A581,Bang_Z,1)))</f>
        <v>7.28</v>
      </c>
      <c r="C581" s="25" t="n">
        <f aca="false">INDEX(Bang_W,MATCH(A581,Bang_Z,1))+(A581-INDEX(Bang_Z,MATCH(A581,Bang_Z,1)))*(INDEX(Bang_F,MATCH(A581,Bang_Z,1))+B581)/2</f>
        <v>50.3884</v>
      </c>
      <c r="D581" s="26" t="n">
        <f aca="false">MAX(A581-TC_Z,0)</f>
        <v>2.06</v>
      </c>
      <c r="E581" s="27" t="n">
        <f aca="false">1-0.2*(TC_xmb+(TC_n-1)*TC_xmt)*D581/(TC_n*TC_b)</f>
        <v>0.917981481481481</v>
      </c>
      <c r="F581" s="28" t="n">
        <f aca="false">TC_s*E581*TC_m*TC_n*TC_b*SQRT(2*g_)*D581^1.5</f>
        <v>116.855865726859</v>
      </c>
      <c r="G581" s="29" t="n">
        <f aca="false">MAX(A581-SC_Z,0)</f>
        <v>5.76000000000001</v>
      </c>
      <c r="H581" s="30" t="n">
        <f aca="false">1-0.2*(SC_xmb+(SC_n-1)*SC_xmt)*G581/(SC_n*SC_b)</f>
        <v>0.83872</v>
      </c>
      <c r="I581" s="31" t="n">
        <f aca="false">SC_s*H581*SC_m*SC_n*SC_b*SQRT(2*g_)*G581^1.5</f>
        <v>115.553404127623</v>
      </c>
      <c r="J581" s="32" t="n">
        <f aca="false">F581+I581</f>
        <v>232.409269854482</v>
      </c>
      <c r="K581" s="32" t="n">
        <f aca="false">F581</f>
        <v>116.855865726859</v>
      </c>
      <c r="L581" s="32" t="n">
        <f aca="false">C581*1000000/dt_s+J581/2</f>
        <v>14112.982412705</v>
      </c>
      <c r="M581" s="32" t="n">
        <f aca="false">C581*1000000/dt_s+K581/2</f>
        <v>14055.2057106412</v>
      </c>
    </row>
    <row r="582" customFormat="false" ht="15" hidden="false" customHeight="false" outlineLevel="0" collapsed="false">
      <c r="A582" s="24" t="n">
        <f aca="false">ROUND(A581+0.01,2)</f>
        <v>76.77</v>
      </c>
      <c r="B582" s="25" t="n">
        <f aca="false">INDEX(Bang_F,MATCH(A582,Bang_Z,1))+(A582-INDEX(Bang_Z,MATCH(A582,Bang_Z,1)))*(INDEX(Bang_F,MATCH(A582,Bang_Z,1)+1)-INDEX(Bang_F,MATCH(A582,Bang_Z,1)))</f>
        <v>7.285</v>
      </c>
      <c r="C582" s="25" t="n">
        <f aca="false">INDEX(Bang_W,MATCH(A582,Bang_Z,1))+(A582-INDEX(Bang_Z,MATCH(A582,Bang_Z,1)))*(INDEX(Bang_F,MATCH(A582,Bang_Z,1))+B582)/2</f>
        <v>50.461225</v>
      </c>
      <c r="D582" s="26" t="n">
        <f aca="false">MAX(A582-TC_Z,0)</f>
        <v>2.06999999999999</v>
      </c>
      <c r="E582" s="27" t="n">
        <f aca="false">1-0.2*(TC_xmb+(TC_n-1)*TC_xmt)*D582/(TC_n*TC_b)</f>
        <v>0.917583333333334</v>
      </c>
      <c r="F582" s="28" t="n">
        <f aca="false">TC_s*E582*TC_m*TC_n*TC_b*SQRT(2*g_)*D582^1.5</f>
        <v>117.656737376266</v>
      </c>
      <c r="G582" s="29" t="n">
        <f aca="false">MAX(A582-SC_Z,0)</f>
        <v>5.77</v>
      </c>
      <c r="H582" s="30" t="n">
        <f aca="false">1-0.2*(SC_xmb+(SC_n-1)*SC_xmt)*G582/(SC_n*SC_b)</f>
        <v>0.83844</v>
      </c>
      <c r="I582" s="31" t="n">
        <f aca="false">SC_s*H582*SC_m*SC_n*SC_b*SQRT(2*g_)*G582^1.5</f>
        <v>115.815777932695</v>
      </c>
      <c r="J582" s="32" t="n">
        <f aca="false">F582+I582</f>
        <v>233.472515308961</v>
      </c>
      <c r="K582" s="32" t="n">
        <f aca="false">F582</f>
        <v>117.656737376266</v>
      </c>
      <c r="L582" s="32" t="n">
        <f aca="false">C582*1000000/dt_s+J582/2</f>
        <v>14133.7432020989</v>
      </c>
      <c r="M582" s="32" t="n">
        <f aca="false">C582*1000000/dt_s+K582/2</f>
        <v>14075.8353131326</v>
      </c>
    </row>
    <row r="583" customFormat="false" ht="15" hidden="false" customHeight="false" outlineLevel="0" collapsed="false">
      <c r="A583" s="24" t="n">
        <f aca="false">ROUND(A582+0.01,2)</f>
        <v>76.78</v>
      </c>
      <c r="B583" s="25" t="n">
        <f aca="false">INDEX(Bang_F,MATCH(A583,Bang_Z,1))+(A583-INDEX(Bang_Z,MATCH(A583,Bang_Z,1)))*(INDEX(Bang_F,MATCH(A583,Bang_Z,1)+1)-INDEX(Bang_F,MATCH(A583,Bang_Z,1)))</f>
        <v>7.29</v>
      </c>
      <c r="C583" s="25" t="n">
        <f aca="false">INDEX(Bang_W,MATCH(A583,Bang_Z,1))+(A583-INDEX(Bang_Z,MATCH(A583,Bang_Z,1)))*(INDEX(Bang_F,MATCH(A583,Bang_Z,1))+B583)/2</f>
        <v>50.5341</v>
      </c>
      <c r="D583" s="26" t="n">
        <f aca="false">MAX(A583-TC_Z,0)</f>
        <v>2.08</v>
      </c>
      <c r="E583" s="27" t="n">
        <f aca="false">1-0.2*(TC_xmb+(TC_n-1)*TC_xmt)*D583/(TC_n*TC_b)</f>
        <v>0.917185185185185</v>
      </c>
      <c r="F583" s="28" t="n">
        <f aca="false">TC_s*E583*TC_m*TC_n*TC_b*SQRT(2*g_)*D583^1.5</f>
        <v>118.458928524033</v>
      </c>
      <c r="G583" s="29" t="n">
        <f aca="false">MAX(A583-SC_Z,0)</f>
        <v>5.78</v>
      </c>
      <c r="H583" s="30" t="n">
        <f aca="false">1-0.2*(SC_xmb+(SC_n-1)*SC_xmt)*G583/(SC_n*SC_b)</f>
        <v>0.83816</v>
      </c>
      <c r="I583" s="31" t="n">
        <f aca="false">SC_s*H583*SC_m*SC_n*SC_b*SQRT(2*g_)*G583^1.5</f>
        <v>116.07821154577</v>
      </c>
      <c r="J583" s="32" t="n">
        <f aca="false">F583+I583</f>
        <v>234.537140069803</v>
      </c>
      <c r="K583" s="32" t="n">
        <f aca="false">F583</f>
        <v>118.458928524033</v>
      </c>
      <c r="L583" s="32" t="n">
        <f aca="false">C583*1000000/dt_s+J583/2</f>
        <v>14154.5185700349</v>
      </c>
      <c r="M583" s="32" t="n">
        <f aca="false">C583*1000000/dt_s+K583/2</f>
        <v>14096.479464262</v>
      </c>
    </row>
    <row r="584" customFormat="false" ht="15" hidden="false" customHeight="false" outlineLevel="0" collapsed="false">
      <c r="A584" s="24" t="n">
        <f aca="false">ROUND(A583+0.01,2)</f>
        <v>76.79</v>
      </c>
      <c r="B584" s="25" t="n">
        <f aca="false">INDEX(Bang_F,MATCH(A584,Bang_Z,1))+(A584-INDEX(Bang_Z,MATCH(A584,Bang_Z,1)))*(INDEX(Bang_F,MATCH(A584,Bang_Z,1)+1)-INDEX(Bang_F,MATCH(A584,Bang_Z,1)))</f>
        <v>7.295</v>
      </c>
      <c r="C584" s="25" t="n">
        <f aca="false">INDEX(Bang_W,MATCH(A584,Bang_Z,1))+(A584-INDEX(Bang_Z,MATCH(A584,Bang_Z,1)))*(INDEX(Bang_F,MATCH(A584,Bang_Z,1))+B584)/2</f>
        <v>50.6070250000001</v>
      </c>
      <c r="D584" s="26" t="n">
        <f aca="false">MAX(A584-TC_Z,0)</f>
        <v>2.09</v>
      </c>
      <c r="E584" s="27" t="n">
        <f aca="false">1-0.2*(TC_xmb+(TC_n-1)*TC_xmt)*D584/(TC_n*TC_b)</f>
        <v>0.916787037037037</v>
      </c>
      <c r="F584" s="28" t="n">
        <f aca="false">TC_s*E584*TC_m*TC_n*TC_b*SQRT(2*g_)*D584^1.5</f>
        <v>119.262431537255</v>
      </c>
      <c r="G584" s="29" t="n">
        <f aca="false">MAX(A584-SC_Z,0)</f>
        <v>5.79000000000001</v>
      </c>
      <c r="H584" s="30" t="n">
        <f aca="false">1-0.2*(SC_xmb+(SC_n-1)*SC_xmt)*G584/(SC_n*SC_b)</f>
        <v>0.83788</v>
      </c>
      <c r="I584" s="31" t="n">
        <f aca="false">SC_s*H584*SC_m*SC_n*SC_b*SQRT(2*g_)*G584^1.5</f>
        <v>116.340704479819</v>
      </c>
      <c r="J584" s="32" t="n">
        <f aca="false">F584+I584</f>
        <v>235.603136017075</v>
      </c>
      <c r="K584" s="32" t="n">
        <f aca="false">F584</f>
        <v>119.262431537255</v>
      </c>
      <c r="L584" s="32" t="n">
        <f aca="false">C584*1000000/dt_s+J584/2</f>
        <v>14175.308512453</v>
      </c>
      <c r="M584" s="32" t="n">
        <f aca="false">C584*1000000/dt_s+K584/2</f>
        <v>14117.1381602131</v>
      </c>
    </row>
    <row r="585" customFormat="false" ht="15" hidden="false" customHeight="false" outlineLevel="0" collapsed="false">
      <c r="A585" s="24" t="n">
        <f aca="false">ROUND(A584+0.01,2)</f>
        <v>76.8</v>
      </c>
      <c r="B585" s="25" t="n">
        <f aca="false">INDEX(Bang_F,MATCH(A585,Bang_Z,1))+(A585-INDEX(Bang_Z,MATCH(A585,Bang_Z,1)))*(INDEX(Bang_F,MATCH(A585,Bang_Z,1)+1)-INDEX(Bang_F,MATCH(A585,Bang_Z,1)))</f>
        <v>7.3</v>
      </c>
      <c r="C585" s="25" t="n">
        <f aca="false">INDEX(Bang_W,MATCH(A585,Bang_Z,1))+(A585-INDEX(Bang_Z,MATCH(A585,Bang_Z,1)))*(INDEX(Bang_F,MATCH(A585,Bang_Z,1))+B585)/2</f>
        <v>50.68</v>
      </c>
      <c r="D585" s="26" t="n">
        <f aca="false">MAX(A585-TC_Z,0)</f>
        <v>2.09999999999999</v>
      </c>
      <c r="E585" s="27" t="n">
        <f aca="false">1-0.2*(TC_xmb+(TC_n-1)*TC_xmt)*D585/(TC_n*TC_b)</f>
        <v>0.916388888888889</v>
      </c>
      <c r="F585" s="28" t="n">
        <f aca="false">TC_s*E585*TC_m*TC_n*TC_b*SQRT(2*g_)*D585^1.5</f>
        <v>120.067238827198</v>
      </c>
      <c r="G585" s="29" t="n">
        <f aca="false">MAX(A585-SC_Z,0)</f>
        <v>5.8</v>
      </c>
      <c r="H585" s="30" t="n">
        <f aca="false">1-0.2*(SC_xmb+(SC_n-1)*SC_xmt)*G585/(SC_n*SC_b)</f>
        <v>0.8376</v>
      </c>
      <c r="I585" s="31" t="n">
        <f aca="false">SC_s*H585*SC_m*SC_n*SC_b*SQRT(2*g_)*G585^1.5</f>
        <v>116.6032562487</v>
      </c>
      <c r="J585" s="32" t="n">
        <f aca="false">F585+I585</f>
        <v>236.670495075898</v>
      </c>
      <c r="K585" s="32" t="n">
        <f aca="false">F585</f>
        <v>120.067238827198</v>
      </c>
      <c r="L585" s="32" t="n">
        <f aca="false">C585*1000000/dt_s+J585/2</f>
        <v>14196.1130253157</v>
      </c>
      <c r="M585" s="32" t="n">
        <f aca="false">C585*1000000/dt_s+K585/2</f>
        <v>14137.8113971914</v>
      </c>
    </row>
    <row r="586" customFormat="false" ht="15" hidden="false" customHeight="false" outlineLevel="0" collapsed="false">
      <c r="A586" s="24" t="n">
        <f aca="false">ROUND(A585+0.01,2)</f>
        <v>76.81</v>
      </c>
      <c r="B586" s="25" t="n">
        <f aca="false">INDEX(Bang_F,MATCH(A586,Bang_Z,1))+(A586-INDEX(Bang_Z,MATCH(A586,Bang_Z,1)))*(INDEX(Bang_F,MATCH(A586,Bang_Z,1)+1)-INDEX(Bang_F,MATCH(A586,Bang_Z,1)))</f>
        <v>7.305</v>
      </c>
      <c r="C586" s="25" t="n">
        <f aca="false">INDEX(Bang_W,MATCH(A586,Bang_Z,1))+(A586-INDEX(Bang_Z,MATCH(A586,Bang_Z,1)))*(INDEX(Bang_F,MATCH(A586,Bang_Z,1))+B586)/2</f>
        <v>50.753025</v>
      </c>
      <c r="D586" s="26" t="n">
        <f aca="false">MAX(A586-TC_Z,0)</f>
        <v>2.11</v>
      </c>
      <c r="E586" s="27" t="n">
        <f aca="false">1-0.2*(TC_xmb+(TC_n-1)*TC_xmt)*D586/(TC_n*TC_b)</f>
        <v>0.915990740740741</v>
      </c>
      <c r="F586" s="28" t="n">
        <f aca="false">TC_s*E586*TC_m*TC_n*TC_b*SQRT(2*g_)*D586^1.5</f>
        <v>120.873342848801</v>
      </c>
      <c r="G586" s="29" t="n">
        <f aca="false">MAX(A586-SC_Z,0)</f>
        <v>5.81</v>
      </c>
      <c r="H586" s="30" t="n">
        <f aca="false">1-0.2*(SC_xmb+(SC_n-1)*SC_xmt)*G586/(SC_n*SC_b)</f>
        <v>0.83732</v>
      </c>
      <c r="I586" s="31" t="n">
        <f aca="false">SC_s*H586*SC_m*SC_n*SC_b*SQRT(2*g_)*G586^1.5</f>
        <v>116.865866367154</v>
      </c>
      <c r="J586" s="32" t="n">
        <f aca="false">F586+I586</f>
        <v>237.739209215955</v>
      </c>
      <c r="K586" s="32" t="n">
        <f aca="false">F586</f>
        <v>120.873342848801</v>
      </c>
      <c r="L586" s="32" t="n">
        <f aca="false">C586*1000000/dt_s+J586/2</f>
        <v>14216.932104608</v>
      </c>
      <c r="M586" s="32" t="n">
        <f aca="false">C586*1000000/dt_s+K586/2</f>
        <v>14158.4991714244</v>
      </c>
    </row>
    <row r="587" customFormat="false" ht="15" hidden="false" customHeight="false" outlineLevel="0" collapsed="false">
      <c r="A587" s="24" t="n">
        <f aca="false">ROUND(A586+0.01,2)</f>
        <v>76.82</v>
      </c>
      <c r="B587" s="25" t="n">
        <f aca="false">INDEX(Bang_F,MATCH(A587,Bang_Z,1))+(A587-INDEX(Bang_Z,MATCH(A587,Bang_Z,1)))*(INDEX(Bang_F,MATCH(A587,Bang_Z,1)+1)-INDEX(Bang_F,MATCH(A587,Bang_Z,1)))</f>
        <v>7.31</v>
      </c>
      <c r="C587" s="25" t="n">
        <f aca="false">INDEX(Bang_W,MATCH(A587,Bang_Z,1))+(A587-INDEX(Bang_Z,MATCH(A587,Bang_Z,1)))*(INDEX(Bang_F,MATCH(A587,Bang_Z,1))+B587)/2</f>
        <v>50.8261</v>
      </c>
      <c r="D587" s="26" t="n">
        <f aca="false">MAX(A587-TC_Z,0)</f>
        <v>2.11999999999999</v>
      </c>
      <c r="E587" s="27" t="n">
        <f aca="false">1-0.2*(TC_xmb+(TC_n-1)*TC_xmt)*D587/(TC_n*TC_b)</f>
        <v>0.915592592592593</v>
      </c>
      <c r="F587" s="28" t="n">
        <f aca="false">TC_s*E587*TC_m*TC_n*TC_b*SQRT(2*g_)*D587^1.5</f>
        <v>121.680736100177</v>
      </c>
      <c r="G587" s="29" t="n">
        <f aca="false">MAX(A587-SC_Z,0)</f>
        <v>5.81999999999999</v>
      </c>
      <c r="H587" s="30" t="n">
        <f aca="false">1-0.2*(SC_xmb+(SC_n-1)*SC_xmt)*G587/(SC_n*SC_b)</f>
        <v>0.83704</v>
      </c>
      <c r="I587" s="31" t="n">
        <f aca="false">SC_s*H587*SC_m*SC_n*SC_b*SQRT(2*g_)*G587^1.5</f>
        <v>117.128534350801</v>
      </c>
      <c r="J587" s="32" t="n">
        <f aca="false">F587+I587</f>
        <v>238.809270450978</v>
      </c>
      <c r="K587" s="32" t="n">
        <f aca="false">F587</f>
        <v>121.680736100177</v>
      </c>
      <c r="L587" s="32" t="n">
        <f aca="false">C587*1000000/dt_s+J587/2</f>
        <v>14237.7657463366</v>
      </c>
      <c r="M587" s="32" t="n">
        <f aca="false">C587*1000000/dt_s+K587/2</f>
        <v>14179.2014791612</v>
      </c>
    </row>
    <row r="588" customFormat="false" ht="15" hidden="false" customHeight="false" outlineLevel="0" collapsed="false">
      <c r="A588" s="24" t="n">
        <f aca="false">ROUND(A587+0.01,2)</f>
        <v>76.83</v>
      </c>
      <c r="B588" s="25" t="n">
        <f aca="false">INDEX(Bang_F,MATCH(A588,Bang_Z,1))+(A588-INDEX(Bang_Z,MATCH(A588,Bang_Z,1)))*(INDEX(Bang_F,MATCH(A588,Bang_Z,1)+1)-INDEX(Bang_F,MATCH(A588,Bang_Z,1)))</f>
        <v>7.315</v>
      </c>
      <c r="C588" s="25" t="n">
        <f aca="false">INDEX(Bang_W,MATCH(A588,Bang_Z,1))+(A588-INDEX(Bang_Z,MATCH(A588,Bang_Z,1)))*(INDEX(Bang_F,MATCH(A588,Bang_Z,1))+B588)/2</f>
        <v>50.899225</v>
      </c>
      <c r="D588" s="26" t="n">
        <f aca="false">MAX(A588-TC_Z,0)</f>
        <v>2.13</v>
      </c>
      <c r="E588" s="27" t="n">
        <f aca="false">1-0.2*(TC_xmb+(TC_n-1)*TC_xmt)*D588/(TC_n*TC_b)</f>
        <v>0.915194444444445</v>
      </c>
      <c r="F588" s="28" t="n">
        <f aca="false">TC_s*E588*TC_m*TC_n*TC_b*SQRT(2*g_)*D588^1.5</f>
        <v>122.489411122137</v>
      </c>
      <c r="G588" s="29" t="n">
        <f aca="false">MAX(A588-SC_Z,0)</f>
        <v>5.83</v>
      </c>
      <c r="H588" s="30" t="n">
        <f aca="false">1-0.2*(SC_xmb+(SC_n-1)*SC_xmt)*G588/(SC_n*SC_b)</f>
        <v>0.83676</v>
      </c>
      <c r="I588" s="31" t="n">
        <f aca="false">SC_s*H588*SC_m*SC_n*SC_b*SQRT(2*g_)*G588^1.5</f>
        <v>117.391259716136</v>
      </c>
      <c r="J588" s="32" t="n">
        <f aca="false">F588+I588</f>
        <v>239.880670838273</v>
      </c>
      <c r="K588" s="32" t="n">
        <f aca="false">F588</f>
        <v>122.489411122137</v>
      </c>
      <c r="L588" s="32" t="n">
        <f aca="false">C588*1000000/dt_s+J588/2</f>
        <v>14258.6139465302</v>
      </c>
      <c r="M588" s="32" t="n">
        <f aca="false">C588*1000000/dt_s+K588/2</f>
        <v>14199.9183166722</v>
      </c>
    </row>
    <row r="589" customFormat="false" ht="15" hidden="false" customHeight="false" outlineLevel="0" collapsed="false">
      <c r="A589" s="24" t="n">
        <f aca="false">ROUND(A588+0.01,2)</f>
        <v>76.84</v>
      </c>
      <c r="B589" s="25" t="n">
        <f aca="false">INDEX(Bang_F,MATCH(A589,Bang_Z,1))+(A589-INDEX(Bang_Z,MATCH(A589,Bang_Z,1)))*(INDEX(Bang_F,MATCH(A589,Bang_Z,1)+1)-INDEX(Bang_F,MATCH(A589,Bang_Z,1)))</f>
        <v>7.32</v>
      </c>
      <c r="C589" s="25" t="n">
        <f aca="false">INDEX(Bang_W,MATCH(A589,Bang_Z,1))+(A589-INDEX(Bang_Z,MATCH(A589,Bang_Z,1)))*(INDEX(Bang_F,MATCH(A589,Bang_Z,1))+B589)/2</f>
        <v>50.9724</v>
      </c>
      <c r="D589" s="26" t="n">
        <f aca="false">MAX(A589-TC_Z,0)</f>
        <v>2.14</v>
      </c>
      <c r="E589" s="27" t="n">
        <f aca="false">1-0.2*(TC_xmb+(TC_n-1)*TC_xmt)*D589/(TC_n*TC_b)</f>
        <v>0.914796296296296</v>
      </c>
      <c r="F589" s="28" t="n">
        <f aca="false">TC_s*E589*TC_m*TC_n*TC_b*SQRT(2*g_)*D589^1.5</f>
        <v>123.299360497704</v>
      </c>
      <c r="G589" s="29" t="n">
        <f aca="false">MAX(A589-SC_Z,0)</f>
        <v>5.84</v>
      </c>
      <c r="H589" s="30" t="n">
        <f aca="false">1-0.2*(SC_xmb+(SC_n-1)*SC_xmt)*G589/(SC_n*SC_b)</f>
        <v>0.83648</v>
      </c>
      <c r="I589" s="31" t="n">
        <f aca="false">SC_s*H589*SC_m*SC_n*SC_b*SQRT(2*g_)*G589^1.5</f>
        <v>117.654041980528</v>
      </c>
      <c r="J589" s="32" t="n">
        <f aca="false">F589+I589</f>
        <v>240.953402478232</v>
      </c>
      <c r="K589" s="32" t="n">
        <f aca="false">F589</f>
        <v>123.299360497704</v>
      </c>
      <c r="L589" s="32" t="n">
        <f aca="false">C589*1000000/dt_s+J589/2</f>
        <v>14279.4767012391</v>
      </c>
      <c r="M589" s="32" t="n">
        <f aca="false">C589*1000000/dt_s+K589/2</f>
        <v>14220.6496802489</v>
      </c>
    </row>
    <row r="590" customFormat="false" ht="15" hidden="false" customHeight="false" outlineLevel="0" collapsed="false">
      <c r="A590" s="24" t="n">
        <f aca="false">ROUND(A589+0.01,2)</f>
        <v>76.85</v>
      </c>
      <c r="B590" s="25" t="n">
        <f aca="false">INDEX(Bang_F,MATCH(A590,Bang_Z,1))+(A590-INDEX(Bang_Z,MATCH(A590,Bang_Z,1)))*(INDEX(Bang_F,MATCH(A590,Bang_Z,1)+1)-INDEX(Bang_F,MATCH(A590,Bang_Z,1)))</f>
        <v>7.325</v>
      </c>
      <c r="C590" s="25" t="n">
        <f aca="false">INDEX(Bang_W,MATCH(A590,Bang_Z,1))+(A590-INDEX(Bang_Z,MATCH(A590,Bang_Z,1)))*(INDEX(Bang_F,MATCH(A590,Bang_Z,1))+B590)/2</f>
        <v>51.045625</v>
      </c>
      <c r="D590" s="26" t="n">
        <f aca="false">MAX(A590-TC_Z,0)</f>
        <v>2.14999999999999</v>
      </c>
      <c r="E590" s="27" t="n">
        <f aca="false">1-0.2*(TC_xmb+(TC_n-1)*TC_xmt)*D590/(TC_n*TC_b)</f>
        <v>0.914398148148149</v>
      </c>
      <c r="F590" s="28" t="n">
        <f aca="false">TC_s*E590*TC_m*TC_n*TC_b*SQRT(2*g_)*D590^1.5</f>
        <v>124.110576851649</v>
      </c>
      <c r="G590" s="29" t="n">
        <f aca="false">MAX(A590-SC_Z,0)</f>
        <v>5.84999999999999</v>
      </c>
      <c r="H590" s="30" t="n">
        <f aca="false">1-0.2*(SC_xmb+(SC_n-1)*SC_xmt)*G590/(SC_n*SC_b)</f>
        <v>0.8362</v>
      </c>
      <c r="I590" s="31" t="n">
        <f aca="false">SC_s*H590*SC_m*SC_n*SC_b*SQRT(2*g_)*G590^1.5</f>
        <v>117.916880662213</v>
      </c>
      <c r="J590" s="32" t="n">
        <f aca="false">F590+I590</f>
        <v>242.027457513862</v>
      </c>
      <c r="K590" s="32" t="n">
        <f aca="false">F590</f>
        <v>124.110576851649</v>
      </c>
      <c r="L590" s="32" t="n">
        <f aca="false">C590*1000000/dt_s+J590/2</f>
        <v>14300.3540065347</v>
      </c>
      <c r="M590" s="32" t="n">
        <f aca="false">C590*1000000/dt_s+K590/2</f>
        <v>14241.3955662036</v>
      </c>
    </row>
    <row r="591" customFormat="false" ht="15" hidden="false" customHeight="false" outlineLevel="0" collapsed="false">
      <c r="A591" s="24" t="n">
        <f aca="false">ROUND(A590+0.01,2)</f>
        <v>76.86</v>
      </c>
      <c r="B591" s="25" t="n">
        <f aca="false">INDEX(Bang_F,MATCH(A591,Bang_Z,1))+(A591-INDEX(Bang_Z,MATCH(A591,Bang_Z,1)))*(INDEX(Bang_F,MATCH(A591,Bang_Z,1)+1)-INDEX(Bang_F,MATCH(A591,Bang_Z,1)))</f>
        <v>7.33</v>
      </c>
      <c r="C591" s="25" t="n">
        <f aca="false">INDEX(Bang_W,MATCH(A591,Bang_Z,1))+(A591-INDEX(Bang_Z,MATCH(A591,Bang_Z,1)))*(INDEX(Bang_F,MATCH(A591,Bang_Z,1))+B591)/2</f>
        <v>51.1189</v>
      </c>
      <c r="D591" s="26" t="n">
        <f aca="false">MAX(A591-TC_Z,0)</f>
        <v>2.16</v>
      </c>
      <c r="E591" s="27" t="n">
        <f aca="false">1-0.2*(TC_xmb+(TC_n-1)*TC_xmt)*D591/(TC_n*TC_b)</f>
        <v>0.914</v>
      </c>
      <c r="F591" s="28" t="n">
        <f aca="false">TC_s*E591*TC_m*TC_n*TC_b*SQRT(2*g_)*D591^1.5</f>
        <v>124.923052850026</v>
      </c>
      <c r="G591" s="29" t="n">
        <f aca="false">MAX(A591-SC_Z,0)</f>
        <v>5.86</v>
      </c>
      <c r="H591" s="30" t="n">
        <f aca="false">1-0.2*(SC_xmb+(SC_n-1)*SC_xmt)*G591/(SC_n*SC_b)</f>
        <v>0.83592</v>
      </c>
      <c r="I591" s="31" t="n">
        <f aca="false">SC_s*H591*SC_m*SC_n*SC_b*SQRT(2*g_)*G591^1.5</f>
        <v>118.179775280295</v>
      </c>
      <c r="J591" s="32" t="n">
        <f aca="false">F591+I591</f>
        <v>243.102828130321</v>
      </c>
      <c r="K591" s="32" t="n">
        <f aca="false">F591</f>
        <v>124.923052850026</v>
      </c>
      <c r="L591" s="32" t="n">
        <f aca="false">C591*1000000/dt_s+J591/2</f>
        <v>14321.2458585096</v>
      </c>
      <c r="M591" s="32" t="n">
        <f aca="false">C591*1000000/dt_s+K591/2</f>
        <v>14262.1559708695</v>
      </c>
    </row>
    <row r="592" customFormat="false" ht="15" hidden="false" customHeight="false" outlineLevel="0" collapsed="false">
      <c r="A592" s="24" t="n">
        <f aca="false">ROUND(A591+0.01,2)</f>
        <v>76.87</v>
      </c>
      <c r="B592" s="25" t="n">
        <f aca="false">INDEX(Bang_F,MATCH(A592,Bang_Z,1))+(A592-INDEX(Bang_Z,MATCH(A592,Bang_Z,1)))*(INDEX(Bang_F,MATCH(A592,Bang_Z,1)+1)-INDEX(Bang_F,MATCH(A592,Bang_Z,1)))</f>
        <v>7.335</v>
      </c>
      <c r="C592" s="25" t="n">
        <f aca="false">INDEX(Bang_W,MATCH(A592,Bang_Z,1))+(A592-INDEX(Bang_Z,MATCH(A592,Bang_Z,1)))*(INDEX(Bang_F,MATCH(A592,Bang_Z,1))+B592)/2</f>
        <v>51.192225</v>
      </c>
      <c r="D592" s="26" t="n">
        <f aca="false">MAX(A592-TC_Z,0)</f>
        <v>2.17</v>
      </c>
      <c r="E592" s="27" t="n">
        <f aca="false">1-0.2*(TC_xmb+(TC_n-1)*TC_xmt)*D592/(TC_n*TC_b)</f>
        <v>0.913601851851852</v>
      </c>
      <c r="F592" s="28" t="n">
        <f aca="false">TC_s*E592*TC_m*TC_n*TC_b*SQRT(2*g_)*D592^1.5</f>
        <v>125.736781199722</v>
      </c>
      <c r="G592" s="29" t="n">
        <f aca="false">MAX(A592-SC_Z,0)</f>
        <v>5.87</v>
      </c>
      <c r="H592" s="30" t="n">
        <f aca="false">1-0.2*(SC_xmb+(SC_n-1)*SC_xmt)*G592/(SC_n*SC_b)</f>
        <v>0.83564</v>
      </c>
      <c r="I592" s="31" t="n">
        <f aca="false">SC_s*H592*SC_m*SC_n*SC_b*SQRT(2*g_)*G592^1.5</f>
        <v>118.442725354737</v>
      </c>
      <c r="J592" s="32" t="n">
        <f aca="false">F592+I592</f>
        <v>244.179506554459</v>
      </c>
      <c r="K592" s="32" t="n">
        <f aca="false">F592</f>
        <v>125.736781199722</v>
      </c>
      <c r="L592" s="32" t="n">
        <f aca="false">C592*1000000/dt_s+J592/2</f>
        <v>14342.1522532772</v>
      </c>
      <c r="M592" s="32" t="n">
        <f aca="false">C592*1000000/dt_s+K592/2</f>
        <v>14282.9308905999</v>
      </c>
    </row>
    <row r="593" customFormat="false" ht="15" hidden="false" customHeight="false" outlineLevel="0" collapsed="false">
      <c r="A593" s="24" t="n">
        <f aca="false">ROUND(A592+0.01,2)</f>
        <v>76.88</v>
      </c>
      <c r="B593" s="25" t="n">
        <f aca="false">INDEX(Bang_F,MATCH(A593,Bang_Z,1))+(A593-INDEX(Bang_Z,MATCH(A593,Bang_Z,1)))*(INDEX(Bang_F,MATCH(A593,Bang_Z,1)+1)-INDEX(Bang_F,MATCH(A593,Bang_Z,1)))</f>
        <v>7.34</v>
      </c>
      <c r="C593" s="25" t="n">
        <f aca="false">INDEX(Bang_W,MATCH(A593,Bang_Z,1))+(A593-INDEX(Bang_Z,MATCH(A593,Bang_Z,1)))*(INDEX(Bang_F,MATCH(A593,Bang_Z,1))+B593)/2</f>
        <v>51.2656</v>
      </c>
      <c r="D593" s="26" t="n">
        <f aca="false">MAX(A593-TC_Z,0)</f>
        <v>2.17999999999999</v>
      </c>
      <c r="E593" s="27" t="n">
        <f aca="false">1-0.2*(TC_xmb+(TC_n-1)*TC_xmt)*D593/(TC_n*TC_b)</f>
        <v>0.913203703703704</v>
      </c>
      <c r="F593" s="28" t="n">
        <f aca="false">TC_s*E593*TC_m*TC_n*TC_b*SQRT(2*g_)*D593^1.5</f>
        <v>126.551754647999</v>
      </c>
      <c r="G593" s="29" t="n">
        <f aca="false">MAX(A593-SC_Z,0)</f>
        <v>5.88</v>
      </c>
      <c r="H593" s="30" t="n">
        <f aca="false">1-0.2*(SC_xmb+(SC_n-1)*SC_xmt)*G593/(SC_n*SC_b)</f>
        <v>0.83536</v>
      </c>
      <c r="I593" s="31" t="n">
        <f aca="false">SC_s*H593*SC_m*SC_n*SC_b*SQRT(2*g_)*G593^1.5</f>
        <v>118.705730406364</v>
      </c>
      <c r="J593" s="32" t="n">
        <f aca="false">F593+I593</f>
        <v>245.257485054364</v>
      </c>
      <c r="K593" s="32" t="n">
        <f aca="false">F593</f>
        <v>126.551754647999</v>
      </c>
      <c r="L593" s="32" t="n">
        <f aca="false">C593*1000000/dt_s+J593/2</f>
        <v>14363.0731869716</v>
      </c>
      <c r="M593" s="32" t="n">
        <f aca="false">C593*1000000/dt_s+K593/2</f>
        <v>14303.7203217684</v>
      </c>
    </row>
    <row r="594" customFormat="false" ht="15" hidden="false" customHeight="false" outlineLevel="0" collapsed="false">
      <c r="A594" s="24" t="n">
        <f aca="false">ROUND(A593+0.01,2)</f>
        <v>76.89</v>
      </c>
      <c r="B594" s="25" t="n">
        <f aca="false">INDEX(Bang_F,MATCH(A594,Bang_Z,1))+(A594-INDEX(Bang_Z,MATCH(A594,Bang_Z,1)))*(INDEX(Bang_F,MATCH(A594,Bang_Z,1)+1)-INDEX(Bang_F,MATCH(A594,Bang_Z,1)))</f>
        <v>7.345</v>
      </c>
      <c r="C594" s="25" t="n">
        <f aca="false">INDEX(Bang_W,MATCH(A594,Bang_Z,1))+(A594-INDEX(Bang_Z,MATCH(A594,Bang_Z,1)))*(INDEX(Bang_F,MATCH(A594,Bang_Z,1))+B594)/2</f>
        <v>51.339025</v>
      </c>
      <c r="D594" s="26" t="n">
        <f aca="false">MAX(A594-TC_Z,0)</f>
        <v>2.19</v>
      </c>
      <c r="E594" s="27" t="n">
        <f aca="false">1-0.2*(TC_xmb+(TC_n-1)*TC_xmt)*D594/(TC_n*TC_b)</f>
        <v>0.912805555555556</v>
      </c>
      <c r="F594" s="28" t="n">
        <f aca="false">TC_s*E594*TC_m*TC_n*TC_b*SQRT(2*g_)*D594^1.5</f>
        <v>127.367965982071</v>
      </c>
      <c r="G594" s="29" t="n">
        <f aca="false">MAX(A594-SC_Z,0)</f>
        <v>5.89</v>
      </c>
      <c r="H594" s="30" t="n">
        <f aca="false">1-0.2*(SC_xmb+(SC_n-1)*SC_xmt)*G594/(SC_n*SC_b)</f>
        <v>0.83508</v>
      </c>
      <c r="I594" s="31" t="n">
        <f aca="false">SC_s*H594*SC_m*SC_n*SC_b*SQRT(2*g_)*G594^1.5</f>
        <v>118.968789956855</v>
      </c>
      <c r="J594" s="32" t="n">
        <f aca="false">F594+I594</f>
        <v>246.336755938926</v>
      </c>
      <c r="K594" s="32" t="n">
        <f aca="false">F594</f>
        <v>127.367965982071</v>
      </c>
      <c r="L594" s="32" t="n">
        <f aca="false">C594*1000000/dt_s+J594/2</f>
        <v>14384.0086557472</v>
      </c>
      <c r="M594" s="32" t="n">
        <f aca="false">C594*1000000/dt_s+K594/2</f>
        <v>14324.5242607688</v>
      </c>
    </row>
    <row r="595" customFormat="false" ht="15" hidden="false" customHeight="false" outlineLevel="0" collapsed="false">
      <c r="A595" s="24" t="n">
        <f aca="false">ROUND(A594+0.01,2)</f>
        <v>76.9</v>
      </c>
      <c r="B595" s="25" t="n">
        <f aca="false">INDEX(Bang_F,MATCH(A595,Bang_Z,1))+(A595-INDEX(Bang_Z,MATCH(A595,Bang_Z,1)))*(INDEX(Bang_F,MATCH(A595,Bang_Z,1)+1)-INDEX(Bang_F,MATCH(A595,Bang_Z,1)))</f>
        <v>7.35</v>
      </c>
      <c r="C595" s="25" t="n">
        <f aca="false">INDEX(Bang_W,MATCH(A595,Bang_Z,1))+(A595-INDEX(Bang_Z,MATCH(A595,Bang_Z,1)))*(INDEX(Bang_F,MATCH(A595,Bang_Z,1))+B595)/2</f>
        <v>51.4125</v>
      </c>
      <c r="D595" s="26" t="n">
        <f aca="false">MAX(A595-TC_Z,0)</f>
        <v>2.2</v>
      </c>
      <c r="E595" s="27" t="n">
        <f aca="false">1-0.2*(TC_xmb+(TC_n-1)*TC_xmt)*D595/(TC_n*TC_b)</f>
        <v>0.912407407407407</v>
      </c>
      <c r="F595" s="28" t="n">
        <f aca="false">TC_s*E595*TC_m*TC_n*TC_b*SQRT(2*g_)*D595^1.5</f>
        <v>128.185408028651</v>
      </c>
      <c r="G595" s="29" t="n">
        <f aca="false">MAX(A595-SC_Z,0)</f>
        <v>5.90000000000001</v>
      </c>
      <c r="H595" s="30" t="n">
        <f aca="false">1-0.2*(SC_xmb+(SC_n-1)*SC_xmt)*G595/(SC_n*SC_b)</f>
        <v>0.8348</v>
      </c>
      <c r="I595" s="31" t="n">
        <f aca="false">SC_s*H595*SC_m*SC_n*SC_b*SQRT(2*g_)*G595^1.5</f>
        <v>119.23190352874</v>
      </c>
      <c r="J595" s="32" t="n">
        <f aca="false">F595+I595</f>
        <v>247.417311557391</v>
      </c>
      <c r="K595" s="32" t="n">
        <f aca="false">F595</f>
        <v>128.185408028651</v>
      </c>
      <c r="L595" s="32" t="n">
        <f aca="false">C595*1000000/dt_s+J595/2</f>
        <v>14404.9586557787</v>
      </c>
      <c r="M595" s="32" t="n">
        <f aca="false">C595*1000000/dt_s+K595/2</f>
        <v>14345.3427040143</v>
      </c>
    </row>
    <row r="596" customFormat="false" ht="15" hidden="false" customHeight="false" outlineLevel="0" collapsed="false">
      <c r="A596" s="24" t="n">
        <f aca="false">ROUND(A595+0.01,2)</f>
        <v>76.91</v>
      </c>
      <c r="B596" s="25" t="n">
        <f aca="false">INDEX(Bang_F,MATCH(A596,Bang_Z,1))+(A596-INDEX(Bang_Z,MATCH(A596,Bang_Z,1)))*(INDEX(Bang_F,MATCH(A596,Bang_Z,1)+1)-INDEX(Bang_F,MATCH(A596,Bang_Z,1)))</f>
        <v>7.355</v>
      </c>
      <c r="C596" s="25" t="n">
        <f aca="false">INDEX(Bang_W,MATCH(A596,Bang_Z,1))+(A596-INDEX(Bang_Z,MATCH(A596,Bang_Z,1)))*(INDEX(Bang_F,MATCH(A596,Bang_Z,1))+B596)/2</f>
        <v>51.486025</v>
      </c>
      <c r="D596" s="26" t="n">
        <f aca="false">MAX(A596-TC_Z,0)</f>
        <v>2.20999999999999</v>
      </c>
      <c r="E596" s="27" t="n">
        <f aca="false">1-0.2*(TC_xmb+(TC_n-1)*TC_xmt)*D596/(TC_n*TC_b)</f>
        <v>0.91200925925926</v>
      </c>
      <c r="F596" s="28" t="n">
        <f aca="false">TC_s*E596*TC_m*TC_n*TC_b*SQRT(2*g_)*D596^1.5</f>
        <v>129.004073653536</v>
      </c>
      <c r="G596" s="29" t="n">
        <f aca="false">MAX(A596-SC_Z,0)</f>
        <v>5.91</v>
      </c>
      <c r="H596" s="30" t="n">
        <f aca="false">1-0.2*(SC_xmb+(SC_n-1)*SC_xmt)*G596/(SC_n*SC_b)</f>
        <v>0.83452</v>
      </c>
      <c r="I596" s="31" t="n">
        <f aca="false">SC_s*H596*SC_m*SC_n*SC_b*SQRT(2*g_)*G596^1.5</f>
        <v>119.4950706454</v>
      </c>
      <c r="J596" s="32" t="n">
        <f aca="false">F596+I596</f>
        <v>248.499144298937</v>
      </c>
      <c r="K596" s="32" t="n">
        <f aca="false">F596</f>
        <v>129.004073653536</v>
      </c>
      <c r="L596" s="32" t="n">
        <f aca="false">C596*1000000/dt_s+J596/2</f>
        <v>14425.9231832606</v>
      </c>
      <c r="M596" s="32" t="n">
        <f aca="false">C596*1000000/dt_s+K596/2</f>
        <v>14366.1756479379</v>
      </c>
    </row>
    <row r="597" customFormat="false" ht="15" hidden="false" customHeight="false" outlineLevel="0" collapsed="false">
      <c r="A597" s="24" t="n">
        <f aca="false">ROUND(A596+0.01,2)</f>
        <v>76.92</v>
      </c>
      <c r="B597" s="25" t="n">
        <f aca="false">INDEX(Bang_F,MATCH(A597,Bang_Z,1))+(A597-INDEX(Bang_Z,MATCH(A597,Bang_Z,1)))*(INDEX(Bang_F,MATCH(A597,Bang_Z,1)+1)-INDEX(Bang_F,MATCH(A597,Bang_Z,1)))</f>
        <v>7.36</v>
      </c>
      <c r="C597" s="25" t="n">
        <f aca="false">INDEX(Bang_W,MATCH(A597,Bang_Z,1))+(A597-INDEX(Bang_Z,MATCH(A597,Bang_Z,1)))*(INDEX(Bang_F,MATCH(A597,Bang_Z,1))+B597)/2</f>
        <v>51.5596</v>
      </c>
      <c r="D597" s="26" t="n">
        <f aca="false">MAX(A597-TC_Z,0)</f>
        <v>2.22</v>
      </c>
      <c r="E597" s="27" t="n">
        <f aca="false">1-0.2*(TC_xmb+(TC_n-1)*TC_xmt)*D597/(TC_n*TC_b)</f>
        <v>0.911611111111111</v>
      </c>
      <c r="F597" s="28" t="n">
        <f aca="false">TC_s*E597*TC_m*TC_n*TC_b*SQRT(2*g_)*D597^1.5</f>
        <v>129.823955761188</v>
      </c>
      <c r="G597" s="29" t="n">
        <f aca="false">MAX(A597-SC_Z,0)</f>
        <v>5.92</v>
      </c>
      <c r="H597" s="30" t="n">
        <f aca="false">1-0.2*(SC_xmb+(SC_n-1)*SC_xmt)*G597/(SC_n*SC_b)</f>
        <v>0.83424</v>
      </c>
      <c r="I597" s="31" t="n">
        <f aca="false">SC_s*H597*SC_m*SC_n*SC_b*SQRT(2*g_)*G597^1.5</f>
        <v>119.758290831061</v>
      </c>
      <c r="J597" s="32" t="n">
        <f aca="false">F597+I597</f>
        <v>249.582246592249</v>
      </c>
      <c r="K597" s="32" t="n">
        <f aca="false">F597</f>
        <v>129.823955761188</v>
      </c>
      <c r="L597" s="32" t="n">
        <f aca="false">C597*1000000/dt_s+J597/2</f>
        <v>14446.9022344072</v>
      </c>
      <c r="M597" s="32" t="n">
        <f aca="false">C597*1000000/dt_s+K597/2</f>
        <v>14387.0230889917</v>
      </c>
    </row>
    <row r="598" customFormat="false" ht="15" hidden="false" customHeight="false" outlineLevel="0" collapsed="false">
      <c r="A598" s="24" t="n">
        <f aca="false">ROUND(A597+0.01,2)</f>
        <v>76.93</v>
      </c>
      <c r="B598" s="25" t="n">
        <f aca="false">INDEX(Bang_F,MATCH(A598,Bang_Z,1))+(A598-INDEX(Bang_Z,MATCH(A598,Bang_Z,1)))*(INDEX(Bang_F,MATCH(A598,Bang_Z,1)+1)-INDEX(Bang_F,MATCH(A598,Bang_Z,1)))</f>
        <v>7.365</v>
      </c>
      <c r="C598" s="25" t="n">
        <f aca="false">INDEX(Bang_W,MATCH(A598,Bang_Z,1))+(A598-INDEX(Bang_Z,MATCH(A598,Bang_Z,1)))*(INDEX(Bang_F,MATCH(A598,Bang_Z,1))+B598)/2</f>
        <v>51.6332250000001</v>
      </c>
      <c r="D598" s="26" t="n">
        <f aca="false">MAX(A598-TC_Z,0)</f>
        <v>2.23</v>
      </c>
      <c r="E598" s="27" t="n">
        <f aca="false">1-0.2*(TC_xmb+(TC_n-1)*TC_xmt)*D598/(TC_n*TC_b)</f>
        <v>0.911212962962963</v>
      </c>
      <c r="F598" s="28" t="n">
        <f aca="false">TC_s*E598*TC_m*TC_n*TC_b*SQRT(2*g_)*D598^1.5</f>
        <v>130.645047294311</v>
      </c>
      <c r="G598" s="29" t="n">
        <f aca="false">MAX(A598-SC_Z,0)</f>
        <v>5.93000000000001</v>
      </c>
      <c r="H598" s="30" t="n">
        <f aca="false">1-0.2*(SC_xmb+(SC_n-1)*SC_xmt)*G598/(SC_n*SC_b)</f>
        <v>0.83396</v>
      </c>
      <c r="I598" s="31" t="n">
        <f aca="false">SC_s*H598*SC_m*SC_n*SC_b*SQRT(2*g_)*G598^1.5</f>
        <v>120.021563610791</v>
      </c>
      <c r="J598" s="32" t="n">
        <f aca="false">F598+I598</f>
        <v>250.666610905102</v>
      </c>
      <c r="K598" s="32" t="n">
        <f aca="false">F598</f>
        <v>130.645047294311</v>
      </c>
      <c r="L598" s="32" t="n">
        <f aca="false">C598*1000000/dt_s+J598/2</f>
        <v>14467.8958054526</v>
      </c>
      <c r="M598" s="32" t="n">
        <f aca="false">C598*1000000/dt_s+K598/2</f>
        <v>14407.8850236472</v>
      </c>
    </row>
    <row r="599" customFormat="false" ht="15" hidden="false" customHeight="false" outlineLevel="0" collapsed="false">
      <c r="A599" s="24" t="n">
        <f aca="false">ROUND(A598+0.01,2)</f>
        <v>76.94</v>
      </c>
      <c r="B599" s="25" t="n">
        <f aca="false">INDEX(Bang_F,MATCH(A599,Bang_Z,1))+(A599-INDEX(Bang_Z,MATCH(A599,Bang_Z,1)))*(INDEX(Bang_F,MATCH(A599,Bang_Z,1)+1)-INDEX(Bang_F,MATCH(A599,Bang_Z,1)))</f>
        <v>7.37</v>
      </c>
      <c r="C599" s="25" t="n">
        <f aca="false">INDEX(Bang_W,MATCH(A599,Bang_Z,1))+(A599-INDEX(Bang_Z,MATCH(A599,Bang_Z,1)))*(INDEX(Bang_F,MATCH(A599,Bang_Z,1))+B599)/2</f>
        <v>51.7069</v>
      </c>
      <c r="D599" s="26" t="n">
        <f aca="false">MAX(A599-TC_Z,0)</f>
        <v>2.24</v>
      </c>
      <c r="E599" s="27" t="n">
        <f aca="false">1-0.2*(TC_xmb+(TC_n-1)*TC_xmt)*D599/(TC_n*TC_b)</f>
        <v>0.910814814814815</v>
      </c>
      <c r="F599" s="28" t="n">
        <f aca="false">TC_s*E599*TC_m*TC_n*TC_b*SQRT(2*g_)*D599^1.5</f>
        <v>131.46734123345</v>
      </c>
      <c r="G599" s="29" t="n">
        <f aca="false">MAX(A599-SC_Z,0)</f>
        <v>5.94</v>
      </c>
      <c r="H599" s="30" t="n">
        <f aca="false">1-0.2*(SC_xmb+(SC_n-1)*SC_xmt)*G599/(SC_n*SC_b)</f>
        <v>0.83368</v>
      </c>
      <c r="I599" s="31" t="n">
        <f aca="false">SC_s*H599*SC_m*SC_n*SC_b*SQRT(2*g_)*G599^1.5</f>
        <v>120.284888510495</v>
      </c>
      <c r="J599" s="32" t="n">
        <f aca="false">F599+I599</f>
        <v>251.752229743945</v>
      </c>
      <c r="K599" s="32" t="n">
        <f aca="false">F599</f>
        <v>131.46734123345</v>
      </c>
      <c r="L599" s="32" t="n">
        <f aca="false">C599*1000000/dt_s+J599/2</f>
        <v>14488.9038926497</v>
      </c>
      <c r="M599" s="32" t="n">
        <f aca="false">C599*1000000/dt_s+K599/2</f>
        <v>14428.7614483945</v>
      </c>
    </row>
    <row r="600" customFormat="false" ht="15" hidden="false" customHeight="false" outlineLevel="0" collapsed="false">
      <c r="A600" s="24" t="n">
        <f aca="false">ROUND(A599+0.01,2)</f>
        <v>76.95</v>
      </c>
      <c r="B600" s="25" t="n">
        <f aca="false">INDEX(Bang_F,MATCH(A600,Bang_Z,1))+(A600-INDEX(Bang_Z,MATCH(A600,Bang_Z,1)))*(INDEX(Bang_F,MATCH(A600,Bang_Z,1)+1)-INDEX(Bang_F,MATCH(A600,Bang_Z,1)))</f>
        <v>7.375</v>
      </c>
      <c r="C600" s="25" t="n">
        <f aca="false">INDEX(Bang_W,MATCH(A600,Bang_Z,1))+(A600-INDEX(Bang_Z,MATCH(A600,Bang_Z,1)))*(INDEX(Bang_F,MATCH(A600,Bang_Z,1))+B600)/2</f>
        <v>51.780625</v>
      </c>
      <c r="D600" s="26" t="n">
        <f aca="false">MAX(A600-TC_Z,0)</f>
        <v>2.25</v>
      </c>
      <c r="E600" s="27" t="n">
        <f aca="false">1-0.2*(TC_xmb+(TC_n-1)*TC_xmt)*D600/(TC_n*TC_b)</f>
        <v>0.910416666666667</v>
      </c>
      <c r="F600" s="28" t="n">
        <f aca="false">TC_s*E600*TC_m*TC_n*TC_b*SQRT(2*g_)*D600^1.5</f>
        <v>132.290830596593</v>
      </c>
      <c r="G600" s="29" t="n">
        <f aca="false">MAX(A600-SC_Z,0)</f>
        <v>5.95</v>
      </c>
      <c r="H600" s="30" t="n">
        <f aca="false">1-0.2*(SC_xmb+(SC_n-1)*SC_xmt)*G600/(SC_n*SC_b)</f>
        <v>0.8334</v>
      </c>
      <c r="I600" s="31" t="n">
        <f aca="false">SC_s*H600*SC_m*SC_n*SC_b*SQRT(2*g_)*G600^1.5</f>
        <v>120.548265056919</v>
      </c>
      <c r="J600" s="32" t="n">
        <f aca="false">F600+I600</f>
        <v>252.839095653511</v>
      </c>
      <c r="K600" s="32" t="n">
        <f aca="false">F600</f>
        <v>132.290830596593</v>
      </c>
      <c r="L600" s="32" t="n">
        <f aca="false">C600*1000000/dt_s+J600/2</f>
        <v>14509.9264922712</v>
      </c>
      <c r="M600" s="32" t="n">
        <f aca="false">C600*1000000/dt_s+K600/2</f>
        <v>14449.6523597427</v>
      </c>
    </row>
    <row r="601" customFormat="false" ht="15" hidden="false" customHeight="false" outlineLevel="0" collapsed="false">
      <c r="A601" s="24" t="n">
        <f aca="false">ROUND(A600+0.01,2)</f>
        <v>76.96</v>
      </c>
      <c r="B601" s="25" t="n">
        <f aca="false">INDEX(Bang_F,MATCH(A601,Bang_Z,1))+(A601-INDEX(Bang_Z,MATCH(A601,Bang_Z,1)))*(INDEX(Bang_F,MATCH(A601,Bang_Z,1)+1)-INDEX(Bang_F,MATCH(A601,Bang_Z,1)))</f>
        <v>7.38</v>
      </c>
      <c r="C601" s="25" t="n">
        <f aca="false">INDEX(Bang_W,MATCH(A601,Bang_Z,1))+(A601-INDEX(Bang_Z,MATCH(A601,Bang_Z,1)))*(INDEX(Bang_F,MATCH(A601,Bang_Z,1))+B601)/2</f>
        <v>51.8544</v>
      </c>
      <c r="D601" s="26" t="n">
        <f aca="false">MAX(A601-TC_Z,0)</f>
        <v>2.25999999999999</v>
      </c>
      <c r="E601" s="27" t="n">
        <f aca="false">1-0.2*(TC_xmb+(TC_n-1)*TC_xmt)*D601/(TC_n*TC_b)</f>
        <v>0.910018518518519</v>
      </c>
      <c r="F601" s="28" t="n">
        <f aca="false">TC_s*E601*TC_m*TC_n*TC_b*SQRT(2*g_)*D601^1.5</f>
        <v>133.115508438765</v>
      </c>
      <c r="G601" s="29" t="n">
        <f aca="false">MAX(A601-SC_Z,0)</f>
        <v>5.95999999999999</v>
      </c>
      <c r="H601" s="30" t="n">
        <f aca="false">1-0.2*(SC_xmb+(SC_n-1)*SC_xmt)*G601/(SC_n*SC_b)</f>
        <v>0.83312</v>
      </c>
      <c r="I601" s="31" t="n">
        <f aca="false">SC_s*H601*SC_m*SC_n*SC_b*SQRT(2*g_)*G601^1.5</f>
        <v>120.811692777635</v>
      </c>
      <c r="J601" s="32" t="n">
        <f aca="false">F601+I601</f>
        <v>253.9272012164</v>
      </c>
      <c r="K601" s="32" t="n">
        <f aca="false">F601</f>
        <v>133.115508438765</v>
      </c>
      <c r="L601" s="32" t="n">
        <f aca="false">C601*1000000/dt_s+J601/2</f>
        <v>14530.9636006082</v>
      </c>
      <c r="M601" s="32" t="n">
        <f aca="false">C601*1000000/dt_s+K601/2</f>
        <v>14470.5577542194</v>
      </c>
    </row>
    <row r="602" customFormat="false" ht="15" hidden="false" customHeight="false" outlineLevel="0" collapsed="false">
      <c r="A602" s="24" t="n">
        <f aca="false">ROUND(A601+0.01,2)</f>
        <v>76.97</v>
      </c>
      <c r="B602" s="25" t="n">
        <f aca="false">INDEX(Bang_F,MATCH(A602,Bang_Z,1))+(A602-INDEX(Bang_Z,MATCH(A602,Bang_Z,1)))*(INDEX(Bang_F,MATCH(A602,Bang_Z,1)+1)-INDEX(Bang_F,MATCH(A602,Bang_Z,1)))</f>
        <v>7.385</v>
      </c>
      <c r="C602" s="25" t="n">
        <f aca="false">INDEX(Bang_W,MATCH(A602,Bang_Z,1))+(A602-INDEX(Bang_Z,MATCH(A602,Bang_Z,1)))*(INDEX(Bang_F,MATCH(A602,Bang_Z,1))+B602)/2</f>
        <v>51.928225</v>
      </c>
      <c r="D602" s="26" t="n">
        <f aca="false">MAX(A602-TC_Z,0)</f>
        <v>2.27</v>
      </c>
      <c r="E602" s="27" t="n">
        <f aca="false">1-0.2*(TC_xmb+(TC_n-1)*TC_xmt)*D602/(TC_n*TC_b)</f>
        <v>0.909620370370371</v>
      </c>
      <c r="F602" s="28" t="n">
        <f aca="false">TC_s*E602*TC_m*TC_n*TC_b*SQRT(2*g_)*D602^1.5</f>
        <v>133.941367851652</v>
      </c>
      <c r="G602" s="29" t="n">
        <f aca="false">MAX(A602-SC_Z,0)</f>
        <v>5.97</v>
      </c>
      <c r="H602" s="30" t="n">
        <f aca="false">1-0.2*(SC_xmb+(SC_n-1)*SC_xmt)*G602/(SC_n*SC_b)</f>
        <v>0.83284</v>
      </c>
      <c r="I602" s="31" t="n">
        <f aca="false">SC_s*H602*SC_m*SC_n*SC_b*SQRT(2*g_)*G602^1.5</f>
        <v>121.075171201051</v>
      </c>
      <c r="J602" s="32" t="n">
        <f aca="false">F602+I602</f>
        <v>255.016539052703</v>
      </c>
      <c r="K602" s="32" t="n">
        <f aca="false">F602</f>
        <v>133.941367851652</v>
      </c>
      <c r="L602" s="32" t="n">
        <f aca="false">C602*1000000/dt_s+J602/2</f>
        <v>14552.0152139708</v>
      </c>
      <c r="M602" s="32" t="n">
        <f aca="false">C602*1000000/dt_s+K602/2</f>
        <v>14491.4776283703</v>
      </c>
    </row>
    <row r="603" customFormat="false" ht="15" hidden="false" customHeight="false" outlineLevel="0" collapsed="false">
      <c r="A603" s="24" t="n">
        <f aca="false">ROUND(A602+0.01,2)</f>
        <v>76.98</v>
      </c>
      <c r="B603" s="25" t="n">
        <f aca="false">INDEX(Bang_F,MATCH(A603,Bang_Z,1))+(A603-INDEX(Bang_Z,MATCH(A603,Bang_Z,1)))*(INDEX(Bang_F,MATCH(A603,Bang_Z,1)+1)-INDEX(Bang_F,MATCH(A603,Bang_Z,1)))</f>
        <v>7.39</v>
      </c>
      <c r="C603" s="25" t="n">
        <f aca="false">INDEX(Bang_W,MATCH(A603,Bang_Z,1))+(A603-INDEX(Bang_Z,MATCH(A603,Bang_Z,1)))*(INDEX(Bang_F,MATCH(A603,Bang_Z,1))+B603)/2</f>
        <v>52.0021</v>
      </c>
      <c r="D603" s="26" t="n">
        <f aca="false">MAX(A603-TC_Z,0)</f>
        <v>2.28</v>
      </c>
      <c r="E603" s="27" t="n">
        <f aca="false">1-0.2*(TC_xmb+(TC_n-1)*TC_xmt)*D603/(TC_n*TC_b)</f>
        <v>0.909222222222222</v>
      </c>
      <c r="F603" s="28" t="n">
        <f aca="false">TC_s*E603*TC_m*TC_n*TC_b*SQRT(2*g_)*D603^1.5</f>
        <v>134.768401963207</v>
      </c>
      <c r="G603" s="29" t="n">
        <f aca="false">MAX(A603-SC_Z,0)</f>
        <v>5.98</v>
      </c>
      <c r="H603" s="30" t="n">
        <f aca="false">1-0.2*(SC_xmb+(SC_n-1)*SC_xmt)*G603/(SC_n*SC_b)</f>
        <v>0.83256</v>
      </c>
      <c r="I603" s="31" t="n">
        <f aca="false">SC_s*H603*SC_m*SC_n*SC_b*SQRT(2*g_)*G603^1.5</f>
        <v>121.338699856396</v>
      </c>
      <c r="J603" s="32" t="n">
        <f aca="false">F603+I603</f>
        <v>256.107101819604</v>
      </c>
      <c r="K603" s="32" t="n">
        <f aca="false">F603</f>
        <v>134.768401963207</v>
      </c>
      <c r="L603" s="32" t="n">
        <f aca="false">C603*1000000/dt_s+J603/2</f>
        <v>14573.0813286876</v>
      </c>
      <c r="M603" s="32" t="n">
        <f aca="false">C603*1000000/dt_s+K603/2</f>
        <v>14512.4119787594</v>
      </c>
    </row>
    <row r="604" customFormat="false" ht="15" hidden="false" customHeight="false" outlineLevel="0" collapsed="false">
      <c r="A604" s="24" t="n">
        <f aca="false">ROUND(A603+0.01,2)</f>
        <v>76.99</v>
      </c>
      <c r="B604" s="25" t="n">
        <f aca="false">INDEX(Bang_F,MATCH(A604,Bang_Z,1))+(A604-INDEX(Bang_Z,MATCH(A604,Bang_Z,1)))*(INDEX(Bang_F,MATCH(A604,Bang_Z,1)+1)-INDEX(Bang_F,MATCH(A604,Bang_Z,1)))</f>
        <v>7.395</v>
      </c>
      <c r="C604" s="25" t="n">
        <f aca="false">INDEX(Bang_W,MATCH(A604,Bang_Z,1))+(A604-INDEX(Bang_Z,MATCH(A604,Bang_Z,1)))*(INDEX(Bang_F,MATCH(A604,Bang_Z,1))+B604)/2</f>
        <v>52.076025</v>
      </c>
      <c r="D604" s="26" t="n">
        <f aca="false">MAX(A604-TC_Z,0)</f>
        <v>2.28999999999999</v>
      </c>
      <c r="E604" s="27" t="n">
        <f aca="false">1-0.2*(TC_xmb+(TC_n-1)*TC_xmt)*D604/(TC_n*TC_b)</f>
        <v>0.908824074074074</v>
      </c>
      <c r="F604" s="28" t="n">
        <f aca="false">TC_s*E604*TC_m*TC_n*TC_b*SQRT(2*g_)*D604^1.5</f>
        <v>135.596603937279</v>
      </c>
      <c r="G604" s="29" t="n">
        <f aca="false">MAX(A604-SC_Z,0)</f>
        <v>5.99</v>
      </c>
      <c r="H604" s="30" t="n">
        <f aca="false">1-0.2*(SC_xmb+(SC_n-1)*SC_xmt)*G604/(SC_n*SC_b)</f>
        <v>0.83228</v>
      </c>
      <c r="I604" s="31" t="n">
        <f aca="false">SC_s*H604*SC_m*SC_n*SC_b*SQRT(2*g_)*G604^1.5</f>
        <v>121.602278273726</v>
      </c>
      <c r="J604" s="32" t="n">
        <f aca="false">F604+I604</f>
        <v>257.198882211005</v>
      </c>
      <c r="K604" s="32" t="n">
        <f aca="false">F604</f>
        <v>135.596603937279</v>
      </c>
      <c r="L604" s="32" t="n">
        <f aca="false">C604*1000000/dt_s+J604/2</f>
        <v>14594.1619411055</v>
      </c>
      <c r="M604" s="32" t="n">
        <f aca="false">C604*1000000/dt_s+K604/2</f>
        <v>14533.3608019686</v>
      </c>
    </row>
    <row r="605" customFormat="false" ht="15" hidden="false" customHeight="false" outlineLevel="0" collapsed="false">
      <c r="A605" s="24" t="n">
        <f aca="false">ROUND(A604+0.01,2)</f>
        <v>77</v>
      </c>
      <c r="B605" s="25" t="n">
        <f aca="false">INDEX(Bang_F,MATCH(A605,Bang_Z,1))+(A605-INDEX(Bang_Z,MATCH(A605,Bang_Z,1)))*(INDEX(Bang_F,MATCH(A605,Bang_Z,1)+1)-INDEX(Bang_F,MATCH(A605,Bang_Z,1)))</f>
        <v>7.4</v>
      </c>
      <c r="C605" s="25" t="n">
        <f aca="false">INDEX(Bang_W,MATCH(A605,Bang_Z,1))+(A605-INDEX(Bang_Z,MATCH(A605,Bang_Z,1)))*(INDEX(Bang_F,MATCH(A605,Bang_Z,1))+B605)/2</f>
        <v>52.15</v>
      </c>
      <c r="D605" s="26" t="n">
        <f aca="false">MAX(A605-TC_Z,0)</f>
        <v>2.3</v>
      </c>
      <c r="E605" s="27" t="n">
        <f aca="false">1-0.2*(TC_xmb+(TC_n-1)*TC_xmt)*D605/(TC_n*TC_b)</f>
        <v>0.908425925925926</v>
      </c>
      <c r="F605" s="28" t="n">
        <f aca="false">TC_s*E605*TC_m*TC_n*TC_b*SQRT(2*g_)*D605^1.5</f>
        <v>136.42596697324</v>
      </c>
      <c r="G605" s="29" t="n">
        <f aca="false">MAX(A605-SC_Z,0)</f>
        <v>6</v>
      </c>
      <c r="H605" s="30" t="n">
        <f aca="false">1-0.2*(SC_xmb+(SC_n-1)*SC_xmt)*G605/(SC_n*SC_b)</f>
        <v>0.832</v>
      </c>
      <c r="I605" s="31" t="n">
        <f aca="false">SC_s*H605*SC_m*SC_n*SC_b*SQRT(2*g_)*G605^1.5</f>
        <v>121.865905983913</v>
      </c>
      <c r="J605" s="32" t="n">
        <f aca="false">F605+I605</f>
        <v>258.291872957153</v>
      </c>
      <c r="K605" s="32" t="n">
        <f aca="false">F605</f>
        <v>136.42596697324</v>
      </c>
      <c r="L605" s="32" t="n">
        <f aca="false">C605*1000000/dt_s+J605/2</f>
        <v>14615.2570475897</v>
      </c>
      <c r="M605" s="32" t="n">
        <f aca="false">C605*1000000/dt_s+K605/2</f>
        <v>14554.3240945977</v>
      </c>
    </row>
    <row r="606" customFormat="false" ht="15" hidden="false" customHeight="false" outlineLevel="0" collapsed="false">
      <c r="A606" s="24" t="n">
        <f aca="false">ROUND(A605+0.01,2)</f>
        <v>77.01</v>
      </c>
      <c r="B606" s="25" t="n">
        <f aca="false">INDEX(Bang_F,MATCH(A606,Bang_Z,1))+(A606-INDEX(Bang_Z,MATCH(A606,Bang_Z,1)))*(INDEX(Bang_F,MATCH(A606,Bang_Z,1)+1)-INDEX(Bang_F,MATCH(A606,Bang_Z,1)))</f>
        <v>7.4051</v>
      </c>
      <c r="C606" s="25" t="n">
        <f aca="false">INDEX(Bang_W,MATCH(A606,Bang_Z,1))+(A606-INDEX(Bang_Z,MATCH(A606,Bang_Z,1)))*(INDEX(Bang_F,MATCH(A606,Bang_Z,1))+B606)/2</f>
        <v>52.2240255</v>
      </c>
      <c r="D606" s="26" t="n">
        <f aca="false">MAX(A606-TC_Z,0)</f>
        <v>2.31</v>
      </c>
      <c r="E606" s="27" t="n">
        <f aca="false">1-0.2*(TC_xmb+(TC_n-1)*TC_xmt)*D606/(TC_n*TC_b)</f>
        <v>0.908027777777778</v>
      </c>
      <c r="F606" s="28" t="n">
        <f aca="false">TC_s*E606*TC_m*TC_n*TC_b*SQRT(2*g_)*D606^1.5</f>
        <v>137.256484305615</v>
      </c>
      <c r="G606" s="29" t="n">
        <f aca="false">MAX(A606-SC_Z,0)</f>
        <v>6.01000000000001</v>
      </c>
      <c r="H606" s="30" t="n">
        <f aca="false">1-0.2*(SC_xmb+(SC_n-1)*SC_xmt)*G606/(SC_n*SC_b)</f>
        <v>0.83172</v>
      </c>
      <c r="I606" s="31" t="n">
        <f aca="false">SC_s*H606*SC_m*SC_n*SC_b*SQRT(2*g_)*G606^1.5</f>
        <v>122.129582518651</v>
      </c>
      <c r="J606" s="32" t="n">
        <f aca="false">F606+I606</f>
        <v>259.386066824265</v>
      </c>
      <c r="K606" s="32" t="n">
        <f aca="false">F606</f>
        <v>137.256484305615</v>
      </c>
      <c r="L606" s="32" t="n">
        <f aca="false">C606*1000000/dt_s+J606/2</f>
        <v>14636.3667834121</v>
      </c>
      <c r="M606" s="32" t="n">
        <f aca="false">C606*1000000/dt_s+K606/2</f>
        <v>14575.3019921528</v>
      </c>
    </row>
    <row r="607" customFormat="false" ht="15" hidden="false" customHeight="false" outlineLevel="0" collapsed="false">
      <c r="A607" s="24" t="n">
        <f aca="false">ROUND(A606+0.01,2)</f>
        <v>77.02</v>
      </c>
      <c r="B607" s="25" t="n">
        <f aca="false">INDEX(Bang_F,MATCH(A607,Bang_Z,1))+(A607-INDEX(Bang_Z,MATCH(A607,Bang_Z,1)))*(INDEX(Bang_F,MATCH(A607,Bang_Z,1)+1)-INDEX(Bang_F,MATCH(A607,Bang_Z,1)))</f>
        <v>7.4102</v>
      </c>
      <c r="C607" s="25" t="n">
        <f aca="false">INDEX(Bang_W,MATCH(A607,Bang_Z,1))+(A607-INDEX(Bang_Z,MATCH(A607,Bang_Z,1)))*(INDEX(Bang_F,MATCH(A607,Bang_Z,1))+B607)/2</f>
        <v>52.298102</v>
      </c>
      <c r="D607" s="26" t="n">
        <f aca="false">MAX(A607-TC_Z,0)</f>
        <v>2.31999999999999</v>
      </c>
      <c r="E607" s="27" t="n">
        <f aca="false">1-0.2*(TC_xmb+(TC_n-1)*TC_xmt)*D607/(TC_n*TC_b)</f>
        <v>0.90762962962963</v>
      </c>
      <c r="F607" s="28" t="n">
        <f aca="false">TC_s*E607*TC_m*TC_n*TC_b*SQRT(2*g_)*D607^1.5</f>
        <v>138.088149203725</v>
      </c>
      <c r="G607" s="29" t="n">
        <f aca="false">MAX(A607-SC_Z,0)</f>
        <v>6.02</v>
      </c>
      <c r="H607" s="30" t="n">
        <f aca="false">1-0.2*(SC_xmb+(SC_n-1)*SC_xmt)*G607/(SC_n*SC_b)</f>
        <v>0.83144</v>
      </c>
      <c r="I607" s="31" t="n">
        <f aca="false">SC_s*H607*SC_m*SC_n*SC_b*SQRT(2*g_)*G607^1.5</f>
        <v>122.393307410442</v>
      </c>
      <c r="J607" s="32" t="n">
        <f aca="false">F607+I607</f>
        <v>260.481456614167</v>
      </c>
      <c r="K607" s="32" t="n">
        <f aca="false">F607</f>
        <v>138.088149203725</v>
      </c>
      <c r="L607" s="32" t="n">
        <f aca="false">C607*1000000/dt_s+J607/2</f>
        <v>14657.4912838626</v>
      </c>
      <c r="M607" s="32" t="n">
        <f aca="false">C607*1000000/dt_s+K607/2</f>
        <v>14596.2946301574</v>
      </c>
    </row>
    <row r="608" customFormat="false" ht="15" hidden="false" customHeight="false" outlineLevel="0" collapsed="false">
      <c r="A608" s="24" t="n">
        <f aca="false">ROUND(A607+0.01,2)</f>
        <v>77.03</v>
      </c>
      <c r="B608" s="25" t="n">
        <f aca="false">INDEX(Bang_F,MATCH(A608,Bang_Z,1))+(A608-INDEX(Bang_Z,MATCH(A608,Bang_Z,1)))*(INDEX(Bang_F,MATCH(A608,Bang_Z,1)+1)-INDEX(Bang_F,MATCH(A608,Bang_Z,1)))</f>
        <v>7.4153</v>
      </c>
      <c r="C608" s="25" t="n">
        <f aca="false">INDEX(Bang_W,MATCH(A608,Bang_Z,1))+(A608-INDEX(Bang_Z,MATCH(A608,Bang_Z,1)))*(INDEX(Bang_F,MATCH(A608,Bang_Z,1))+B608)/2</f>
        <v>52.3722295</v>
      </c>
      <c r="D608" s="26" t="n">
        <f aca="false">MAX(A608-TC_Z,0)</f>
        <v>2.33</v>
      </c>
      <c r="E608" s="27" t="n">
        <f aca="false">1-0.2*(TC_xmb+(TC_n-1)*TC_xmt)*D608/(TC_n*TC_b)</f>
        <v>0.907231481481482</v>
      </c>
      <c r="F608" s="28" t="n">
        <f aca="false">TC_s*E608*TC_m*TC_n*TC_b*SQRT(2*g_)*D608^1.5</f>
        <v>138.920954971334</v>
      </c>
      <c r="G608" s="29" t="n">
        <f aca="false">MAX(A608-SC_Z,0)</f>
        <v>6.03</v>
      </c>
      <c r="H608" s="30" t="n">
        <f aca="false">1-0.2*(SC_xmb+(SC_n-1)*SC_xmt)*G608/(SC_n*SC_b)</f>
        <v>0.83116</v>
      </c>
      <c r="I608" s="31" t="n">
        <f aca="false">SC_s*H608*SC_m*SC_n*SC_b*SQRT(2*g_)*G608^1.5</f>
        <v>122.657080192603</v>
      </c>
      <c r="J608" s="32" t="n">
        <f aca="false">F608+I608</f>
        <v>261.578035163937</v>
      </c>
      <c r="K608" s="32" t="n">
        <f aca="false">F608</f>
        <v>138.920954971334</v>
      </c>
      <c r="L608" s="32" t="n">
        <f aca="false">C608*1000000/dt_s+J608/2</f>
        <v>14678.6305453597</v>
      </c>
      <c r="M608" s="32" t="n">
        <f aca="false">C608*1000000/dt_s+K608/2</f>
        <v>14617.3020052634</v>
      </c>
    </row>
    <row r="609" customFormat="false" ht="15" hidden="false" customHeight="false" outlineLevel="0" collapsed="false">
      <c r="A609" s="24" t="n">
        <f aca="false">ROUND(A608+0.01,2)</f>
        <v>77.04</v>
      </c>
      <c r="B609" s="25" t="n">
        <f aca="false">INDEX(Bang_F,MATCH(A609,Bang_Z,1))+(A609-INDEX(Bang_Z,MATCH(A609,Bang_Z,1)))*(INDEX(Bang_F,MATCH(A609,Bang_Z,1)+1)-INDEX(Bang_F,MATCH(A609,Bang_Z,1)))</f>
        <v>7.4204</v>
      </c>
      <c r="C609" s="25" t="n">
        <f aca="false">INDEX(Bang_W,MATCH(A609,Bang_Z,1))+(A609-INDEX(Bang_Z,MATCH(A609,Bang_Z,1)))*(INDEX(Bang_F,MATCH(A609,Bang_Z,1))+B609)/2</f>
        <v>52.4464080000001</v>
      </c>
      <c r="D609" s="26" t="n">
        <f aca="false">MAX(A609-TC_Z,0)</f>
        <v>2.34</v>
      </c>
      <c r="E609" s="27" t="n">
        <f aca="false">1-0.2*(TC_xmb+(TC_n-1)*TC_xmt)*D609/(TC_n*TC_b)</f>
        <v>0.906833333333333</v>
      </c>
      <c r="F609" s="28" t="n">
        <f aca="false">TC_s*E609*TC_m*TC_n*TC_b*SQRT(2*g_)*D609^1.5</f>
        <v>139.754894946291</v>
      </c>
      <c r="G609" s="29" t="n">
        <f aca="false">MAX(A609-SC_Z,0)</f>
        <v>6.04000000000001</v>
      </c>
      <c r="H609" s="30" t="n">
        <f aca="false">1-0.2*(SC_xmb+(SC_n-1)*SC_xmt)*G609/(SC_n*SC_b)</f>
        <v>0.83088</v>
      </c>
      <c r="I609" s="31" t="n">
        <f aca="false">SC_s*H609*SC_m*SC_n*SC_b*SQRT(2*g_)*G609^1.5</f>
        <v>122.920900399257</v>
      </c>
      <c r="J609" s="32" t="n">
        <f aca="false">F609+I609</f>
        <v>262.675795345548</v>
      </c>
      <c r="K609" s="32" t="n">
        <f aca="false">F609</f>
        <v>139.754894946291</v>
      </c>
      <c r="L609" s="32" t="n">
        <f aca="false">C609*1000000/dt_s+J609/2</f>
        <v>14699.7845643395</v>
      </c>
      <c r="M609" s="32" t="n">
        <f aca="false">C609*1000000/dt_s+K609/2</f>
        <v>14638.3241141398</v>
      </c>
    </row>
    <row r="610" customFormat="false" ht="15" hidden="false" customHeight="false" outlineLevel="0" collapsed="false">
      <c r="A610" s="24" t="n">
        <f aca="false">ROUND(A609+0.01,2)</f>
        <v>77.05</v>
      </c>
      <c r="B610" s="25" t="n">
        <f aca="false">INDEX(Bang_F,MATCH(A610,Bang_Z,1))+(A610-INDEX(Bang_Z,MATCH(A610,Bang_Z,1)))*(INDEX(Bang_F,MATCH(A610,Bang_Z,1)+1)-INDEX(Bang_F,MATCH(A610,Bang_Z,1)))</f>
        <v>7.4255</v>
      </c>
      <c r="C610" s="25" t="n">
        <f aca="false">INDEX(Bang_W,MATCH(A610,Bang_Z,1))+(A610-INDEX(Bang_Z,MATCH(A610,Bang_Z,1)))*(INDEX(Bang_F,MATCH(A610,Bang_Z,1))+B610)/2</f>
        <v>52.5206375</v>
      </c>
      <c r="D610" s="26" t="n">
        <f aca="false">MAX(A610-TC_Z,0)</f>
        <v>2.34999999999999</v>
      </c>
      <c r="E610" s="27" t="n">
        <f aca="false">1-0.2*(TC_xmb+(TC_n-1)*TC_xmt)*D610/(TC_n*TC_b)</f>
        <v>0.906435185185185</v>
      </c>
      <c r="F610" s="28" t="n">
        <f aca="false">TC_s*E610*TC_m*TC_n*TC_b*SQRT(2*g_)*D610^1.5</f>
        <v>140.589962500189</v>
      </c>
      <c r="G610" s="29" t="n">
        <f aca="false">MAX(A610-SC_Z,0)</f>
        <v>6.05</v>
      </c>
      <c r="H610" s="30" t="n">
        <f aca="false">1-0.2*(SC_xmb+(SC_n-1)*SC_xmt)*G610/(SC_n*SC_b)</f>
        <v>0.8306</v>
      </c>
      <c r="I610" s="31" t="n">
        <f aca="false">SC_s*H610*SC_m*SC_n*SC_b*SQRT(2*g_)*G610^1.5</f>
        <v>123.18476756533</v>
      </c>
      <c r="J610" s="32" t="n">
        <f aca="false">F610+I610</f>
        <v>263.774730065519</v>
      </c>
      <c r="K610" s="32" t="n">
        <f aca="false">F610</f>
        <v>140.589962500189</v>
      </c>
      <c r="L610" s="32" t="n">
        <f aca="false">C610*1000000/dt_s+J610/2</f>
        <v>14720.953337255</v>
      </c>
      <c r="M610" s="32" t="n">
        <f aca="false">C610*1000000/dt_s+K610/2</f>
        <v>14659.3609534723</v>
      </c>
    </row>
    <row r="611" customFormat="false" ht="15" hidden="false" customHeight="false" outlineLevel="0" collapsed="false">
      <c r="A611" s="24" t="n">
        <f aca="false">ROUND(A610+0.01,2)</f>
        <v>77.06</v>
      </c>
      <c r="B611" s="25" t="n">
        <f aca="false">INDEX(Bang_F,MATCH(A611,Bang_Z,1))+(A611-INDEX(Bang_Z,MATCH(A611,Bang_Z,1)))*(INDEX(Bang_F,MATCH(A611,Bang_Z,1)+1)-INDEX(Bang_F,MATCH(A611,Bang_Z,1)))</f>
        <v>7.4306</v>
      </c>
      <c r="C611" s="25" t="n">
        <f aca="false">INDEX(Bang_W,MATCH(A611,Bang_Z,1))+(A611-INDEX(Bang_Z,MATCH(A611,Bang_Z,1)))*(INDEX(Bang_F,MATCH(A611,Bang_Z,1))+B611)/2</f>
        <v>52.594918</v>
      </c>
      <c r="D611" s="26" t="n">
        <f aca="false">MAX(A611-TC_Z,0)</f>
        <v>2.36</v>
      </c>
      <c r="E611" s="27" t="n">
        <f aca="false">1-0.2*(TC_xmb+(TC_n-1)*TC_xmt)*D611/(TC_n*TC_b)</f>
        <v>0.906037037037037</v>
      </c>
      <c r="F611" s="28" t="n">
        <f aca="false">TC_s*E611*TC_m*TC_n*TC_b*SQRT(2*g_)*D611^1.5</f>
        <v>141.426151038028</v>
      </c>
      <c r="G611" s="29" t="n">
        <f aca="false">MAX(A611-SC_Z,0)</f>
        <v>6.06</v>
      </c>
      <c r="H611" s="30" t="n">
        <f aca="false">1-0.2*(SC_xmb+(SC_n-1)*SC_xmt)*G611/(SC_n*SC_b)</f>
        <v>0.83032</v>
      </c>
      <c r="I611" s="31" t="n">
        <f aca="false">SC_s*H611*SC_m*SC_n*SC_b*SQRT(2*g_)*G611^1.5</f>
        <v>123.448681226554</v>
      </c>
      <c r="J611" s="32" t="n">
        <f aca="false">F611+I611</f>
        <v>264.874832264582</v>
      </c>
      <c r="K611" s="32" t="n">
        <f aca="false">F611</f>
        <v>141.426151038028</v>
      </c>
      <c r="L611" s="32" t="n">
        <f aca="false">C611*1000000/dt_s+J611/2</f>
        <v>14742.1368605767</v>
      </c>
      <c r="M611" s="32" t="n">
        <f aca="false">C611*1000000/dt_s+K611/2</f>
        <v>14680.4125199635</v>
      </c>
    </row>
    <row r="612" customFormat="false" ht="15" hidden="false" customHeight="false" outlineLevel="0" collapsed="false">
      <c r="A612" s="24" t="n">
        <f aca="false">ROUND(A611+0.01,2)</f>
        <v>77.07</v>
      </c>
      <c r="B612" s="25" t="n">
        <f aca="false">INDEX(Bang_F,MATCH(A612,Bang_Z,1))+(A612-INDEX(Bang_Z,MATCH(A612,Bang_Z,1)))*(INDEX(Bang_F,MATCH(A612,Bang_Z,1)+1)-INDEX(Bang_F,MATCH(A612,Bang_Z,1)))</f>
        <v>7.4357</v>
      </c>
      <c r="C612" s="25" t="n">
        <f aca="false">INDEX(Bang_W,MATCH(A612,Bang_Z,1))+(A612-INDEX(Bang_Z,MATCH(A612,Bang_Z,1)))*(INDEX(Bang_F,MATCH(A612,Bang_Z,1))+B612)/2</f>
        <v>52.6692495</v>
      </c>
      <c r="D612" s="26" t="n">
        <f aca="false">MAX(A612-TC_Z,0)</f>
        <v>2.36999999999999</v>
      </c>
      <c r="E612" s="27" t="n">
        <f aca="false">1-0.2*(TC_xmb+(TC_n-1)*TC_xmt)*D612/(TC_n*TC_b)</f>
        <v>0.905638888888889</v>
      </c>
      <c r="F612" s="28" t="n">
        <f aca="false">TC_s*E612*TC_m*TC_n*TC_b*SQRT(2*g_)*D612^1.5</f>
        <v>142.263453997874</v>
      </c>
      <c r="G612" s="29" t="n">
        <f aca="false">MAX(A612-SC_Z,0)</f>
        <v>6.06999999999999</v>
      </c>
      <c r="H612" s="30" t="n">
        <f aca="false">1-0.2*(SC_xmb+(SC_n-1)*SC_xmt)*G612/(SC_n*SC_b)</f>
        <v>0.83004</v>
      </c>
      <c r="I612" s="31" t="n">
        <f aca="false">SC_s*H612*SC_m*SC_n*SC_b*SQRT(2*g_)*G612^1.5</f>
        <v>123.712640919454</v>
      </c>
      <c r="J612" s="32" t="n">
        <f aca="false">F612+I612</f>
        <v>265.976094917328</v>
      </c>
      <c r="K612" s="32" t="n">
        <f aca="false">F612</f>
        <v>142.263453997874</v>
      </c>
      <c r="L612" s="32" t="n">
        <f aca="false">C612*1000000/dt_s+J612/2</f>
        <v>14763.335130792</v>
      </c>
      <c r="M612" s="32" t="n">
        <f aca="false">C612*1000000/dt_s+K612/2</f>
        <v>14701.4788103323</v>
      </c>
    </row>
    <row r="613" customFormat="false" ht="15" hidden="false" customHeight="false" outlineLevel="0" collapsed="false">
      <c r="A613" s="24" t="n">
        <f aca="false">ROUND(A612+0.01,2)</f>
        <v>77.08</v>
      </c>
      <c r="B613" s="25" t="n">
        <f aca="false">INDEX(Bang_F,MATCH(A613,Bang_Z,1))+(A613-INDEX(Bang_Z,MATCH(A613,Bang_Z,1)))*(INDEX(Bang_F,MATCH(A613,Bang_Z,1)+1)-INDEX(Bang_F,MATCH(A613,Bang_Z,1)))</f>
        <v>7.4408</v>
      </c>
      <c r="C613" s="25" t="n">
        <f aca="false">INDEX(Bang_W,MATCH(A613,Bang_Z,1))+(A613-INDEX(Bang_Z,MATCH(A613,Bang_Z,1)))*(INDEX(Bang_F,MATCH(A613,Bang_Z,1))+B613)/2</f>
        <v>52.743632</v>
      </c>
      <c r="D613" s="26" t="n">
        <f aca="false">MAX(A613-TC_Z,0)</f>
        <v>2.38</v>
      </c>
      <c r="E613" s="27" t="n">
        <f aca="false">1-0.2*(TC_xmb+(TC_n-1)*TC_xmt)*D613/(TC_n*TC_b)</f>
        <v>0.905240740740741</v>
      </c>
      <c r="F613" s="28" t="n">
        <f aca="false">TC_s*E613*TC_m*TC_n*TC_b*SQRT(2*g_)*D613^1.5</f>
        <v>143.101864850532</v>
      </c>
      <c r="G613" s="29" t="n">
        <f aca="false">MAX(A613-SC_Z,0)</f>
        <v>6.08</v>
      </c>
      <c r="H613" s="30" t="n">
        <f aca="false">1-0.2*(SC_xmb+(SC_n-1)*SC_xmt)*G613/(SC_n*SC_b)</f>
        <v>0.82976</v>
      </c>
      <c r="I613" s="31" t="n">
        <f aca="false">SC_s*H613*SC_m*SC_n*SC_b*SQRT(2*g_)*G613^1.5</f>
        <v>123.976646181355</v>
      </c>
      <c r="J613" s="32" t="n">
        <f aca="false">F613+I613</f>
        <v>267.078511031887</v>
      </c>
      <c r="K613" s="32" t="n">
        <f aca="false">F613</f>
        <v>143.101864850532</v>
      </c>
      <c r="L613" s="32" t="n">
        <f aca="false">C613*1000000/dt_s+J613/2</f>
        <v>14784.5481444048</v>
      </c>
      <c r="M613" s="32" t="n">
        <f aca="false">C613*1000000/dt_s+K613/2</f>
        <v>14722.5598213142</v>
      </c>
    </row>
    <row r="614" customFormat="false" ht="15" hidden="false" customHeight="false" outlineLevel="0" collapsed="false">
      <c r="A614" s="24" t="n">
        <f aca="false">ROUND(A613+0.01,2)</f>
        <v>77.09</v>
      </c>
      <c r="B614" s="25" t="n">
        <f aca="false">INDEX(Bang_F,MATCH(A614,Bang_Z,1))+(A614-INDEX(Bang_Z,MATCH(A614,Bang_Z,1)))*(INDEX(Bang_F,MATCH(A614,Bang_Z,1)+1)-INDEX(Bang_F,MATCH(A614,Bang_Z,1)))</f>
        <v>7.4459</v>
      </c>
      <c r="C614" s="25" t="n">
        <f aca="false">INDEX(Bang_W,MATCH(A614,Bang_Z,1))+(A614-INDEX(Bang_Z,MATCH(A614,Bang_Z,1)))*(INDEX(Bang_F,MATCH(A614,Bang_Z,1))+B614)/2</f>
        <v>52.8180655</v>
      </c>
      <c r="D614" s="26" t="n">
        <f aca="false">MAX(A614-TC_Z,0)</f>
        <v>2.39</v>
      </c>
      <c r="E614" s="27" t="n">
        <f aca="false">1-0.2*(TC_xmb+(TC_n-1)*TC_xmt)*D614/(TC_n*TC_b)</f>
        <v>0.904842592592593</v>
      </c>
      <c r="F614" s="28" t="n">
        <f aca="false">TC_s*E614*TC_m*TC_n*TC_b*SQRT(2*g_)*D614^1.5</f>
        <v>143.941377099219</v>
      </c>
      <c r="G614" s="29" t="n">
        <f aca="false">MAX(A614-SC_Z,0)</f>
        <v>6.09</v>
      </c>
      <c r="H614" s="30" t="n">
        <f aca="false">1-0.2*(SC_xmb+(SC_n-1)*SC_xmt)*G614/(SC_n*SC_b)</f>
        <v>0.82948</v>
      </c>
      <c r="I614" s="31" t="n">
        <f aca="false">SC_s*H614*SC_m*SC_n*SC_b*SQRT(2*g_)*G614^1.5</f>
        <v>124.240696550372</v>
      </c>
      <c r="J614" s="32" t="n">
        <f aca="false">F614+I614</f>
        <v>268.182073649591</v>
      </c>
      <c r="K614" s="32" t="n">
        <f aca="false">F614</f>
        <v>143.941377099219</v>
      </c>
      <c r="L614" s="32" t="n">
        <f aca="false">C614*1000000/dt_s+J614/2</f>
        <v>14805.7758979359</v>
      </c>
      <c r="M614" s="32" t="n">
        <f aca="false">C614*1000000/dt_s+K614/2</f>
        <v>14743.6555496607</v>
      </c>
    </row>
    <row r="615" customFormat="false" ht="15" hidden="false" customHeight="false" outlineLevel="0" collapsed="false">
      <c r="A615" s="24" t="n">
        <f aca="false">ROUND(A614+0.01,2)</f>
        <v>77.1</v>
      </c>
      <c r="B615" s="25" t="n">
        <f aca="false">INDEX(Bang_F,MATCH(A615,Bang_Z,1))+(A615-INDEX(Bang_Z,MATCH(A615,Bang_Z,1)))*(INDEX(Bang_F,MATCH(A615,Bang_Z,1)+1)-INDEX(Bang_F,MATCH(A615,Bang_Z,1)))</f>
        <v>7.451</v>
      </c>
      <c r="C615" s="25" t="n">
        <f aca="false">INDEX(Bang_W,MATCH(A615,Bang_Z,1))+(A615-INDEX(Bang_Z,MATCH(A615,Bang_Z,1)))*(INDEX(Bang_F,MATCH(A615,Bang_Z,1))+B615)/2</f>
        <v>52.89255</v>
      </c>
      <c r="D615" s="26" t="n">
        <f aca="false">MAX(A615-TC_Z,0)</f>
        <v>2.39999999999999</v>
      </c>
      <c r="E615" s="27" t="n">
        <f aca="false">1-0.2*(TC_xmb+(TC_n-1)*TC_xmt)*D615/(TC_n*TC_b)</f>
        <v>0.904444444444445</v>
      </c>
      <c r="F615" s="28" t="n">
        <f aca="false">TC_s*E615*TC_m*TC_n*TC_b*SQRT(2*g_)*D615^1.5</f>
        <v>144.781984279243</v>
      </c>
      <c r="G615" s="29" t="n">
        <f aca="false">MAX(A615-SC_Z,0)</f>
        <v>6.09999999999999</v>
      </c>
      <c r="H615" s="30" t="n">
        <f aca="false">1-0.2*(SC_xmb+(SC_n-1)*SC_xmt)*G615/(SC_n*SC_b)</f>
        <v>0.8292</v>
      </c>
      <c r="I615" s="31" t="n">
        <f aca="false">SC_s*H615*SC_m*SC_n*SC_b*SQRT(2*g_)*G615^1.5</f>
        <v>124.504791565409</v>
      </c>
      <c r="J615" s="32" t="n">
        <f aca="false">F615+I615</f>
        <v>269.286775844652</v>
      </c>
      <c r="K615" s="32" t="n">
        <f aca="false">F615</f>
        <v>144.781984279243</v>
      </c>
      <c r="L615" s="32" t="n">
        <f aca="false">C615*1000000/dt_s+J615/2</f>
        <v>14827.0183879223</v>
      </c>
      <c r="M615" s="32" t="n">
        <f aca="false">C615*1000000/dt_s+K615/2</f>
        <v>14764.7659921396</v>
      </c>
    </row>
    <row r="616" customFormat="false" ht="15" hidden="false" customHeight="false" outlineLevel="0" collapsed="false">
      <c r="A616" s="24" t="n">
        <f aca="false">ROUND(A615+0.01,2)</f>
        <v>77.11</v>
      </c>
      <c r="B616" s="25" t="n">
        <f aca="false">INDEX(Bang_F,MATCH(A616,Bang_Z,1))+(A616-INDEX(Bang_Z,MATCH(A616,Bang_Z,1)))*(INDEX(Bang_F,MATCH(A616,Bang_Z,1)+1)-INDEX(Bang_F,MATCH(A616,Bang_Z,1)))</f>
        <v>7.4561</v>
      </c>
      <c r="C616" s="25" t="n">
        <f aca="false">INDEX(Bang_W,MATCH(A616,Bang_Z,1))+(A616-INDEX(Bang_Z,MATCH(A616,Bang_Z,1)))*(INDEX(Bang_F,MATCH(A616,Bang_Z,1))+B616)/2</f>
        <v>52.9670855</v>
      </c>
      <c r="D616" s="26" t="n">
        <f aca="false">MAX(A616-TC_Z,0)</f>
        <v>2.41</v>
      </c>
      <c r="E616" s="27" t="n">
        <f aca="false">1-0.2*(TC_xmb+(TC_n-1)*TC_xmt)*D616/(TC_n*TC_b)</f>
        <v>0.904046296296296</v>
      </c>
      <c r="F616" s="28" t="n">
        <f aca="false">TC_s*E616*TC_m*TC_n*TC_b*SQRT(2*g_)*D616^1.5</f>
        <v>145.62367995769</v>
      </c>
      <c r="G616" s="29" t="n">
        <f aca="false">MAX(A616-SC_Z,0)</f>
        <v>6.11</v>
      </c>
      <c r="H616" s="30" t="n">
        <f aca="false">1-0.2*(SC_xmb+(SC_n-1)*SC_xmt)*G616/(SC_n*SC_b)</f>
        <v>0.82892</v>
      </c>
      <c r="I616" s="31" t="n">
        <f aca="false">SC_s*H616*SC_m*SC_n*SC_b*SQRT(2*g_)*G616^1.5</f>
        <v>124.768930766159</v>
      </c>
      <c r="J616" s="32" t="n">
        <f aca="false">F616+I616</f>
        <v>270.392610723848</v>
      </c>
      <c r="K616" s="32" t="n">
        <f aca="false">F616</f>
        <v>145.62367995769</v>
      </c>
      <c r="L616" s="32" t="n">
        <f aca="false">C616*1000000/dt_s+J616/2</f>
        <v>14848.2756109175</v>
      </c>
      <c r="M616" s="32" t="n">
        <f aca="false">C616*1000000/dt_s+K616/2</f>
        <v>14785.8911455344</v>
      </c>
    </row>
    <row r="617" customFormat="false" ht="15" hidden="false" customHeight="false" outlineLevel="0" collapsed="false">
      <c r="A617" s="24" t="n">
        <f aca="false">ROUND(A616+0.01,2)</f>
        <v>77.12</v>
      </c>
      <c r="B617" s="25" t="n">
        <f aca="false">INDEX(Bang_F,MATCH(A617,Bang_Z,1))+(A617-INDEX(Bang_Z,MATCH(A617,Bang_Z,1)))*(INDEX(Bang_F,MATCH(A617,Bang_Z,1)+1)-INDEX(Bang_F,MATCH(A617,Bang_Z,1)))</f>
        <v>7.4612</v>
      </c>
      <c r="C617" s="25" t="n">
        <f aca="false">INDEX(Bang_W,MATCH(A617,Bang_Z,1))+(A617-INDEX(Bang_Z,MATCH(A617,Bang_Z,1)))*(INDEX(Bang_F,MATCH(A617,Bang_Z,1))+B617)/2</f>
        <v>53.041672</v>
      </c>
      <c r="D617" s="26" t="n">
        <f aca="false">MAX(A617-TC_Z,0)</f>
        <v>2.42</v>
      </c>
      <c r="E617" s="27" t="n">
        <f aca="false">1-0.2*(TC_xmb+(TC_n-1)*TC_xmt)*D617/(TC_n*TC_b)</f>
        <v>0.903648148148148</v>
      </c>
      <c r="F617" s="28" t="n">
        <f aca="false">TC_s*E617*TC_m*TC_n*TC_b*SQRT(2*g_)*D617^1.5</f>
        <v>146.466457733104</v>
      </c>
      <c r="G617" s="29" t="n">
        <f aca="false">MAX(A617-SC_Z,0)</f>
        <v>6.12</v>
      </c>
      <c r="H617" s="30" t="n">
        <f aca="false">1-0.2*(SC_xmb+(SC_n-1)*SC_xmt)*G617/(SC_n*SC_b)</f>
        <v>0.82864</v>
      </c>
      <c r="I617" s="31" t="n">
        <f aca="false">SC_s*H617*SC_m*SC_n*SC_b*SQRT(2*g_)*G617^1.5</f>
        <v>125.033113693096</v>
      </c>
      <c r="J617" s="32" t="n">
        <f aca="false">F617+I617</f>
        <v>271.499571426201</v>
      </c>
      <c r="K617" s="32" t="n">
        <f aca="false">F617</f>
        <v>146.466457733104</v>
      </c>
      <c r="L617" s="32" t="n">
        <f aca="false">C617*1000000/dt_s+J617/2</f>
        <v>14869.5475634909</v>
      </c>
      <c r="M617" s="32" t="n">
        <f aca="false">C617*1000000/dt_s+K617/2</f>
        <v>14807.0310066443</v>
      </c>
    </row>
    <row r="618" customFormat="false" ht="15" hidden="false" customHeight="false" outlineLevel="0" collapsed="false">
      <c r="A618" s="24" t="n">
        <f aca="false">ROUND(A617+0.01,2)</f>
        <v>77.13</v>
      </c>
      <c r="B618" s="25" t="n">
        <f aca="false">INDEX(Bang_F,MATCH(A618,Bang_Z,1))+(A618-INDEX(Bang_Z,MATCH(A618,Bang_Z,1)))*(INDEX(Bang_F,MATCH(A618,Bang_Z,1)+1)-INDEX(Bang_F,MATCH(A618,Bang_Z,1)))</f>
        <v>7.4663</v>
      </c>
      <c r="C618" s="25" t="n">
        <f aca="false">INDEX(Bang_W,MATCH(A618,Bang_Z,1))+(A618-INDEX(Bang_Z,MATCH(A618,Bang_Z,1)))*(INDEX(Bang_F,MATCH(A618,Bang_Z,1))+B618)/2</f>
        <v>53.1163095</v>
      </c>
      <c r="D618" s="26" t="n">
        <f aca="false">MAX(A618-TC_Z,0)</f>
        <v>2.42999999999999</v>
      </c>
      <c r="E618" s="27" t="n">
        <f aca="false">1-0.2*(TC_xmb+(TC_n-1)*TC_xmt)*D618/(TC_n*TC_b)</f>
        <v>0.90325</v>
      </c>
      <c r="F618" s="28" t="n">
        <f aca="false">TC_s*E618*TC_m*TC_n*TC_b*SQRT(2*g_)*D618^1.5</f>
        <v>147.310311235188</v>
      </c>
      <c r="G618" s="29" t="n">
        <f aca="false">MAX(A618-SC_Z,0)</f>
        <v>6.13</v>
      </c>
      <c r="H618" s="30" t="n">
        <f aca="false">1-0.2*(SC_xmb+(SC_n-1)*SC_xmt)*G618/(SC_n*SC_b)</f>
        <v>0.82836</v>
      </c>
      <c r="I618" s="31" t="n">
        <f aca="false">SC_s*H618*SC_m*SC_n*SC_b*SQRT(2*g_)*G618^1.5</f>
        <v>125.297339887478</v>
      </c>
      <c r="J618" s="32" t="n">
        <f aca="false">F618+I618</f>
        <v>272.607651122666</v>
      </c>
      <c r="K618" s="32" t="n">
        <f aca="false">F618</f>
        <v>147.310311235188</v>
      </c>
      <c r="L618" s="32" t="n">
        <f aca="false">C618*1000000/dt_s+J618/2</f>
        <v>14890.834242228</v>
      </c>
      <c r="M618" s="32" t="n">
        <f aca="false">C618*1000000/dt_s+K618/2</f>
        <v>14828.1855722843</v>
      </c>
    </row>
    <row r="619" customFormat="false" ht="15" hidden="false" customHeight="false" outlineLevel="0" collapsed="false">
      <c r="A619" s="24" t="n">
        <f aca="false">ROUND(A618+0.01,2)</f>
        <v>77.14</v>
      </c>
      <c r="B619" s="25" t="n">
        <f aca="false">INDEX(Bang_F,MATCH(A619,Bang_Z,1))+(A619-INDEX(Bang_Z,MATCH(A619,Bang_Z,1)))*(INDEX(Bang_F,MATCH(A619,Bang_Z,1)+1)-INDEX(Bang_F,MATCH(A619,Bang_Z,1)))</f>
        <v>7.4714</v>
      </c>
      <c r="C619" s="25" t="n">
        <f aca="false">INDEX(Bang_W,MATCH(A619,Bang_Z,1))+(A619-INDEX(Bang_Z,MATCH(A619,Bang_Z,1)))*(INDEX(Bang_F,MATCH(A619,Bang_Z,1))+B619)/2</f>
        <v>53.190998</v>
      </c>
      <c r="D619" s="26" t="n">
        <f aca="false">MAX(A619-TC_Z,0)</f>
        <v>2.44</v>
      </c>
      <c r="E619" s="27" t="n">
        <f aca="false">1-0.2*(TC_xmb+(TC_n-1)*TC_xmt)*D619/(TC_n*TC_b)</f>
        <v>0.902851851851852</v>
      </c>
      <c r="F619" s="28" t="n">
        <f aca="false">TC_s*E619*TC_m*TC_n*TC_b*SQRT(2*g_)*D619^1.5</f>
        <v>148.155234124499</v>
      </c>
      <c r="G619" s="29" t="n">
        <f aca="false">MAX(A619-SC_Z,0)</f>
        <v>6.14</v>
      </c>
      <c r="H619" s="30" t="n">
        <f aca="false">1-0.2*(SC_xmb+(SC_n-1)*SC_xmt)*G619/(SC_n*SC_b)</f>
        <v>0.82808</v>
      </c>
      <c r="I619" s="31" t="n">
        <f aca="false">SC_s*H619*SC_m*SC_n*SC_b*SQRT(2*g_)*G619^1.5</f>
        <v>125.561608891338</v>
      </c>
      <c r="J619" s="32" t="n">
        <f aca="false">F619+I619</f>
        <v>273.716843015837</v>
      </c>
      <c r="K619" s="32" t="n">
        <f aca="false">F619</f>
        <v>148.155234124499</v>
      </c>
      <c r="L619" s="32" t="n">
        <f aca="false">C619*1000000/dt_s+J619/2</f>
        <v>14912.1356437301</v>
      </c>
      <c r="M619" s="32" t="n">
        <f aca="false">C619*1000000/dt_s+K619/2</f>
        <v>14849.3548392845</v>
      </c>
    </row>
    <row r="620" customFormat="false" ht="15" hidden="false" customHeight="false" outlineLevel="0" collapsed="false">
      <c r="A620" s="24" t="n">
        <f aca="false">ROUND(A619+0.01,2)</f>
        <v>77.15</v>
      </c>
      <c r="B620" s="25" t="n">
        <f aca="false">INDEX(Bang_F,MATCH(A620,Bang_Z,1))+(A620-INDEX(Bang_Z,MATCH(A620,Bang_Z,1)))*(INDEX(Bang_F,MATCH(A620,Bang_Z,1)+1)-INDEX(Bang_F,MATCH(A620,Bang_Z,1)))</f>
        <v>7.4765</v>
      </c>
      <c r="C620" s="25" t="n">
        <f aca="false">INDEX(Bang_W,MATCH(A620,Bang_Z,1))+(A620-INDEX(Bang_Z,MATCH(A620,Bang_Z,1)))*(INDEX(Bang_F,MATCH(A620,Bang_Z,1))+B620)/2</f>
        <v>53.2657375</v>
      </c>
      <c r="D620" s="26" t="n">
        <f aca="false">MAX(A620-TC_Z,0)</f>
        <v>2.45</v>
      </c>
      <c r="E620" s="27" t="n">
        <f aca="false">1-0.2*(TC_xmb+(TC_n-1)*TC_xmt)*D620/(TC_n*TC_b)</f>
        <v>0.902453703703704</v>
      </c>
      <c r="F620" s="28" t="n">
        <f aca="false">TC_s*E620*TC_m*TC_n*TC_b*SQRT(2*g_)*D620^1.5</f>
        <v>149.001220092142</v>
      </c>
      <c r="G620" s="29" t="n">
        <f aca="false">MAX(A620-SC_Z,0)</f>
        <v>6.15000000000001</v>
      </c>
      <c r="H620" s="30" t="n">
        <f aca="false">1-0.2*(SC_xmb+(SC_n-1)*SC_xmt)*G620/(SC_n*SC_b)</f>
        <v>0.8278</v>
      </c>
      <c r="I620" s="31" t="n">
        <f aca="false">SC_s*H620*SC_m*SC_n*SC_b*SQRT(2*g_)*G620^1.5</f>
        <v>125.825920247485</v>
      </c>
      <c r="J620" s="32" t="n">
        <f aca="false">F620+I620</f>
        <v>274.827140339627</v>
      </c>
      <c r="K620" s="32" t="n">
        <f aca="false">F620</f>
        <v>149.001220092142</v>
      </c>
      <c r="L620" s="32" t="n">
        <f aca="false">C620*1000000/dt_s+J620/2</f>
        <v>14933.4517646143</v>
      </c>
      <c r="M620" s="32" t="n">
        <f aca="false">C620*1000000/dt_s+K620/2</f>
        <v>14870.5388044905</v>
      </c>
    </row>
    <row r="621" customFormat="false" ht="15" hidden="false" customHeight="false" outlineLevel="0" collapsed="false">
      <c r="A621" s="24" t="n">
        <f aca="false">ROUND(A620+0.01,2)</f>
        <v>77.16</v>
      </c>
      <c r="B621" s="25" t="n">
        <f aca="false">INDEX(Bang_F,MATCH(A621,Bang_Z,1))+(A621-INDEX(Bang_Z,MATCH(A621,Bang_Z,1)))*(INDEX(Bang_F,MATCH(A621,Bang_Z,1)+1)-INDEX(Bang_F,MATCH(A621,Bang_Z,1)))</f>
        <v>7.4816</v>
      </c>
      <c r="C621" s="25" t="n">
        <f aca="false">INDEX(Bang_W,MATCH(A621,Bang_Z,1))+(A621-INDEX(Bang_Z,MATCH(A621,Bang_Z,1)))*(INDEX(Bang_F,MATCH(A621,Bang_Z,1))+B621)/2</f>
        <v>53.340528</v>
      </c>
      <c r="D621" s="26" t="n">
        <f aca="false">MAX(A621-TC_Z,0)</f>
        <v>2.45999999999999</v>
      </c>
      <c r="E621" s="27" t="n">
        <f aca="false">1-0.2*(TC_xmb+(TC_n-1)*TC_xmt)*D621/(TC_n*TC_b)</f>
        <v>0.902055555555556</v>
      </c>
      <c r="F621" s="28" t="n">
        <f aca="false">TC_s*E621*TC_m*TC_n*TC_b*SQRT(2*g_)*D621^1.5</f>
        <v>149.848262859484</v>
      </c>
      <c r="G621" s="29" t="n">
        <f aca="false">MAX(A621-SC_Z,0)</f>
        <v>6.16</v>
      </c>
      <c r="H621" s="30" t="n">
        <f aca="false">1-0.2*(SC_xmb+(SC_n-1)*SC_xmt)*G621/(SC_n*SC_b)</f>
        <v>0.82752</v>
      </c>
      <c r="I621" s="31" t="n">
        <f aca="false">SC_s*H621*SC_m*SC_n*SC_b*SQRT(2*g_)*G621^1.5</f>
        <v>126.090273499499</v>
      </c>
      <c r="J621" s="32" t="n">
        <f aca="false">F621+I621</f>
        <v>275.938536358982</v>
      </c>
      <c r="K621" s="32" t="n">
        <f aca="false">F621</f>
        <v>149.848262859484</v>
      </c>
      <c r="L621" s="32" t="n">
        <f aca="false">C621*1000000/dt_s+J621/2</f>
        <v>14954.7826015128</v>
      </c>
      <c r="M621" s="32" t="n">
        <f aca="false">C621*1000000/dt_s+K621/2</f>
        <v>14891.7374647631</v>
      </c>
    </row>
    <row r="622" customFormat="false" ht="15" hidden="false" customHeight="false" outlineLevel="0" collapsed="false">
      <c r="A622" s="24" t="n">
        <f aca="false">ROUND(A621+0.01,2)</f>
        <v>77.17</v>
      </c>
      <c r="B622" s="25" t="n">
        <f aca="false">INDEX(Bang_F,MATCH(A622,Bang_Z,1))+(A622-INDEX(Bang_Z,MATCH(A622,Bang_Z,1)))*(INDEX(Bang_F,MATCH(A622,Bang_Z,1)+1)-INDEX(Bang_F,MATCH(A622,Bang_Z,1)))</f>
        <v>7.4867</v>
      </c>
      <c r="C622" s="25" t="n">
        <f aca="false">INDEX(Bang_W,MATCH(A622,Bang_Z,1))+(A622-INDEX(Bang_Z,MATCH(A622,Bang_Z,1)))*(INDEX(Bang_F,MATCH(A622,Bang_Z,1))+B622)/2</f>
        <v>53.4153695</v>
      </c>
      <c r="D622" s="26" t="n">
        <f aca="false">MAX(A622-TC_Z,0)</f>
        <v>2.47</v>
      </c>
      <c r="E622" s="27" t="n">
        <f aca="false">1-0.2*(TC_xmb+(TC_n-1)*TC_xmt)*D622/(TC_n*TC_b)</f>
        <v>0.901657407407407</v>
      </c>
      <c r="F622" s="28" t="n">
        <f aca="false">TC_s*E622*TC_m*TC_n*TC_b*SQRT(2*g_)*D622^1.5</f>
        <v>150.69635617786</v>
      </c>
      <c r="G622" s="29" t="n">
        <f aca="false">MAX(A622-SC_Z,0)</f>
        <v>6.17</v>
      </c>
      <c r="H622" s="30" t="n">
        <f aca="false">1-0.2*(SC_xmb+(SC_n-1)*SC_xmt)*G622/(SC_n*SC_b)</f>
        <v>0.82724</v>
      </c>
      <c r="I622" s="31" t="n">
        <f aca="false">SC_s*H622*SC_m*SC_n*SC_b*SQRT(2*g_)*G622^1.5</f>
        <v>126.354668191731</v>
      </c>
      <c r="J622" s="32" t="n">
        <f aca="false">F622+I622</f>
        <v>277.051024369591</v>
      </c>
      <c r="K622" s="32" t="n">
        <f aca="false">F622</f>
        <v>150.69635617786</v>
      </c>
      <c r="L622" s="32" t="n">
        <f aca="false">C622*1000000/dt_s+J622/2</f>
        <v>14976.1281510737</v>
      </c>
      <c r="M622" s="32" t="n">
        <f aca="false">C622*1000000/dt_s+K622/2</f>
        <v>14912.9508169778</v>
      </c>
    </row>
    <row r="623" customFormat="false" ht="15" hidden="false" customHeight="false" outlineLevel="0" collapsed="false">
      <c r="A623" s="24" t="n">
        <f aca="false">ROUND(A622+0.01,2)</f>
        <v>77.18</v>
      </c>
      <c r="B623" s="25" t="n">
        <f aca="false">INDEX(Bang_F,MATCH(A623,Bang_Z,1))+(A623-INDEX(Bang_Z,MATCH(A623,Bang_Z,1)))*(INDEX(Bang_F,MATCH(A623,Bang_Z,1)+1)-INDEX(Bang_F,MATCH(A623,Bang_Z,1)))</f>
        <v>7.4918</v>
      </c>
      <c r="C623" s="25" t="n">
        <f aca="false">INDEX(Bang_W,MATCH(A623,Bang_Z,1))+(A623-INDEX(Bang_Z,MATCH(A623,Bang_Z,1)))*(INDEX(Bang_F,MATCH(A623,Bang_Z,1))+B623)/2</f>
        <v>53.4902620000001</v>
      </c>
      <c r="D623" s="26" t="n">
        <f aca="false">MAX(A623-TC_Z,0)</f>
        <v>2.48</v>
      </c>
      <c r="E623" s="27" t="n">
        <f aca="false">1-0.2*(TC_xmb+(TC_n-1)*TC_xmt)*D623/(TC_n*TC_b)</f>
        <v>0.901259259259259</v>
      </c>
      <c r="F623" s="28" t="n">
        <f aca="false">TC_s*E623*TC_m*TC_n*TC_b*SQRT(2*g_)*D623^1.5</f>
        <v>151.545493828284</v>
      </c>
      <c r="G623" s="29" t="n">
        <f aca="false">MAX(A623-SC_Z,0)</f>
        <v>6.18000000000001</v>
      </c>
      <c r="H623" s="30" t="n">
        <f aca="false">1-0.2*(SC_xmb+(SC_n-1)*SC_xmt)*G623/(SC_n*SC_b)</f>
        <v>0.82696</v>
      </c>
      <c r="I623" s="31" t="n">
        <f aca="false">SC_s*H623*SC_m*SC_n*SC_b*SQRT(2*g_)*G623^1.5</f>
        <v>126.619103869298</v>
      </c>
      <c r="J623" s="32" t="n">
        <f aca="false">F623+I623</f>
        <v>278.164597697582</v>
      </c>
      <c r="K623" s="32" t="n">
        <f aca="false">F623</f>
        <v>151.545493828284</v>
      </c>
      <c r="L623" s="32" t="n">
        <f aca="false">C623*1000000/dt_s+J623/2</f>
        <v>14997.4884099599</v>
      </c>
      <c r="M623" s="32" t="n">
        <f aca="false">C623*1000000/dt_s+K623/2</f>
        <v>14934.1788580253</v>
      </c>
    </row>
    <row r="624" customFormat="false" ht="15" hidden="false" customHeight="false" outlineLevel="0" collapsed="false">
      <c r="A624" s="24" t="n">
        <f aca="false">ROUND(A623+0.01,2)</f>
        <v>77.19</v>
      </c>
      <c r="B624" s="25" t="n">
        <f aca="false">INDEX(Bang_F,MATCH(A624,Bang_Z,1))+(A624-INDEX(Bang_Z,MATCH(A624,Bang_Z,1)))*(INDEX(Bang_F,MATCH(A624,Bang_Z,1)+1)-INDEX(Bang_F,MATCH(A624,Bang_Z,1)))</f>
        <v>7.4969</v>
      </c>
      <c r="C624" s="25" t="n">
        <f aca="false">INDEX(Bang_W,MATCH(A624,Bang_Z,1))+(A624-INDEX(Bang_Z,MATCH(A624,Bang_Z,1)))*(INDEX(Bang_F,MATCH(A624,Bang_Z,1))+B624)/2</f>
        <v>53.5652055</v>
      </c>
      <c r="D624" s="26" t="n">
        <f aca="false">MAX(A624-TC_Z,0)</f>
        <v>2.49</v>
      </c>
      <c r="E624" s="27" t="n">
        <f aca="false">1-0.2*(TC_xmb+(TC_n-1)*TC_xmt)*D624/(TC_n*TC_b)</f>
        <v>0.900861111111111</v>
      </c>
      <c r="F624" s="28" t="n">
        <f aca="false">TC_s*E624*TC_m*TC_n*TC_b*SQRT(2*g_)*D624^1.5</f>
        <v>152.39566962117</v>
      </c>
      <c r="G624" s="29" t="n">
        <f aca="false">MAX(A624-SC_Z,0)</f>
        <v>6.19</v>
      </c>
      <c r="H624" s="30" t="n">
        <f aca="false">1-0.2*(SC_xmb+(SC_n-1)*SC_xmt)*G624/(SC_n*SC_b)</f>
        <v>0.82668</v>
      </c>
      <c r="I624" s="31" t="n">
        <f aca="false">SC_s*H624*SC_m*SC_n*SC_b*SQRT(2*g_)*G624^1.5</f>
        <v>126.883580078078</v>
      </c>
      <c r="J624" s="32" t="n">
        <f aca="false">F624+I624</f>
        <v>279.279249699248</v>
      </c>
      <c r="K624" s="32" t="n">
        <f aca="false">F624</f>
        <v>152.39566962117</v>
      </c>
      <c r="L624" s="32" t="n">
        <f aca="false">C624*1000000/dt_s+J624/2</f>
        <v>15018.8633748496</v>
      </c>
      <c r="M624" s="32" t="n">
        <f aca="false">C624*1000000/dt_s+K624/2</f>
        <v>14955.4215848106</v>
      </c>
    </row>
    <row r="625" customFormat="false" ht="15" hidden="false" customHeight="false" outlineLevel="0" collapsed="false">
      <c r="A625" s="24" t="n">
        <f aca="false">ROUND(A624+0.01,2)</f>
        <v>77.2</v>
      </c>
      <c r="B625" s="25" t="n">
        <f aca="false">INDEX(Bang_F,MATCH(A625,Bang_Z,1))+(A625-INDEX(Bang_Z,MATCH(A625,Bang_Z,1)))*(INDEX(Bang_F,MATCH(A625,Bang_Z,1)+1)-INDEX(Bang_F,MATCH(A625,Bang_Z,1)))</f>
        <v>7.502</v>
      </c>
      <c r="C625" s="25" t="n">
        <f aca="false">INDEX(Bang_W,MATCH(A625,Bang_Z,1))+(A625-INDEX(Bang_Z,MATCH(A625,Bang_Z,1)))*(INDEX(Bang_F,MATCH(A625,Bang_Z,1))+B625)/2</f>
        <v>53.6402</v>
      </c>
      <c r="D625" s="26" t="n">
        <f aca="false">MAX(A625-TC_Z,0)</f>
        <v>2.5</v>
      </c>
      <c r="E625" s="27" t="n">
        <f aca="false">1-0.2*(TC_xmb+(TC_n-1)*TC_xmt)*D625/(TC_n*TC_b)</f>
        <v>0.900462962962963</v>
      </c>
      <c r="F625" s="28" t="n">
        <f aca="false">TC_s*E625*TC_m*TC_n*TC_b*SQRT(2*g_)*D625^1.5</f>
        <v>153.246877396052</v>
      </c>
      <c r="G625" s="29" t="n">
        <f aca="false">MAX(A625-SC_Z,0)</f>
        <v>6.2</v>
      </c>
      <c r="H625" s="30" t="n">
        <f aca="false">1-0.2*(SC_xmb+(SC_n-1)*SC_xmt)*G625/(SC_n*SC_b)</f>
        <v>0.8264</v>
      </c>
      <c r="I625" s="31" t="n">
        <f aca="false">SC_s*H625*SC_m*SC_n*SC_b*SQRT(2*g_)*G625^1.5</f>
        <v>127.148096364715</v>
      </c>
      <c r="J625" s="32" t="n">
        <f aca="false">F625+I625</f>
        <v>280.394973760767</v>
      </c>
      <c r="K625" s="32" t="n">
        <f aca="false">F625</f>
        <v>153.246877396052</v>
      </c>
      <c r="L625" s="32" t="n">
        <f aca="false">C625*1000000/dt_s+J625/2</f>
        <v>15040.2530424359</v>
      </c>
      <c r="M625" s="32" t="n">
        <f aca="false">C625*1000000/dt_s+K625/2</f>
        <v>14976.6789942536</v>
      </c>
    </row>
    <row r="626" customFormat="false" ht="15" hidden="false" customHeight="false" outlineLevel="0" collapsed="false">
      <c r="A626" s="24" t="n">
        <f aca="false">ROUND(A625+0.01,2)</f>
        <v>77.21</v>
      </c>
      <c r="B626" s="25" t="n">
        <f aca="false">INDEX(Bang_F,MATCH(A626,Bang_Z,1))+(A626-INDEX(Bang_Z,MATCH(A626,Bang_Z,1)))*(INDEX(Bang_F,MATCH(A626,Bang_Z,1)+1)-INDEX(Bang_F,MATCH(A626,Bang_Z,1)))</f>
        <v>7.5071</v>
      </c>
      <c r="C626" s="25" t="n">
        <f aca="false">INDEX(Bang_W,MATCH(A626,Bang_Z,1))+(A626-INDEX(Bang_Z,MATCH(A626,Bang_Z,1)))*(INDEX(Bang_F,MATCH(A626,Bang_Z,1))+B626)/2</f>
        <v>53.7152455</v>
      </c>
      <c r="D626" s="26" t="n">
        <f aca="false">MAX(A626-TC_Z,0)</f>
        <v>2.50999999999999</v>
      </c>
      <c r="E626" s="27" t="n">
        <f aca="false">1-0.2*(TC_xmb+(TC_n-1)*TC_xmt)*D626/(TC_n*TC_b)</f>
        <v>0.900064814814815</v>
      </c>
      <c r="F626" s="28" t="n">
        <f aca="false">TC_s*E626*TC_m*TC_n*TC_b*SQRT(2*g_)*D626^1.5</f>
        <v>154.099111021306</v>
      </c>
      <c r="G626" s="29" t="n">
        <f aca="false">MAX(A626-SC_Z,0)</f>
        <v>6.20999999999999</v>
      </c>
      <c r="H626" s="30" t="n">
        <f aca="false">1-0.2*(SC_xmb+(SC_n-1)*SC_xmt)*G626/(SC_n*SC_b)</f>
        <v>0.82612</v>
      </c>
      <c r="I626" s="31" t="n">
        <f aca="false">SC_s*H626*SC_m*SC_n*SC_b*SQRT(2*g_)*G626^1.5</f>
        <v>127.412652276605</v>
      </c>
      <c r="J626" s="32" t="n">
        <f aca="false">F626+I626</f>
        <v>281.511763297911</v>
      </c>
      <c r="K626" s="32" t="n">
        <f aca="false">F626</f>
        <v>154.099111021306</v>
      </c>
      <c r="L626" s="32" t="n">
        <f aca="false">C626*1000000/dt_s+J626/2</f>
        <v>15061.6574094267</v>
      </c>
      <c r="M626" s="32" t="n">
        <f aca="false">C626*1000000/dt_s+K626/2</f>
        <v>14997.9510832884</v>
      </c>
    </row>
    <row r="627" customFormat="false" ht="15" hidden="false" customHeight="false" outlineLevel="0" collapsed="false">
      <c r="A627" s="24" t="n">
        <f aca="false">ROUND(A626+0.01,2)</f>
        <v>77.22</v>
      </c>
      <c r="B627" s="25" t="n">
        <f aca="false">INDEX(Bang_F,MATCH(A627,Bang_Z,1))+(A627-INDEX(Bang_Z,MATCH(A627,Bang_Z,1)))*(INDEX(Bang_F,MATCH(A627,Bang_Z,1)+1)-INDEX(Bang_F,MATCH(A627,Bang_Z,1)))</f>
        <v>7.5122</v>
      </c>
      <c r="C627" s="25" t="n">
        <f aca="false">INDEX(Bang_W,MATCH(A627,Bang_Z,1))+(A627-INDEX(Bang_Z,MATCH(A627,Bang_Z,1)))*(INDEX(Bang_F,MATCH(A627,Bang_Z,1))+B627)/2</f>
        <v>53.790342</v>
      </c>
      <c r="D627" s="26" t="n">
        <f aca="false">MAX(A627-TC_Z,0)</f>
        <v>2.52</v>
      </c>
      <c r="E627" s="27" t="n">
        <f aca="false">1-0.2*(TC_xmb+(TC_n-1)*TC_xmt)*D627/(TC_n*TC_b)</f>
        <v>0.899666666666667</v>
      </c>
      <c r="F627" s="28" t="n">
        <f aca="false">TC_s*E627*TC_m*TC_n*TC_b*SQRT(2*g_)*D627^1.5</f>
        <v>154.952364393884</v>
      </c>
      <c r="G627" s="29" t="n">
        <f aca="false">MAX(A627-SC_Z,0)</f>
        <v>6.22</v>
      </c>
      <c r="H627" s="30" t="n">
        <f aca="false">1-0.2*(SC_xmb+(SC_n-1)*SC_xmt)*G627/(SC_n*SC_b)</f>
        <v>0.82584</v>
      </c>
      <c r="I627" s="31" t="n">
        <f aca="false">SC_s*H627*SC_m*SC_n*SC_b*SQRT(2*g_)*G627^1.5</f>
        <v>127.677247361903</v>
      </c>
      <c r="J627" s="32" t="n">
        <f aca="false">F627+I627</f>
        <v>282.629611755787</v>
      </c>
      <c r="K627" s="32" t="n">
        <f aca="false">F627</f>
        <v>154.952364393884</v>
      </c>
      <c r="L627" s="32" t="n">
        <f aca="false">C627*1000000/dt_s+J627/2</f>
        <v>15083.0764725446</v>
      </c>
      <c r="M627" s="32" t="n">
        <f aca="false">C627*1000000/dt_s+K627/2</f>
        <v>15019.2378488636</v>
      </c>
    </row>
    <row r="628" customFormat="false" ht="15" hidden="false" customHeight="false" outlineLevel="0" collapsed="false">
      <c r="A628" s="24" t="n">
        <f aca="false">ROUND(A627+0.01,2)</f>
        <v>77.23</v>
      </c>
      <c r="B628" s="25" t="n">
        <f aca="false">INDEX(Bang_F,MATCH(A628,Bang_Z,1))+(A628-INDEX(Bang_Z,MATCH(A628,Bang_Z,1)))*(INDEX(Bang_F,MATCH(A628,Bang_Z,1)+1)-INDEX(Bang_F,MATCH(A628,Bang_Z,1)))</f>
        <v>7.5173</v>
      </c>
      <c r="C628" s="25" t="n">
        <f aca="false">INDEX(Bang_W,MATCH(A628,Bang_Z,1))+(A628-INDEX(Bang_Z,MATCH(A628,Bang_Z,1)))*(INDEX(Bang_F,MATCH(A628,Bang_Z,1))+B628)/2</f>
        <v>53.8654895</v>
      </c>
      <c r="D628" s="26" t="n">
        <f aca="false">MAX(A628-TC_Z,0)</f>
        <v>2.53</v>
      </c>
      <c r="E628" s="27" t="n">
        <f aca="false">1-0.2*(TC_xmb+(TC_n-1)*TC_xmt)*D628/(TC_n*TC_b)</f>
        <v>0.899268518518518</v>
      </c>
      <c r="F628" s="28" t="n">
        <f aca="false">TC_s*E628*TC_m*TC_n*TC_b*SQRT(2*g_)*D628^1.5</f>
        <v>155.806631439041</v>
      </c>
      <c r="G628" s="29" t="n">
        <f aca="false">MAX(A628-SC_Z,0)</f>
        <v>6.23</v>
      </c>
      <c r="H628" s="30" t="n">
        <f aca="false">1-0.2*(SC_xmb+(SC_n-1)*SC_xmt)*G628/(SC_n*SC_b)</f>
        <v>0.82556</v>
      </c>
      <c r="I628" s="31" t="n">
        <f aca="false">SC_s*H628*SC_m*SC_n*SC_b*SQRT(2*g_)*G628^1.5</f>
        <v>127.941881169516</v>
      </c>
      <c r="J628" s="32" t="n">
        <f aca="false">F628+I628</f>
        <v>283.748512608557</v>
      </c>
      <c r="K628" s="32" t="n">
        <f aca="false">F628</f>
        <v>155.806631439041</v>
      </c>
      <c r="L628" s="32" t="n">
        <f aca="false">C628*1000000/dt_s+J628/2</f>
        <v>15104.5102285265</v>
      </c>
      <c r="M628" s="32" t="n">
        <f aca="false">C628*1000000/dt_s+K628/2</f>
        <v>15040.5392879418</v>
      </c>
    </row>
    <row r="629" customFormat="false" ht="15" hidden="false" customHeight="false" outlineLevel="0" collapsed="false">
      <c r="A629" s="24" t="n">
        <f aca="false">ROUND(A628+0.01,2)</f>
        <v>77.24</v>
      </c>
      <c r="B629" s="25" t="n">
        <f aca="false">INDEX(Bang_F,MATCH(A629,Bang_Z,1))+(A629-INDEX(Bang_Z,MATCH(A629,Bang_Z,1)))*(INDEX(Bang_F,MATCH(A629,Bang_Z,1)+1)-INDEX(Bang_F,MATCH(A629,Bang_Z,1)))</f>
        <v>7.5224</v>
      </c>
      <c r="C629" s="25" t="n">
        <f aca="false">INDEX(Bang_W,MATCH(A629,Bang_Z,1))+(A629-INDEX(Bang_Z,MATCH(A629,Bang_Z,1)))*(INDEX(Bang_F,MATCH(A629,Bang_Z,1))+B629)/2</f>
        <v>53.940688</v>
      </c>
      <c r="D629" s="26" t="n">
        <f aca="false">MAX(A629-TC_Z,0)</f>
        <v>2.53999999999999</v>
      </c>
      <c r="E629" s="27" t="n">
        <f aca="false">1-0.2*(TC_xmb+(TC_n-1)*TC_xmt)*D629/(TC_n*TC_b)</f>
        <v>0.898870370370371</v>
      </c>
      <c r="F629" s="28" t="n">
        <f aca="false">TC_s*E629*TC_m*TC_n*TC_b*SQRT(2*g_)*D629^1.5</f>
        <v>156.661906110073</v>
      </c>
      <c r="G629" s="29" t="n">
        <f aca="false">MAX(A629-SC_Z,0)</f>
        <v>6.24</v>
      </c>
      <c r="H629" s="30" t="n">
        <f aca="false">1-0.2*(SC_xmb+(SC_n-1)*SC_xmt)*G629/(SC_n*SC_b)</f>
        <v>0.82528</v>
      </c>
      <c r="I629" s="31" t="n">
        <f aca="false">SC_s*H629*SC_m*SC_n*SC_b*SQRT(2*g_)*G629^1.5</f>
        <v>128.206553249098</v>
      </c>
      <c r="J629" s="32" t="n">
        <f aca="false">F629+I629</f>
        <v>284.868459359172</v>
      </c>
      <c r="K629" s="32" t="n">
        <f aca="false">F629</f>
        <v>156.661906110073</v>
      </c>
      <c r="L629" s="32" t="n">
        <f aca="false">C629*1000000/dt_s+J629/2</f>
        <v>15125.958674124</v>
      </c>
      <c r="M629" s="32" t="n">
        <f aca="false">C629*1000000/dt_s+K629/2</f>
        <v>15061.8553974995</v>
      </c>
    </row>
    <row r="630" customFormat="false" ht="15" hidden="false" customHeight="false" outlineLevel="0" collapsed="false">
      <c r="A630" s="24" t="n">
        <f aca="false">ROUND(A629+0.01,2)</f>
        <v>77.25</v>
      </c>
      <c r="B630" s="25" t="n">
        <f aca="false">INDEX(Bang_F,MATCH(A630,Bang_Z,1))+(A630-INDEX(Bang_Z,MATCH(A630,Bang_Z,1)))*(INDEX(Bang_F,MATCH(A630,Bang_Z,1)+1)-INDEX(Bang_F,MATCH(A630,Bang_Z,1)))</f>
        <v>7.5275</v>
      </c>
      <c r="C630" s="25" t="n">
        <f aca="false">INDEX(Bang_W,MATCH(A630,Bang_Z,1))+(A630-INDEX(Bang_Z,MATCH(A630,Bang_Z,1)))*(INDEX(Bang_F,MATCH(A630,Bang_Z,1))+B630)/2</f>
        <v>54.0159375</v>
      </c>
      <c r="D630" s="26" t="n">
        <f aca="false">MAX(A630-TC_Z,0)</f>
        <v>2.55</v>
      </c>
      <c r="E630" s="27" t="n">
        <f aca="false">1-0.2*(TC_xmb+(TC_n-1)*TC_xmt)*D630/(TC_n*TC_b)</f>
        <v>0.898472222222222</v>
      </c>
      <c r="F630" s="28" t="n">
        <f aca="false">TC_s*E630*TC_m*TC_n*TC_b*SQRT(2*g_)*D630^1.5</f>
        <v>157.518182388061</v>
      </c>
      <c r="G630" s="29" t="n">
        <f aca="false">MAX(A630-SC_Z,0)</f>
        <v>6.25</v>
      </c>
      <c r="H630" s="30" t="n">
        <f aca="false">1-0.2*(SC_xmb+(SC_n-1)*SC_xmt)*G630/(SC_n*SC_b)</f>
        <v>0.825</v>
      </c>
      <c r="I630" s="31" t="n">
        <f aca="false">SC_s*H630*SC_m*SC_n*SC_b*SQRT(2*g_)*G630^1.5</f>
        <v>128.471263151054</v>
      </c>
      <c r="J630" s="32" t="n">
        <f aca="false">F630+I630</f>
        <v>285.989445539116</v>
      </c>
      <c r="K630" s="32" t="n">
        <f aca="false">F630</f>
        <v>157.518182388061</v>
      </c>
      <c r="L630" s="32" t="n">
        <f aca="false">C630*1000000/dt_s+J630/2</f>
        <v>15147.4218061029</v>
      </c>
      <c r="M630" s="32" t="n">
        <f aca="false">C630*1000000/dt_s+K630/2</f>
        <v>15083.1861745274</v>
      </c>
    </row>
    <row r="631" customFormat="false" ht="15" hidden="false" customHeight="false" outlineLevel="0" collapsed="false">
      <c r="A631" s="24" t="n">
        <f aca="false">ROUND(A630+0.01,2)</f>
        <v>77.26</v>
      </c>
      <c r="B631" s="25" t="n">
        <f aca="false">INDEX(Bang_F,MATCH(A631,Bang_Z,1))+(A631-INDEX(Bang_Z,MATCH(A631,Bang_Z,1)))*(INDEX(Bang_F,MATCH(A631,Bang_Z,1)+1)-INDEX(Bang_F,MATCH(A631,Bang_Z,1)))</f>
        <v>7.5326</v>
      </c>
      <c r="C631" s="25" t="n">
        <f aca="false">INDEX(Bang_W,MATCH(A631,Bang_Z,1))+(A631-INDEX(Bang_Z,MATCH(A631,Bang_Z,1)))*(INDEX(Bang_F,MATCH(A631,Bang_Z,1))+B631)/2</f>
        <v>54.091238</v>
      </c>
      <c r="D631" s="26" t="n">
        <f aca="false">MAX(A631-TC_Z,0)</f>
        <v>2.56</v>
      </c>
      <c r="E631" s="27" t="n">
        <f aca="false">1-0.2*(TC_xmb+(TC_n-1)*TC_xmt)*D631/(TC_n*TC_b)</f>
        <v>0.898074074074074</v>
      </c>
      <c r="F631" s="28" t="n">
        <f aca="false">TC_s*E631*TC_m*TC_n*TC_b*SQRT(2*g_)*D631^1.5</f>
        <v>158.375454281606</v>
      </c>
      <c r="G631" s="29" t="n">
        <f aca="false">MAX(A631-SC_Z,0)</f>
        <v>6.26000000000001</v>
      </c>
      <c r="H631" s="30" t="n">
        <f aca="false">1-0.2*(SC_xmb+(SC_n-1)*SC_xmt)*G631/(SC_n*SC_b)</f>
        <v>0.82472</v>
      </c>
      <c r="I631" s="31" t="n">
        <f aca="false">SC_s*H631*SC_m*SC_n*SC_b*SQRT(2*g_)*G631^1.5</f>
        <v>128.73601042653</v>
      </c>
      <c r="J631" s="32" t="n">
        <f aca="false">F631+I631</f>
        <v>287.111464708137</v>
      </c>
      <c r="K631" s="32" t="n">
        <f aca="false">F631</f>
        <v>158.375454281606</v>
      </c>
      <c r="L631" s="32" t="n">
        <f aca="false">C631*1000000/dt_s+J631/2</f>
        <v>15168.899621243</v>
      </c>
      <c r="M631" s="32" t="n">
        <f aca="false">C631*1000000/dt_s+K631/2</f>
        <v>15104.5316160297</v>
      </c>
    </row>
    <row r="632" customFormat="false" ht="15" hidden="false" customHeight="false" outlineLevel="0" collapsed="false">
      <c r="A632" s="24" t="n">
        <f aca="false">ROUND(A631+0.01,2)</f>
        <v>77.27</v>
      </c>
      <c r="B632" s="25" t="n">
        <f aca="false">INDEX(Bang_F,MATCH(A632,Bang_Z,1))+(A632-INDEX(Bang_Z,MATCH(A632,Bang_Z,1)))*(INDEX(Bang_F,MATCH(A632,Bang_Z,1)+1)-INDEX(Bang_F,MATCH(A632,Bang_Z,1)))</f>
        <v>7.5377</v>
      </c>
      <c r="C632" s="25" t="n">
        <f aca="false">INDEX(Bang_W,MATCH(A632,Bang_Z,1))+(A632-INDEX(Bang_Z,MATCH(A632,Bang_Z,1)))*(INDEX(Bang_F,MATCH(A632,Bang_Z,1))+B632)/2</f>
        <v>54.1665895</v>
      </c>
      <c r="D632" s="26" t="n">
        <f aca="false">MAX(A632-TC_Z,0)</f>
        <v>2.56999999999999</v>
      </c>
      <c r="E632" s="27" t="n">
        <f aca="false">1-0.2*(TC_xmb+(TC_n-1)*TC_xmt)*D632/(TC_n*TC_b)</f>
        <v>0.897675925925926</v>
      </c>
      <c r="F632" s="28" t="n">
        <f aca="false">TC_s*E632*TC_m*TC_n*TC_b*SQRT(2*g_)*D632^1.5</f>
        <v>159.23371582658</v>
      </c>
      <c r="G632" s="29" t="n">
        <f aca="false">MAX(A632-SC_Z,0)</f>
        <v>6.27</v>
      </c>
      <c r="H632" s="30" t="n">
        <f aca="false">1-0.2*(SC_xmb+(SC_n-1)*SC_xmt)*G632/(SC_n*SC_b)</f>
        <v>0.82444</v>
      </c>
      <c r="I632" s="31" t="n">
        <f aca="false">SC_s*H632*SC_m*SC_n*SC_b*SQRT(2*g_)*G632^1.5</f>
        <v>129.000794627415</v>
      </c>
      <c r="J632" s="32" t="n">
        <f aca="false">F632+I632</f>
        <v>288.234510453994</v>
      </c>
      <c r="K632" s="32" t="n">
        <f aca="false">F632</f>
        <v>159.23371582658</v>
      </c>
      <c r="L632" s="32" t="n">
        <f aca="false">C632*1000000/dt_s+J632/2</f>
        <v>15190.3921163381</v>
      </c>
      <c r="M632" s="32" t="n">
        <f aca="false">C632*1000000/dt_s+K632/2</f>
        <v>15125.8917190244</v>
      </c>
    </row>
    <row r="633" customFormat="false" ht="15" hidden="false" customHeight="false" outlineLevel="0" collapsed="false">
      <c r="A633" s="24" t="n">
        <f aca="false">ROUND(A632+0.01,2)</f>
        <v>77.28</v>
      </c>
      <c r="B633" s="25" t="n">
        <f aca="false">INDEX(Bang_F,MATCH(A633,Bang_Z,1))+(A633-INDEX(Bang_Z,MATCH(A633,Bang_Z,1)))*(INDEX(Bang_F,MATCH(A633,Bang_Z,1)+1)-INDEX(Bang_F,MATCH(A633,Bang_Z,1)))</f>
        <v>7.5428</v>
      </c>
      <c r="C633" s="25" t="n">
        <f aca="false">INDEX(Bang_W,MATCH(A633,Bang_Z,1))+(A633-INDEX(Bang_Z,MATCH(A633,Bang_Z,1)))*(INDEX(Bang_F,MATCH(A633,Bang_Z,1))+B633)/2</f>
        <v>54.241992</v>
      </c>
      <c r="D633" s="26" t="n">
        <f aca="false">MAX(A633-TC_Z,0)</f>
        <v>2.58</v>
      </c>
      <c r="E633" s="27" t="n">
        <f aca="false">1-0.2*(TC_xmb+(TC_n-1)*TC_xmt)*D633/(TC_n*TC_b)</f>
        <v>0.897277777777778</v>
      </c>
      <c r="F633" s="28" t="n">
        <f aca="false">TC_s*E633*TC_m*TC_n*TC_b*SQRT(2*g_)*D633^1.5</f>
        <v>160.092961085876</v>
      </c>
      <c r="G633" s="29" t="n">
        <f aca="false">MAX(A633-SC_Z,0)</f>
        <v>6.28</v>
      </c>
      <c r="H633" s="30" t="n">
        <f aca="false">1-0.2*(SC_xmb+(SC_n-1)*SC_xmt)*G633/(SC_n*SC_b)</f>
        <v>0.82416</v>
      </c>
      <c r="I633" s="31" t="n">
        <f aca="false">SC_s*H633*SC_m*SC_n*SC_b*SQRT(2*g_)*G633^1.5</f>
        <v>129.265615306336</v>
      </c>
      <c r="J633" s="32" t="n">
        <f aca="false">F633+I633</f>
        <v>289.358576392212</v>
      </c>
      <c r="K633" s="32" t="n">
        <f aca="false">F633</f>
        <v>160.092961085876</v>
      </c>
      <c r="L633" s="32" t="n">
        <f aca="false">C633*1000000/dt_s+J633/2</f>
        <v>15211.8992881961</v>
      </c>
      <c r="M633" s="32" t="n">
        <f aca="false">C633*1000000/dt_s+K633/2</f>
        <v>15147.2664805429</v>
      </c>
    </row>
    <row r="634" customFormat="false" ht="15" hidden="false" customHeight="false" outlineLevel="0" collapsed="false">
      <c r="A634" s="24" t="n">
        <f aca="false">ROUND(A633+0.01,2)</f>
        <v>77.29</v>
      </c>
      <c r="B634" s="25" t="n">
        <f aca="false">INDEX(Bang_F,MATCH(A634,Bang_Z,1))+(A634-INDEX(Bang_Z,MATCH(A634,Bang_Z,1)))*(INDEX(Bang_F,MATCH(A634,Bang_Z,1)+1)-INDEX(Bang_F,MATCH(A634,Bang_Z,1)))</f>
        <v>7.5479</v>
      </c>
      <c r="C634" s="25" t="n">
        <f aca="false">INDEX(Bang_W,MATCH(A634,Bang_Z,1))+(A634-INDEX(Bang_Z,MATCH(A634,Bang_Z,1)))*(INDEX(Bang_F,MATCH(A634,Bang_Z,1))+B634)/2</f>
        <v>54.3174455000001</v>
      </c>
      <c r="D634" s="26" t="n">
        <f aca="false">MAX(A634-TC_Z,0)</f>
        <v>2.59</v>
      </c>
      <c r="E634" s="27" t="n">
        <f aca="false">1-0.2*(TC_xmb+(TC_n-1)*TC_xmt)*D634/(TC_n*TC_b)</f>
        <v>0.89687962962963</v>
      </c>
      <c r="F634" s="28" t="n">
        <f aca="false">TC_s*E634*TC_m*TC_n*TC_b*SQRT(2*g_)*D634^1.5</f>
        <v>160.95318414916</v>
      </c>
      <c r="G634" s="29" t="n">
        <f aca="false">MAX(A634-SC_Z,0)</f>
        <v>6.29000000000001</v>
      </c>
      <c r="H634" s="30" t="n">
        <f aca="false">1-0.2*(SC_xmb+(SC_n-1)*SC_xmt)*G634/(SC_n*SC_b)</f>
        <v>0.82388</v>
      </c>
      <c r="I634" s="31" t="n">
        <f aca="false">SC_s*H634*SC_m*SC_n*SC_b*SQRT(2*g_)*G634^1.5</f>
        <v>129.530472016656</v>
      </c>
      <c r="J634" s="32" t="n">
        <f aca="false">F634+I634</f>
        <v>290.483656165816</v>
      </c>
      <c r="K634" s="32" t="n">
        <f aca="false">F634</f>
        <v>160.95318414916</v>
      </c>
      <c r="L634" s="32" t="n">
        <f aca="false">C634*1000000/dt_s+J634/2</f>
        <v>15233.4211336385</v>
      </c>
      <c r="M634" s="32" t="n">
        <f aca="false">C634*1000000/dt_s+K634/2</f>
        <v>15168.6558976301</v>
      </c>
    </row>
    <row r="635" customFormat="false" ht="15" hidden="false" customHeight="false" outlineLevel="0" collapsed="false">
      <c r="A635" s="24" t="n">
        <f aca="false">ROUND(A634+0.01,2)</f>
        <v>77.3</v>
      </c>
      <c r="B635" s="25" t="n">
        <f aca="false">INDEX(Bang_F,MATCH(A635,Bang_Z,1))+(A635-INDEX(Bang_Z,MATCH(A635,Bang_Z,1)))*(INDEX(Bang_F,MATCH(A635,Bang_Z,1)+1)-INDEX(Bang_F,MATCH(A635,Bang_Z,1)))</f>
        <v>7.553</v>
      </c>
      <c r="C635" s="25" t="n">
        <f aca="false">INDEX(Bang_W,MATCH(A635,Bang_Z,1))+(A635-INDEX(Bang_Z,MATCH(A635,Bang_Z,1)))*(INDEX(Bang_F,MATCH(A635,Bang_Z,1))+B635)/2</f>
        <v>54.39295</v>
      </c>
      <c r="D635" s="26" t="n">
        <f aca="false">MAX(A635-TC_Z,0)</f>
        <v>2.59999999999999</v>
      </c>
      <c r="E635" s="27" t="n">
        <f aca="false">1-0.2*(TC_xmb+(TC_n-1)*TC_xmt)*D635/(TC_n*TC_b)</f>
        <v>0.896481481481482</v>
      </c>
      <c r="F635" s="28" t="n">
        <f aca="false">TC_s*E635*TC_m*TC_n*TC_b*SQRT(2*g_)*D635^1.5</f>
        <v>161.814379132626</v>
      </c>
      <c r="G635" s="29" t="n">
        <f aca="false">MAX(A635-SC_Z,0)</f>
        <v>6.3</v>
      </c>
      <c r="H635" s="30" t="n">
        <f aca="false">1-0.2*(SC_xmb+(SC_n-1)*SC_xmt)*G635/(SC_n*SC_b)</f>
        <v>0.8236</v>
      </c>
      <c r="I635" s="31" t="n">
        <f aca="false">SC_s*H635*SC_m*SC_n*SC_b*SQRT(2*g_)*G635^1.5</f>
        <v>129.795364312473</v>
      </c>
      <c r="J635" s="32" t="n">
        <f aca="false">F635+I635</f>
        <v>291.609743445099</v>
      </c>
      <c r="K635" s="32" t="n">
        <f aca="false">F635</f>
        <v>161.814379132626</v>
      </c>
      <c r="L635" s="32" t="n">
        <f aca="false">C635*1000000/dt_s+J635/2</f>
        <v>15254.9576495003</v>
      </c>
      <c r="M635" s="32" t="n">
        <f aca="false">C635*1000000/dt_s+K635/2</f>
        <v>15190.0599673441</v>
      </c>
    </row>
    <row r="636" customFormat="false" ht="15" hidden="false" customHeight="false" outlineLevel="0" collapsed="false">
      <c r="A636" s="24" t="n">
        <f aca="false">ROUND(A635+0.01,2)</f>
        <v>77.31</v>
      </c>
      <c r="B636" s="25" t="n">
        <f aca="false">INDEX(Bang_F,MATCH(A636,Bang_Z,1))+(A636-INDEX(Bang_Z,MATCH(A636,Bang_Z,1)))*(INDEX(Bang_F,MATCH(A636,Bang_Z,1)+1)-INDEX(Bang_F,MATCH(A636,Bang_Z,1)))</f>
        <v>7.5581</v>
      </c>
      <c r="C636" s="25" t="n">
        <f aca="false">INDEX(Bang_W,MATCH(A636,Bang_Z,1))+(A636-INDEX(Bang_Z,MATCH(A636,Bang_Z,1)))*(INDEX(Bang_F,MATCH(A636,Bang_Z,1))+B636)/2</f>
        <v>54.4685055</v>
      </c>
      <c r="D636" s="26" t="n">
        <f aca="false">MAX(A636-TC_Z,0)</f>
        <v>2.61</v>
      </c>
      <c r="E636" s="27" t="n">
        <f aca="false">1-0.2*(TC_xmb+(TC_n-1)*TC_xmt)*D636/(TC_n*TC_b)</f>
        <v>0.896083333333333</v>
      </c>
      <c r="F636" s="28" t="n">
        <f aca="false">TC_s*E636*TC_m*TC_n*TC_b*SQRT(2*g_)*D636^1.5</f>
        <v>162.67654017876</v>
      </c>
      <c r="G636" s="29" t="n">
        <f aca="false">MAX(A636-SC_Z,0)</f>
        <v>6.31</v>
      </c>
      <c r="H636" s="30" t="n">
        <f aca="false">1-0.2*(SC_xmb+(SC_n-1)*SC_xmt)*G636/(SC_n*SC_b)</f>
        <v>0.82332</v>
      </c>
      <c r="I636" s="31" t="n">
        <f aca="false">SC_s*H636*SC_m*SC_n*SC_b*SQRT(2*g_)*G636^1.5</f>
        <v>130.060291748614</v>
      </c>
      <c r="J636" s="32" t="n">
        <f aca="false">F636+I636</f>
        <v>292.736831927375</v>
      </c>
      <c r="K636" s="32" t="n">
        <f aca="false">F636</f>
        <v>162.67654017876</v>
      </c>
      <c r="L636" s="32" t="n">
        <f aca="false">C636*1000000/dt_s+J636/2</f>
        <v>15276.5088326304</v>
      </c>
      <c r="M636" s="32" t="n">
        <f aca="false">C636*1000000/dt_s+K636/2</f>
        <v>15211.4786867561</v>
      </c>
    </row>
    <row r="637" customFormat="false" ht="15" hidden="false" customHeight="false" outlineLevel="0" collapsed="false">
      <c r="A637" s="24" t="n">
        <f aca="false">ROUND(A636+0.01,2)</f>
        <v>77.32</v>
      </c>
      <c r="B637" s="25" t="n">
        <f aca="false">INDEX(Bang_F,MATCH(A637,Bang_Z,1))+(A637-INDEX(Bang_Z,MATCH(A637,Bang_Z,1)))*(INDEX(Bang_F,MATCH(A637,Bang_Z,1)+1)-INDEX(Bang_F,MATCH(A637,Bang_Z,1)))</f>
        <v>7.5632</v>
      </c>
      <c r="C637" s="25" t="n">
        <f aca="false">INDEX(Bang_W,MATCH(A637,Bang_Z,1))+(A637-INDEX(Bang_Z,MATCH(A637,Bang_Z,1)))*(INDEX(Bang_F,MATCH(A637,Bang_Z,1))+B637)/2</f>
        <v>54.544112</v>
      </c>
      <c r="D637" s="26" t="n">
        <f aca="false">MAX(A637-TC_Z,0)</f>
        <v>2.61999999999999</v>
      </c>
      <c r="E637" s="27" t="n">
        <f aca="false">1-0.2*(TC_xmb+(TC_n-1)*TC_xmt)*D637/(TC_n*TC_b)</f>
        <v>0.895685185185186</v>
      </c>
      <c r="F637" s="28" t="n">
        <f aca="false">TC_s*E637*TC_m*TC_n*TC_b*SQRT(2*g_)*D637^1.5</f>
        <v>163.539661456098</v>
      </c>
      <c r="G637" s="29" t="n">
        <f aca="false">MAX(A637-SC_Z,0)</f>
        <v>6.31999999999999</v>
      </c>
      <c r="H637" s="30" t="n">
        <f aca="false">1-0.2*(SC_xmb+(SC_n-1)*SC_xmt)*G637/(SC_n*SC_b)</f>
        <v>0.82304</v>
      </c>
      <c r="I637" s="31" t="n">
        <f aca="false">SC_s*H637*SC_m*SC_n*SC_b*SQRT(2*g_)*G637^1.5</f>
        <v>130.325253880636</v>
      </c>
      <c r="J637" s="32" t="n">
        <f aca="false">F637+I637</f>
        <v>293.864915336733</v>
      </c>
      <c r="K637" s="32" t="n">
        <f aca="false">F637</f>
        <v>163.539661456098</v>
      </c>
      <c r="L637" s="32" t="n">
        <f aca="false">C637*1000000/dt_s+J637/2</f>
        <v>15298.0746798906</v>
      </c>
      <c r="M637" s="32" t="n">
        <f aca="false">C637*1000000/dt_s+K637/2</f>
        <v>15232.9120529503</v>
      </c>
    </row>
    <row r="638" customFormat="false" ht="15" hidden="false" customHeight="false" outlineLevel="0" collapsed="false">
      <c r="A638" s="24" t="n">
        <f aca="false">ROUND(A637+0.01,2)</f>
        <v>77.33</v>
      </c>
      <c r="B638" s="25" t="n">
        <f aca="false">INDEX(Bang_F,MATCH(A638,Bang_Z,1))+(A638-INDEX(Bang_Z,MATCH(A638,Bang_Z,1)))*(INDEX(Bang_F,MATCH(A638,Bang_Z,1)+1)-INDEX(Bang_F,MATCH(A638,Bang_Z,1)))</f>
        <v>7.5683</v>
      </c>
      <c r="C638" s="25" t="n">
        <f aca="false">INDEX(Bang_W,MATCH(A638,Bang_Z,1))+(A638-INDEX(Bang_Z,MATCH(A638,Bang_Z,1)))*(INDEX(Bang_F,MATCH(A638,Bang_Z,1))+B638)/2</f>
        <v>54.6197695</v>
      </c>
      <c r="D638" s="26" t="n">
        <f aca="false">MAX(A638-TC_Z,0)</f>
        <v>2.63</v>
      </c>
      <c r="E638" s="27" t="n">
        <f aca="false">1-0.2*(TC_xmb+(TC_n-1)*TC_xmt)*D638/(TC_n*TC_b)</f>
        <v>0.895287037037037</v>
      </c>
      <c r="F638" s="28" t="n">
        <f aca="false">TC_s*E638*TC_m*TC_n*TC_b*SQRT(2*g_)*D638^1.5</f>
        <v>164.403737158994</v>
      </c>
      <c r="G638" s="29" t="n">
        <f aca="false">MAX(A638-SC_Z,0)</f>
        <v>6.33</v>
      </c>
      <c r="H638" s="30" t="n">
        <f aca="false">1-0.2*(SC_xmb+(SC_n-1)*SC_xmt)*G638/(SC_n*SC_b)</f>
        <v>0.82276</v>
      </c>
      <c r="I638" s="31" t="n">
        <f aca="false">SC_s*H638*SC_m*SC_n*SC_b*SQRT(2*g_)*G638^1.5</f>
        <v>130.590250264819</v>
      </c>
      <c r="J638" s="32" t="n">
        <f aca="false">F638+I638</f>
        <v>294.993987423813</v>
      </c>
      <c r="K638" s="32" t="n">
        <f aca="false">F638</f>
        <v>164.403737158994</v>
      </c>
      <c r="L638" s="32" t="n">
        <f aca="false">C638*1000000/dt_s+J638/2</f>
        <v>15319.6551881563</v>
      </c>
      <c r="M638" s="32" t="n">
        <f aca="false">C638*1000000/dt_s+K638/2</f>
        <v>15254.3600630239</v>
      </c>
    </row>
    <row r="639" customFormat="false" ht="15" hidden="false" customHeight="false" outlineLevel="0" collapsed="false">
      <c r="A639" s="24" t="n">
        <f aca="false">ROUND(A638+0.01,2)</f>
        <v>77.34</v>
      </c>
      <c r="B639" s="25" t="n">
        <f aca="false">INDEX(Bang_F,MATCH(A639,Bang_Z,1))+(A639-INDEX(Bang_Z,MATCH(A639,Bang_Z,1)))*(INDEX(Bang_F,MATCH(A639,Bang_Z,1)+1)-INDEX(Bang_F,MATCH(A639,Bang_Z,1)))</f>
        <v>7.5734</v>
      </c>
      <c r="C639" s="25" t="n">
        <f aca="false">INDEX(Bang_W,MATCH(A639,Bang_Z,1))+(A639-INDEX(Bang_Z,MATCH(A639,Bang_Z,1)))*(INDEX(Bang_F,MATCH(A639,Bang_Z,1))+B639)/2</f>
        <v>54.695478</v>
      </c>
      <c r="D639" s="26" t="n">
        <f aca="false">MAX(A639-TC_Z,0)</f>
        <v>2.64</v>
      </c>
      <c r="E639" s="27" t="n">
        <f aca="false">1-0.2*(TC_xmb+(TC_n-1)*TC_xmt)*D639/(TC_n*TC_b)</f>
        <v>0.894888888888889</v>
      </c>
      <c r="F639" s="28" t="n">
        <f aca="false">TC_s*E639*TC_m*TC_n*TC_b*SQRT(2*g_)*D639^1.5</f>
        <v>165.268761507389</v>
      </c>
      <c r="G639" s="29" t="n">
        <f aca="false">MAX(A639-SC_Z,0)</f>
        <v>6.34</v>
      </c>
      <c r="H639" s="30" t="n">
        <f aca="false">1-0.2*(SC_xmb+(SC_n-1)*SC_xmt)*G639/(SC_n*SC_b)</f>
        <v>0.82248</v>
      </c>
      <c r="I639" s="31" t="n">
        <f aca="false">SC_s*H639*SC_m*SC_n*SC_b*SQRT(2*g_)*G639^1.5</f>
        <v>130.855280458169</v>
      </c>
      <c r="J639" s="32" t="n">
        <f aca="false">F639+I639</f>
        <v>296.124041965558</v>
      </c>
      <c r="K639" s="32" t="n">
        <f aca="false">F639</f>
        <v>165.268761507389</v>
      </c>
      <c r="L639" s="32" t="n">
        <f aca="false">C639*1000000/dt_s+J639/2</f>
        <v>15341.2503543161</v>
      </c>
      <c r="M639" s="32" t="n">
        <f aca="false">C639*1000000/dt_s+K639/2</f>
        <v>15275.822714087</v>
      </c>
    </row>
    <row r="640" customFormat="false" ht="15" hidden="false" customHeight="false" outlineLevel="0" collapsed="false">
      <c r="A640" s="24" t="n">
        <f aca="false">ROUND(A639+0.01,2)</f>
        <v>77.35</v>
      </c>
      <c r="B640" s="25" t="n">
        <f aca="false">INDEX(Bang_F,MATCH(A640,Bang_Z,1))+(A640-INDEX(Bang_Z,MATCH(A640,Bang_Z,1)))*(INDEX(Bang_F,MATCH(A640,Bang_Z,1)+1)-INDEX(Bang_F,MATCH(A640,Bang_Z,1)))</f>
        <v>7.5785</v>
      </c>
      <c r="C640" s="25" t="n">
        <f aca="false">INDEX(Bang_W,MATCH(A640,Bang_Z,1))+(A640-INDEX(Bang_Z,MATCH(A640,Bang_Z,1)))*(INDEX(Bang_F,MATCH(A640,Bang_Z,1))+B640)/2</f>
        <v>54.7712375</v>
      </c>
      <c r="D640" s="26" t="n">
        <f aca="false">MAX(A640-TC_Z,0)</f>
        <v>2.64999999999999</v>
      </c>
      <c r="E640" s="27" t="n">
        <f aca="false">1-0.2*(TC_xmb+(TC_n-1)*TC_xmt)*D640/(TC_n*TC_b)</f>
        <v>0.894490740740741</v>
      </c>
      <c r="F640" s="28" t="n">
        <f aca="false">TC_s*E640*TC_m*TC_n*TC_b*SQRT(2*g_)*D640^1.5</f>
        <v>166.134728746579</v>
      </c>
      <c r="G640" s="29" t="n">
        <f aca="false">MAX(A640-SC_Z,0)</f>
        <v>6.34999999999999</v>
      </c>
      <c r="H640" s="30" t="n">
        <f aca="false">1-0.2*(SC_xmb+(SC_n-1)*SC_xmt)*G640/(SC_n*SC_b)</f>
        <v>0.8222</v>
      </c>
      <c r="I640" s="31" t="n">
        <f aca="false">SC_s*H640*SC_m*SC_n*SC_b*SQRT(2*g_)*G640^1.5</f>
        <v>131.120344018409</v>
      </c>
      <c r="J640" s="32" t="n">
        <f aca="false">F640+I640</f>
        <v>297.255072764988</v>
      </c>
      <c r="K640" s="32" t="n">
        <f aca="false">F640</f>
        <v>166.134728746579</v>
      </c>
      <c r="L640" s="32" t="n">
        <f aca="false">C640*1000000/dt_s+J640/2</f>
        <v>15362.8601752714</v>
      </c>
      <c r="M640" s="32" t="n">
        <f aca="false">C640*1000000/dt_s+K640/2</f>
        <v>15297.3000032622</v>
      </c>
    </row>
    <row r="641" customFormat="false" ht="15" hidden="false" customHeight="false" outlineLevel="0" collapsed="false">
      <c r="A641" s="24" t="n">
        <f aca="false">ROUND(A640+0.01,2)</f>
        <v>77.36</v>
      </c>
      <c r="B641" s="25" t="n">
        <f aca="false">INDEX(Bang_F,MATCH(A641,Bang_Z,1))+(A641-INDEX(Bang_Z,MATCH(A641,Bang_Z,1)))*(INDEX(Bang_F,MATCH(A641,Bang_Z,1)+1)-INDEX(Bang_F,MATCH(A641,Bang_Z,1)))</f>
        <v>7.5836</v>
      </c>
      <c r="C641" s="25" t="n">
        <f aca="false">INDEX(Bang_W,MATCH(A641,Bang_Z,1))+(A641-INDEX(Bang_Z,MATCH(A641,Bang_Z,1)))*(INDEX(Bang_F,MATCH(A641,Bang_Z,1))+B641)/2</f>
        <v>54.847048</v>
      </c>
      <c r="D641" s="26" t="n">
        <f aca="false">MAX(A641-TC_Z,0)</f>
        <v>2.66</v>
      </c>
      <c r="E641" s="27" t="n">
        <f aca="false">1-0.2*(TC_xmb+(TC_n-1)*TC_xmt)*D641/(TC_n*TC_b)</f>
        <v>0.894092592592593</v>
      </c>
      <c r="F641" s="28" t="n">
        <f aca="false">TC_s*E641*TC_m*TC_n*TC_b*SQRT(2*g_)*D641^1.5</f>
        <v>167.001633146998</v>
      </c>
      <c r="G641" s="29" t="n">
        <f aca="false">MAX(A641-SC_Z,0)</f>
        <v>6.36</v>
      </c>
      <c r="H641" s="30" t="n">
        <f aca="false">1-0.2*(SC_xmb+(SC_n-1)*SC_xmt)*G641/(SC_n*SC_b)</f>
        <v>0.82192</v>
      </c>
      <c r="I641" s="31" t="n">
        <f aca="false">SC_s*H641*SC_m*SC_n*SC_b*SQRT(2*g_)*G641^1.5</f>
        <v>131.385440503984</v>
      </c>
      <c r="J641" s="32" t="n">
        <f aca="false">F641+I641</f>
        <v>298.387073650982</v>
      </c>
      <c r="K641" s="32" t="n">
        <f aca="false">F641</f>
        <v>167.001633146998</v>
      </c>
      <c r="L641" s="32" t="n">
        <f aca="false">C641*1000000/dt_s+J641/2</f>
        <v>15384.4846479366</v>
      </c>
      <c r="M641" s="32" t="n">
        <f aca="false">C641*1000000/dt_s+K641/2</f>
        <v>15318.7919276846</v>
      </c>
    </row>
    <row r="642" customFormat="false" ht="15" hidden="false" customHeight="false" outlineLevel="0" collapsed="false">
      <c r="A642" s="24" t="n">
        <f aca="false">ROUND(A641+0.01,2)</f>
        <v>77.37</v>
      </c>
      <c r="B642" s="25" t="n">
        <f aca="false">INDEX(Bang_F,MATCH(A642,Bang_Z,1))+(A642-INDEX(Bang_Z,MATCH(A642,Bang_Z,1)))*(INDEX(Bang_F,MATCH(A642,Bang_Z,1)+1)-INDEX(Bang_F,MATCH(A642,Bang_Z,1)))</f>
        <v>7.5887</v>
      </c>
      <c r="C642" s="25" t="n">
        <f aca="false">INDEX(Bang_W,MATCH(A642,Bang_Z,1))+(A642-INDEX(Bang_Z,MATCH(A642,Bang_Z,1)))*(INDEX(Bang_F,MATCH(A642,Bang_Z,1))+B642)/2</f>
        <v>54.9229095</v>
      </c>
      <c r="D642" s="26" t="n">
        <f aca="false">MAX(A642-TC_Z,0)</f>
        <v>2.67</v>
      </c>
      <c r="E642" s="27" t="n">
        <f aca="false">1-0.2*(TC_xmb+(TC_n-1)*TC_xmt)*D642/(TC_n*TC_b)</f>
        <v>0.893694444444444</v>
      </c>
      <c r="F642" s="28" t="n">
        <f aca="false">TC_s*E642*TC_m*TC_n*TC_b*SQRT(2*g_)*D642^1.5</f>
        <v>167.869469003987</v>
      </c>
      <c r="G642" s="29" t="n">
        <f aca="false">MAX(A642-SC_Z,0)</f>
        <v>6.37</v>
      </c>
      <c r="H642" s="30" t="n">
        <f aca="false">1-0.2*(SC_xmb+(SC_n-1)*SC_xmt)*G642/(SC_n*SC_b)</f>
        <v>0.82164</v>
      </c>
      <c r="I642" s="31" t="n">
        <f aca="false">SC_s*H642*SC_m*SC_n*SC_b*SQRT(2*g_)*G642^1.5</f>
        <v>131.65056947405</v>
      </c>
      <c r="J642" s="32" t="n">
        <f aca="false">F642+I642</f>
        <v>299.520038478036</v>
      </c>
      <c r="K642" s="32" t="n">
        <f aca="false">F642</f>
        <v>167.869469003987</v>
      </c>
      <c r="L642" s="32" t="n">
        <f aca="false">C642*1000000/dt_s+J642/2</f>
        <v>15406.123769239</v>
      </c>
      <c r="M642" s="32" t="n">
        <f aca="false">C642*1000000/dt_s+K642/2</f>
        <v>15340.298484502</v>
      </c>
    </row>
    <row r="643" customFormat="false" ht="15" hidden="false" customHeight="false" outlineLevel="0" collapsed="false">
      <c r="A643" s="24" t="n">
        <f aca="false">ROUND(A642+0.01,2)</f>
        <v>77.38</v>
      </c>
      <c r="B643" s="25" t="n">
        <f aca="false">INDEX(Bang_F,MATCH(A643,Bang_Z,1))+(A643-INDEX(Bang_Z,MATCH(A643,Bang_Z,1)))*(INDEX(Bang_F,MATCH(A643,Bang_Z,1)+1)-INDEX(Bang_F,MATCH(A643,Bang_Z,1)))</f>
        <v>7.5938</v>
      </c>
      <c r="C643" s="25" t="n">
        <f aca="false">INDEX(Bang_W,MATCH(A643,Bang_Z,1))+(A643-INDEX(Bang_Z,MATCH(A643,Bang_Z,1)))*(INDEX(Bang_F,MATCH(A643,Bang_Z,1))+B643)/2</f>
        <v>54.998822</v>
      </c>
      <c r="D643" s="26" t="n">
        <f aca="false">MAX(A643-TC_Z,0)</f>
        <v>2.67999999999999</v>
      </c>
      <c r="E643" s="27" t="n">
        <f aca="false">1-0.2*(TC_xmb+(TC_n-1)*TC_xmt)*D643/(TC_n*TC_b)</f>
        <v>0.893296296296297</v>
      </c>
      <c r="F643" s="28" t="n">
        <f aca="false">TC_s*E643*TC_m*TC_n*TC_b*SQRT(2*g_)*D643^1.5</f>
        <v>168.738230637577</v>
      </c>
      <c r="G643" s="29" t="n">
        <f aca="false">MAX(A643-SC_Z,0)</f>
        <v>6.38</v>
      </c>
      <c r="H643" s="30" t="n">
        <f aca="false">1-0.2*(SC_xmb+(SC_n-1)*SC_xmt)*G643/(SC_n*SC_b)</f>
        <v>0.82136</v>
      </c>
      <c r="I643" s="31" t="n">
        <f aca="false">SC_s*H643*SC_m*SC_n*SC_b*SQRT(2*g_)*G643^1.5</f>
        <v>131.915730488478</v>
      </c>
      <c r="J643" s="32" t="n">
        <f aca="false">F643+I643</f>
        <v>300.653961126055</v>
      </c>
      <c r="K643" s="32" t="n">
        <f aca="false">F643</f>
        <v>168.738230637577</v>
      </c>
      <c r="L643" s="32" t="n">
        <f aca="false">C643*1000000/dt_s+J643/2</f>
        <v>15427.7775361186</v>
      </c>
      <c r="M643" s="32" t="n">
        <f aca="false">C643*1000000/dt_s+K643/2</f>
        <v>15361.8196708743</v>
      </c>
    </row>
    <row r="644" customFormat="false" ht="15" hidden="false" customHeight="false" outlineLevel="0" collapsed="false">
      <c r="A644" s="24" t="n">
        <f aca="false">ROUND(A643+0.01,2)</f>
        <v>77.39</v>
      </c>
      <c r="B644" s="25" t="n">
        <f aca="false">INDEX(Bang_F,MATCH(A644,Bang_Z,1))+(A644-INDEX(Bang_Z,MATCH(A644,Bang_Z,1)))*(INDEX(Bang_F,MATCH(A644,Bang_Z,1)+1)-INDEX(Bang_F,MATCH(A644,Bang_Z,1)))</f>
        <v>7.5989</v>
      </c>
      <c r="C644" s="25" t="n">
        <f aca="false">INDEX(Bang_W,MATCH(A644,Bang_Z,1))+(A644-INDEX(Bang_Z,MATCH(A644,Bang_Z,1)))*(INDEX(Bang_F,MATCH(A644,Bang_Z,1))+B644)/2</f>
        <v>55.0747855</v>
      </c>
      <c r="D644" s="26" t="n">
        <f aca="false">MAX(A644-TC_Z,0)</f>
        <v>2.69</v>
      </c>
      <c r="E644" s="27" t="n">
        <f aca="false">1-0.2*(TC_xmb+(TC_n-1)*TC_xmt)*D644/(TC_n*TC_b)</f>
        <v>0.892898148148148</v>
      </c>
      <c r="F644" s="28" t="n">
        <f aca="false">TC_s*E644*TC_m*TC_n*TC_b*SQRT(2*g_)*D644^1.5</f>
        <v>169.607912392279</v>
      </c>
      <c r="G644" s="29" t="n">
        <f aca="false">MAX(A644-SC_Z,0)</f>
        <v>6.39</v>
      </c>
      <c r="H644" s="30" t="n">
        <f aca="false">1-0.2*(SC_xmb+(SC_n-1)*SC_xmt)*G644/(SC_n*SC_b)</f>
        <v>0.82108</v>
      </c>
      <c r="I644" s="31" t="n">
        <f aca="false">SC_s*H644*SC_m*SC_n*SC_b*SQRT(2*g_)*G644^1.5</f>
        <v>132.180923107848</v>
      </c>
      <c r="J644" s="32" t="n">
        <f aca="false">F644+I644</f>
        <v>301.788835500127</v>
      </c>
      <c r="K644" s="32" t="n">
        <f aca="false">F644</f>
        <v>169.607912392279</v>
      </c>
      <c r="L644" s="32" t="n">
        <f aca="false">C644*1000000/dt_s+J644/2</f>
        <v>15449.4459455278</v>
      </c>
      <c r="M644" s="32" t="n">
        <f aca="false">C644*1000000/dt_s+K644/2</f>
        <v>15383.3554839739</v>
      </c>
    </row>
    <row r="645" customFormat="false" ht="15" hidden="false" customHeight="false" outlineLevel="0" collapsed="false">
      <c r="A645" s="24" t="n">
        <f aca="false">ROUND(A644+0.01,2)</f>
        <v>77.4</v>
      </c>
      <c r="B645" s="25" t="n">
        <f aca="false">INDEX(Bang_F,MATCH(A645,Bang_Z,1))+(A645-INDEX(Bang_Z,MATCH(A645,Bang_Z,1)))*(INDEX(Bang_F,MATCH(A645,Bang_Z,1)+1)-INDEX(Bang_F,MATCH(A645,Bang_Z,1)))</f>
        <v>7.604</v>
      </c>
      <c r="C645" s="25" t="n">
        <f aca="false">INDEX(Bang_W,MATCH(A645,Bang_Z,1))+(A645-INDEX(Bang_Z,MATCH(A645,Bang_Z,1)))*(INDEX(Bang_F,MATCH(A645,Bang_Z,1))+B645)/2</f>
        <v>55.1508</v>
      </c>
      <c r="D645" s="26" t="n">
        <f aca="false">MAX(A645-TC_Z,0)</f>
        <v>2.7</v>
      </c>
      <c r="E645" s="27" t="n">
        <f aca="false">1-0.2*(TC_xmb+(TC_n-1)*TC_xmt)*D645/(TC_n*TC_b)</f>
        <v>0.8925</v>
      </c>
      <c r="F645" s="28" t="n">
        <f aca="false">TC_s*E645*TC_m*TC_n*TC_b*SQRT(2*g_)*D645^1.5</f>
        <v>170.478508636859</v>
      </c>
      <c r="G645" s="29" t="n">
        <f aca="false">MAX(A645-SC_Z,0)</f>
        <v>6.40000000000001</v>
      </c>
      <c r="H645" s="30" t="n">
        <f aca="false">1-0.2*(SC_xmb+(SC_n-1)*SC_xmt)*G645/(SC_n*SC_b)</f>
        <v>0.8208</v>
      </c>
      <c r="I645" s="31" t="n">
        <f aca="false">SC_s*H645*SC_m*SC_n*SC_b*SQRT(2*g_)*G645^1.5</f>
        <v>132.44614689345</v>
      </c>
      <c r="J645" s="32" t="n">
        <f aca="false">F645+I645</f>
        <v>302.924655530309</v>
      </c>
      <c r="K645" s="32" t="n">
        <f aca="false">F645</f>
        <v>170.478508636859</v>
      </c>
      <c r="L645" s="32" t="n">
        <f aca="false">C645*1000000/dt_s+J645/2</f>
        <v>15471.1289944318</v>
      </c>
      <c r="M645" s="32" t="n">
        <f aca="false">C645*1000000/dt_s+K645/2</f>
        <v>15404.9059209851</v>
      </c>
    </row>
    <row r="646" customFormat="false" ht="15" hidden="false" customHeight="false" outlineLevel="0" collapsed="false">
      <c r="A646" s="24" t="n">
        <f aca="false">ROUND(A645+0.01,2)</f>
        <v>77.41</v>
      </c>
      <c r="B646" s="25" t="n">
        <f aca="false">INDEX(Bang_F,MATCH(A646,Bang_Z,1))+(A646-INDEX(Bang_Z,MATCH(A646,Bang_Z,1)))*(INDEX(Bang_F,MATCH(A646,Bang_Z,1)+1)-INDEX(Bang_F,MATCH(A646,Bang_Z,1)))</f>
        <v>7.6091</v>
      </c>
      <c r="C646" s="25" t="n">
        <f aca="false">INDEX(Bang_W,MATCH(A646,Bang_Z,1))+(A646-INDEX(Bang_Z,MATCH(A646,Bang_Z,1)))*(INDEX(Bang_F,MATCH(A646,Bang_Z,1))+B646)/2</f>
        <v>55.2268655</v>
      </c>
      <c r="D646" s="26" t="n">
        <f aca="false">MAX(A646-TC_Z,0)</f>
        <v>2.70999999999999</v>
      </c>
      <c r="E646" s="27" t="n">
        <f aca="false">1-0.2*(TC_xmb+(TC_n-1)*TC_xmt)*D646/(TC_n*TC_b)</f>
        <v>0.892101851851852</v>
      </c>
      <c r="F646" s="28" t="n">
        <f aca="false">TC_s*E646*TC_m*TC_n*TC_b*SQRT(2*g_)*D646^1.5</f>
        <v>171.350013764131</v>
      </c>
      <c r="G646" s="29" t="n">
        <f aca="false">MAX(A646-SC_Z,0)</f>
        <v>6.41</v>
      </c>
      <c r="H646" s="30" t="n">
        <f aca="false">1-0.2*(SC_xmb+(SC_n-1)*SC_xmt)*G646/(SC_n*SC_b)</f>
        <v>0.82052</v>
      </c>
      <c r="I646" s="31" t="n">
        <f aca="false">SC_s*H646*SC_m*SC_n*SC_b*SQRT(2*g_)*G646^1.5</f>
        <v>132.711401407275</v>
      </c>
      <c r="J646" s="32" t="n">
        <f aca="false">F646+I646</f>
        <v>304.061415171406</v>
      </c>
      <c r="K646" s="32" t="n">
        <f aca="false">F646</f>
        <v>171.350013764131</v>
      </c>
      <c r="L646" s="32" t="n">
        <f aca="false">C646*1000000/dt_s+J646/2</f>
        <v>15492.8266798079</v>
      </c>
      <c r="M646" s="32" t="n">
        <f aca="false">C646*1000000/dt_s+K646/2</f>
        <v>15426.4709791043</v>
      </c>
    </row>
    <row r="647" customFormat="false" ht="15" hidden="false" customHeight="false" outlineLevel="0" collapsed="false">
      <c r="A647" s="24" t="n">
        <f aca="false">ROUND(A646+0.01,2)</f>
        <v>77.42</v>
      </c>
      <c r="B647" s="25" t="n">
        <f aca="false">INDEX(Bang_F,MATCH(A647,Bang_Z,1))+(A647-INDEX(Bang_Z,MATCH(A647,Bang_Z,1)))*(INDEX(Bang_F,MATCH(A647,Bang_Z,1)+1)-INDEX(Bang_F,MATCH(A647,Bang_Z,1)))</f>
        <v>7.6142</v>
      </c>
      <c r="C647" s="25" t="n">
        <f aca="false">INDEX(Bang_W,MATCH(A647,Bang_Z,1))+(A647-INDEX(Bang_Z,MATCH(A647,Bang_Z,1)))*(INDEX(Bang_F,MATCH(A647,Bang_Z,1))+B647)/2</f>
        <v>55.302982</v>
      </c>
      <c r="D647" s="26" t="n">
        <f aca="false">MAX(A647-TC_Z,0)</f>
        <v>2.72</v>
      </c>
      <c r="E647" s="27" t="n">
        <f aca="false">1-0.2*(TC_xmb+(TC_n-1)*TC_xmt)*D647/(TC_n*TC_b)</f>
        <v>0.891703703703704</v>
      </c>
      <c r="F647" s="28" t="n">
        <f aca="false">TC_s*E647*TC_m*TC_n*TC_b*SQRT(2*g_)*D647^1.5</f>
        <v>172.222422190755</v>
      </c>
      <c r="G647" s="29" t="n">
        <f aca="false">MAX(A647-SC_Z,0)</f>
        <v>6.42</v>
      </c>
      <c r="H647" s="30" t="n">
        <f aca="false">1-0.2*(SC_xmb+(SC_n-1)*SC_xmt)*G647/(SC_n*SC_b)</f>
        <v>0.82024</v>
      </c>
      <c r="I647" s="31" t="n">
        <f aca="false">SC_s*H647*SC_m*SC_n*SC_b*SQRT(2*g_)*G647^1.5</f>
        <v>132.976686212021</v>
      </c>
      <c r="J647" s="32" t="n">
        <f aca="false">F647+I647</f>
        <v>305.199108402777</v>
      </c>
      <c r="K647" s="32" t="n">
        <f aca="false">F647</f>
        <v>172.222422190755</v>
      </c>
      <c r="L647" s="32" t="n">
        <f aca="false">C647*1000000/dt_s+J647/2</f>
        <v>15514.5389986458</v>
      </c>
      <c r="M647" s="32" t="n">
        <f aca="false">C647*1000000/dt_s+K647/2</f>
        <v>15448.0506555398</v>
      </c>
    </row>
    <row r="648" customFormat="false" ht="15" hidden="false" customHeight="false" outlineLevel="0" collapsed="false">
      <c r="A648" s="24" t="n">
        <f aca="false">ROUND(A647+0.01,2)</f>
        <v>77.43</v>
      </c>
      <c r="B648" s="25" t="n">
        <f aca="false">INDEX(Bang_F,MATCH(A648,Bang_Z,1))+(A648-INDEX(Bang_Z,MATCH(A648,Bang_Z,1)))*(INDEX(Bang_F,MATCH(A648,Bang_Z,1)+1)-INDEX(Bang_F,MATCH(A648,Bang_Z,1)))</f>
        <v>7.6193</v>
      </c>
      <c r="C648" s="25" t="n">
        <f aca="false">INDEX(Bang_W,MATCH(A648,Bang_Z,1))+(A648-INDEX(Bang_Z,MATCH(A648,Bang_Z,1)))*(INDEX(Bang_F,MATCH(A648,Bang_Z,1))+B648)/2</f>
        <v>55.3791495000001</v>
      </c>
      <c r="D648" s="26" t="n">
        <f aca="false">MAX(A648-TC_Z,0)</f>
        <v>2.73</v>
      </c>
      <c r="E648" s="27" t="n">
        <f aca="false">1-0.2*(TC_xmb+(TC_n-1)*TC_xmt)*D648/(TC_n*TC_b)</f>
        <v>0.891305555555555</v>
      </c>
      <c r="F648" s="28" t="n">
        <f aca="false">TC_s*E648*TC_m*TC_n*TC_b*SQRT(2*g_)*D648^1.5</f>
        <v>173.095728357021</v>
      </c>
      <c r="G648" s="29" t="n">
        <f aca="false">MAX(A648-SC_Z,0)</f>
        <v>6.43000000000001</v>
      </c>
      <c r="H648" s="30" t="n">
        <f aca="false">1-0.2*(SC_xmb+(SC_n-1)*SC_xmt)*G648/(SC_n*SC_b)</f>
        <v>0.81996</v>
      </c>
      <c r="I648" s="31" t="n">
        <f aca="false">SC_s*H648*SC_m*SC_n*SC_b*SQRT(2*g_)*G648^1.5</f>
        <v>133.242000871083</v>
      </c>
      <c r="J648" s="32" t="n">
        <f aca="false">F648+I648</f>
        <v>306.337729228105</v>
      </c>
      <c r="K648" s="32" t="n">
        <f aca="false">F648</f>
        <v>173.095728357021</v>
      </c>
      <c r="L648" s="32" t="n">
        <f aca="false">C648*1000000/dt_s+J648/2</f>
        <v>15536.2659479474</v>
      </c>
      <c r="M648" s="32" t="n">
        <f aca="false">C648*1000000/dt_s+K648/2</f>
        <v>15469.6449475119</v>
      </c>
    </row>
    <row r="649" customFormat="false" ht="15" hidden="false" customHeight="false" outlineLevel="0" collapsed="false">
      <c r="A649" s="24" t="n">
        <f aca="false">ROUND(A648+0.01,2)</f>
        <v>77.44</v>
      </c>
      <c r="B649" s="25" t="n">
        <f aca="false">INDEX(Bang_F,MATCH(A649,Bang_Z,1))+(A649-INDEX(Bang_Z,MATCH(A649,Bang_Z,1)))*(INDEX(Bang_F,MATCH(A649,Bang_Z,1)+1)-INDEX(Bang_F,MATCH(A649,Bang_Z,1)))</f>
        <v>7.6244</v>
      </c>
      <c r="C649" s="25" t="n">
        <f aca="false">INDEX(Bang_W,MATCH(A649,Bang_Z,1))+(A649-INDEX(Bang_Z,MATCH(A649,Bang_Z,1)))*(INDEX(Bang_F,MATCH(A649,Bang_Z,1))+B649)/2</f>
        <v>55.455368</v>
      </c>
      <c r="D649" s="26" t="n">
        <f aca="false">MAX(A649-TC_Z,0)</f>
        <v>2.74</v>
      </c>
      <c r="E649" s="27" t="n">
        <f aca="false">1-0.2*(TC_xmb+(TC_n-1)*TC_xmt)*D649/(TC_n*TC_b)</f>
        <v>0.890907407407408</v>
      </c>
      <c r="F649" s="28" t="n">
        <f aca="false">TC_s*E649*TC_m*TC_n*TC_b*SQRT(2*g_)*D649^1.5</f>
        <v>173.96992672665</v>
      </c>
      <c r="G649" s="29" t="n">
        <f aca="false">MAX(A649-SC_Z,0)</f>
        <v>6.44</v>
      </c>
      <c r="H649" s="30" t="n">
        <f aca="false">1-0.2*(SC_xmb+(SC_n-1)*SC_xmt)*G649/(SC_n*SC_b)</f>
        <v>0.81968</v>
      </c>
      <c r="I649" s="31" t="n">
        <f aca="false">SC_s*H649*SC_m*SC_n*SC_b*SQRT(2*g_)*G649^1.5</f>
        <v>133.507344948555</v>
      </c>
      <c r="J649" s="32" t="n">
        <f aca="false">F649+I649</f>
        <v>307.477271675205</v>
      </c>
      <c r="K649" s="32" t="n">
        <f aca="false">F649</f>
        <v>173.96992672665</v>
      </c>
      <c r="L649" s="32" t="n">
        <f aca="false">C649*1000000/dt_s+J649/2</f>
        <v>15558.0075247265</v>
      </c>
      <c r="M649" s="32" t="n">
        <f aca="false">C649*1000000/dt_s+K649/2</f>
        <v>15491.2538522522</v>
      </c>
    </row>
    <row r="650" customFormat="false" ht="15" hidden="false" customHeight="false" outlineLevel="0" collapsed="false">
      <c r="A650" s="24" t="n">
        <f aca="false">ROUND(A649+0.01,2)</f>
        <v>77.45</v>
      </c>
      <c r="B650" s="25" t="n">
        <f aca="false">INDEX(Bang_F,MATCH(A650,Bang_Z,1))+(A650-INDEX(Bang_Z,MATCH(A650,Bang_Z,1)))*(INDEX(Bang_F,MATCH(A650,Bang_Z,1)+1)-INDEX(Bang_F,MATCH(A650,Bang_Z,1)))</f>
        <v>7.6295</v>
      </c>
      <c r="C650" s="25" t="n">
        <f aca="false">INDEX(Bang_W,MATCH(A650,Bang_Z,1))+(A650-INDEX(Bang_Z,MATCH(A650,Bang_Z,1)))*(INDEX(Bang_F,MATCH(A650,Bang_Z,1))+B650)/2</f>
        <v>55.5316375</v>
      </c>
      <c r="D650" s="26" t="n">
        <f aca="false">MAX(A650-TC_Z,0)</f>
        <v>2.75</v>
      </c>
      <c r="E650" s="27" t="n">
        <f aca="false">1-0.2*(TC_xmb+(TC_n-1)*TC_xmt)*D650/(TC_n*TC_b)</f>
        <v>0.890509259259259</v>
      </c>
      <c r="F650" s="28" t="n">
        <f aca="false">TC_s*E650*TC_m*TC_n*TC_b*SQRT(2*g_)*D650^1.5</f>
        <v>174.845011786595</v>
      </c>
      <c r="G650" s="29" t="n">
        <f aca="false">MAX(A650-SC_Z,0)</f>
        <v>6.45</v>
      </c>
      <c r="H650" s="30" t="n">
        <f aca="false">1-0.2*(SC_xmb+(SC_n-1)*SC_xmt)*G650/(SC_n*SC_b)</f>
        <v>0.8194</v>
      </c>
      <c r="I650" s="31" t="n">
        <f aca="false">SC_s*H650*SC_m*SC_n*SC_b*SQRT(2*g_)*G650^1.5</f>
        <v>133.772718009225</v>
      </c>
      <c r="J650" s="32" t="n">
        <f aca="false">F650+I650</f>
        <v>308.617729795821</v>
      </c>
      <c r="K650" s="32" t="n">
        <f aca="false">F650</f>
        <v>174.845011786595</v>
      </c>
      <c r="L650" s="32" t="n">
        <f aca="false">C650*1000000/dt_s+J650/2</f>
        <v>15579.763726009</v>
      </c>
      <c r="M650" s="32" t="n">
        <f aca="false">C650*1000000/dt_s+K650/2</f>
        <v>15512.8773670044</v>
      </c>
    </row>
    <row r="651" customFormat="false" ht="15" hidden="false" customHeight="false" outlineLevel="0" collapsed="false">
      <c r="A651" s="24" t="n">
        <f aca="false">ROUND(A650+0.01,2)</f>
        <v>77.46</v>
      </c>
      <c r="B651" s="25" t="n">
        <f aca="false">INDEX(Bang_F,MATCH(A651,Bang_Z,1))+(A651-INDEX(Bang_Z,MATCH(A651,Bang_Z,1)))*(INDEX(Bang_F,MATCH(A651,Bang_Z,1)+1)-INDEX(Bang_F,MATCH(A651,Bang_Z,1)))</f>
        <v>7.6346</v>
      </c>
      <c r="C651" s="25" t="n">
        <f aca="false">INDEX(Bang_W,MATCH(A651,Bang_Z,1))+(A651-INDEX(Bang_Z,MATCH(A651,Bang_Z,1)))*(INDEX(Bang_F,MATCH(A651,Bang_Z,1))+B651)/2</f>
        <v>55.607958</v>
      </c>
      <c r="D651" s="26" t="n">
        <f aca="false">MAX(A651-TC_Z,0)</f>
        <v>2.75999999999999</v>
      </c>
      <c r="E651" s="27" t="n">
        <f aca="false">1-0.2*(TC_xmb+(TC_n-1)*TC_xmt)*D651/(TC_n*TC_b)</f>
        <v>0.890111111111112</v>
      </c>
      <c r="F651" s="28" t="n">
        <f aca="false">TC_s*E651*TC_m*TC_n*TC_b*SQRT(2*g_)*D651^1.5</f>
        <v>175.720978046838</v>
      </c>
      <c r="G651" s="29" t="n">
        <f aca="false">MAX(A651-SC_Z,0)</f>
        <v>6.45999999999999</v>
      </c>
      <c r="H651" s="30" t="n">
        <f aca="false">1-0.2*(SC_xmb+(SC_n-1)*SC_xmt)*G651/(SC_n*SC_b)</f>
        <v>0.81912</v>
      </c>
      <c r="I651" s="31" t="n">
        <f aca="false">SC_s*H651*SC_m*SC_n*SC_b*SQRT(2*g_)*G651^1.5</f>
        <v>134.038119618575</v>
      </c>
      <c r="J651" s="32" t="n">
        <f aca="false">F651+I651</f>
        <v>309.759097665414</v>
      </c>
      <c r="K651" s="32" t="n">
        <f aca="false">F651</f>
        <v>175.720978046838</v>
      </c>
      <c r="L651" s="32" t="n">
        <f aca="false">C651*1000000/dt_s+J651/2</f>
        <v>15601.5345488327</v>
      </c>
      <c r="M651" s="32" t="n">
        <f aca="false">C651*1000000/dt_s+K651/2</f>
        <v>15534.5154890234</v>
      </c>
    </row>
    <row r="652" customFormat="false" ht="15" hidden="false" customHeight="false" outlineLevel="0" collapsed="false">
      <c r="A652" s="24" t="n">
        <f aca="false">ROUND(A651+0.01,2)</f>
        <v>77.47</v>
      </c>
      <c r="B652" s="25" t="n">
        <f aca="false">INDEX(Bang_F,MATCH(A652,Bang_Z,1))+(A652-INDEX(Bang_Z,MATCH(A652,Bang_Z,1)))*(INDEX(Bang_F,MATCH(A652,Bang_Z,1)+1)-INDEX(Bang_F,MATCH(A652,Bang_Z,1)))</f>
        <v>7.6397</v>
      </c>
      <c r="C652" s="25" t="n">
        <f aca="false">INDEX(Bang_W,MATCH(A652,Bang_Z,1))+(A652-INDEX(Bang_Z,MATCH(A652,Bang_Z,1)))*(INDEX(Bang_F,MATCH(A652,Bang_Z,1))+B652)/2</f>
        <v>55.6843295</v>
      </c>
      <c r="D652" s="26" t="n">
        <f aca="false">MAX(A652-TC_Z,0)</f>
        <v>2.77</v>
      </c>
      <c r="E652" s="27" t="n">
        <f aca="false">1-0.2*(TC_xmb+(TC_n-1)*TC_xmt)*D652/(TC_n*TC_b)</f>
        <v>0.889712962962963</v>
      </c>
      <c r="F652" s="28" t="n">
        <f aca="false">TC_s*E652*TC_m*TC_n*TC_b*SQRT(2*g_)*D652^1.5</f>
        <v>176.5978200402</v>
      </c>
      <c r="G652" s="29" t="n">
        <f aca="false">MAX(A652-SC_Z,0)</f>
        <v>6.47</v>
      </c>
      <c r="H652" s="30" t="n">
        <f aca="false">1-0.2*(SC_xmb+(SC_n-1)*SC_xmt)*G652/(SC_n*SC_b)</f>
        <v>0.81884</v>
      </c>
      <c r="I652" s="31" t="n">
        <f aca="false">SC_s*H652*SC_m*SC_n*SC_b*SQRT(2*g_)*G652^1.5</f>
        <v>134.303549342778</v>
      </c>
      <c r="J652" s="32" t="n">
        <f aca="false">F652+I652</f>
        <v>310.901369382978</v>
      </c>
      <c r="K652" s="32" t="n">
        <f aca="false">F652</f>
        <v>176.5978200402</v>
      </c>
      <c r="L652" s="32" t="n">
        <f aca="false">C652*1000000/dt_s+J652/2</f>
        <v>15623.319990247</v>
      </c>
      <c r="M652" s="32" t="n">
        <f aca="false">C652*1000000/dt_s+K652/2</f>
        <v>15556.1682155757</v>
      </c>
    </row>
    <row r="653" customFormat="false" ht="15" hidden="false" customHeight="false" outlineLevel="0" collapsed="false">
      <c r="A653" s="24" t="n">
        <f aca="false">ROUND(A652+0.01,2)</f>
        <v>77.48</v>
      </c>
      <c r="B653" s="25" t="n">
        <f aca="false">INDEX(Bang_F,MATCH(A653,Bang_Z,1))+(A653-INDEX(Bang_Z,MATCH(A653,Bang_Z,1)))*(INDEX(Bang_F,MATCH(A653,Bang_Z,1)+1)-INDEX(Bang_F,MATCH(A653,Bang_Z,1)))</f>
        <v>7.6448</v>
      </c>
      <c r="C653" s="25" t="n">
        <f aca="false">INDEX(Bang_W,MATCH(A653,Bang_Z,1))+(A653-INDEX(Bang_Z,MATCH(A653,Bang_Z,1)))*(INDEX(Bang_F,MATCH(A653,Bang_Z,1))+B653)/2</f>
        <v>55.760752</v>
      </c>
      <c r="D653" s="26" t="n">
        <f aca="false">MAX(A653-TC_Z,0)</f>
        <v>2.78</v>
      </c>
      <c r="E653" s="27" t="n">
        <f aca="false">1-0.2*(TC_xmb+(TC_n-1)*TC_xmt)*D653/(TC_n*TC_b)</f>
        <v>0.889314814814815</v>
      </c>
      <c r="F653" s="28" t="n">
        <f aca="false">TC_s*E653*TC_m*TC_n*TC_b*SQRT(2*g_)*D653^1.5</f>
        <v>177.475532322139</v>
      </c>
      <c r="G653" s="29" t="n">
        <f aca="false">MAX(A653-SC_Z,0)</f>
        <v>6.48</v>
      </c>
      <c r="H653" s="30" t="n">
        <f aca="false">1-0.2*(SC_xmb+(SC_n-1)*SC_xmt)*G653/(SC_n*SC_b)</f>
        <v>0.81856</v>
      </c>
      <c r="I653" s="31" t="n">
        <f aca="false">SC_s*H653*SC_m*SC_n*SC_b*SQRT(2*g_)*G653^1.5</f>
        <v>134.569006748692</v>
      </c>
      <c r="J653" s="32" t="n">
        <f aca="false">F653+I653</f>
        <v>312.044539070831</v>
      </c>
      <c r="K653" s="32" t="n">
        <f aca="false">F653</f>
        <v>177.475532322139</v>
      </c>
      <c r="L653" s="32" t="n">
        <f aca="false">C653*1000000/dt_s+J653/2</f>
        <v>15645.1200473132</v>
      </c>
      <c r="M653" s="32" t="n">
        <f aca="false">C653*1000000/dt_s+K653/2</f>
        <v>15577.8355439389</v>
      </c>
    </row>
    <row r="654" customFormat="false" ht="15" hidden="false" customHeight="false" outlineLevel="0" collapsed="false">
      <c r="A654" s="24" t="n">
        <f aca="false">ROUND(A653+0.01,2)</f>
        <v>77.49</v>
      </c>
      <c r="B654" s="25" t="n">
        <f aca="false">INDEX(Bang_F,MATCH(A654,Bang_Z,1))+(A654-INDEX(Bang_Z,MATCH(A654,Bang_Z,1)))*(INDEX(Bang_F,MATCH(A654,Bang_Z,1)+1)-INDEX(Bang_F,MATCH(A654,Bang_Z,1)))</f>
        <v>7.6499</v>
      </c>
      <c r="C654" s="25" t="n">
        <f aca="false">INDEX(Bang_W,MATCH(A654,Bang_Z,1))+(A654-INDEX(Bang_Z,MATCH(A654,Bang_Z,1)))*(INDEX(Bang_F,MATCH(A654,Bang_Z,1))+B654)/2</f>
        <v>55.8372255</v>
      </c>
      <c r="D654" s="26" t="n">
        <f aca="false">MAX(A654-TC_Z,0)</f>
        <v>2.78999999999999</v>
      </c>
      <c r="E654" s="27" t="n">
        <f aca="false">1-0.2*(TC_xmb+(TC_n-1)*TC_xmt)*D654/(TC_n*TC_b)</f>
        <v>0.888916666666667</v>
      </c>
      <c r="F654" s="28" t="n">
        <f aca="false">TC_s*E654*TC_m*TC_n*TC_b*SQRT(2*g_)*D654^1.5</f>
        <v>178.354109470566</v>
      </c>
      <c r="G654" s="29" t="n">
        <f aca="false">MAX(A654-SC_Z,0)</f>
        <v>6.49</v>
      </c>
      <c r="H654" s="30" t="n">
        <f aca="false">1-0.2*(SC_xmb+(SC_n-1)*SC_xmt)*G654/(SC_n*SC_b)</f>
        <v>0.81828</v>
      </c>
      <c r="I654" s="31" t="n">
        <f aca="false">SC_s*H654*SC_m*SC_n*SC_b*SQRT(2*g_)*G654^1.5</f>
        <v>134.834491403863</v>
      </c>
      <c r="J654" s="32" t="n">
        <f aca="false">F654+I654</f>
        <v>313.188600874429</v>
      </c>
      <c r="K654" s="32" t="n">
        <f aca="false">F654</f>
        <v>178.354109470566</v>
      </c>
      <c r="L654" s="32" t="n">
        <f aca="false">C654*1000000/dt_s+J654/2</f>
        <v>15666.9347171039</v>
      </c>
      <c r="M654" s="32" t="n">
        <f aca="false">C654*1000000/dt_s+K654/2</f>
        <v>15599.5174714019</v>
      </c>
    </row>
    <row r="655" customFormat="false" ht="15" hidden="false" customHeight="false" outlineLevel="0" collapsed="false">
      <c r="A655" s="24" t="n">
        <f aca="false">ROUND(A654+0.01,2)</f>
        <v>77.5</v>
      </c>
      <c r="B655" s="25" t="n">
        <f aca="false">INDEX(Bang_F,MATCH(A655,Bang_Z,1))+(A655-INDEX(Bang_Z,MATCH(A655,Bang_Z,1)))*(INDEX(Bang_F,MATCH(A655,Bang_Z,1)+1)-INDEX(Bang_F,MATCH(A655,Bang_Z,1)))</f>
        <v>7.655</v>
      </c>
      <c r="C655" s="25" t="n">
        <f aca="false">INDEX(Bang_W,MATCH(A655,Bang_Z,1))+(A655-INDEX(Bang_Z,MATCH(A655,Bang_Z,1)))*(INDEX(Bang_F,MATCH(A655,Bang_Z,1))+B655)/2</f>
        <v>55.91375</v>
      </c>
      <c r="D655" s="26" t="n">
        <f aca="false">MAX(A655-TC_Z,0)</f>
        <v>2.8</v>
      </c>
      <c r="E655" s="27" t="n">
        <f aca="false">1-0.2*(TC_xmb+(TC_n-1)*TC_xmt)*D655/(TC_n*TC_b)</f>
        <v>0.888518518518519</v>
      </c>
      <c r="F655" s="28" t="n">
        <f aca="false">TC_s*E655*TC_m*TC_n*TC_b*SQRT(2*g_)*D655^1.5</f>
        <v>179.233546085657</v>
      </c>
      <c r="G655" s="29" t="n">
        <f aca="false">MAX(A655-SC_Z,0)</f>
        <v>6.5</v>
      </c>
      <c r="H655" s="30" t="n">
        <f aca="false">1-0.2*(SC_xmb+(SC_n-1)*SC_xmt)*G655/(SC_n*SC_b)</f>
        <v>0.818</v>
      </c>
      <c r="I655" s="31" t="n">
        <f aca="false">SC_s*H655*SC_m*SC_n*SC_b*SQRT(2*g_)*G655^1.5</f>
        <v>135.10000287652</v>
      </c>
      <c r="J655" s="32" t="n">
        <f aca="false">F655+I655</f>
        <v>314.333548962176</v>
      </c>
      <c r="K655" s="32" t="n">
        <f aca="false">F655</f>
        <v>179.233546085657</v>
      </c>
      <c r="L655" s="32" t="n">
        <f aca="false">C655*1000000/dt_s+J655/2</f>
        <v>15688.7639967033</v>
      </c>
      <c r="M655" s="32" t="n">
        <f aca="false">C655*1000000/dt_s+K655/2</f>
        <v>15621.2139952651</v>
      </c>
    </row>
    <row r="656" customFormat="false" ht="15" hidden="false" customHeight="false" outlineLevel="0" collapsed="false">
      <c r="A656" s="24" t="n">
        <f aca="false">ROUND(A655+0.01,2)</f>
        <v>77.51</v>
      </c>
      <c r="B656" s="25" t="n">
        <f aca="false">INDEX(Bang_F,MATCH(A656,Bang_Z,1))+(A656-INDEX(Bang_Z,MATCH(A656,Bang_Z,1)))*(INDEX(Bang_F,MATCH(A656,Bang_Z,1)+1)-INDEX(Bang_F,MATCH(A656,Bang_Z,1)))</f>
        <v>7.6601</v>
      </c>
      <c r="C656" s="25" t="n">
        <f aca="false">INDEX(Bang_W,MATCH(A656,Bang_Z,1))+(A656-INDEX(Bang_Z,MATCH(A656,Bang_Z,1)))*(INDEX(Bang_F,MATCH(A656,Bang_Z,1))+B656)/2</f>
        <v>55.9903255</v>
      </c>
      <c r="D656" s="26" t="n">
        <f aca="false">MAX(A656-TC_Z,0)</f>
        <v>2.81</v>
      </c>
      <c r="E656" s="27" t="n">
        <f aca="false">1-0.2*(TC_xmb+(TC_n-1)*TC_xmt)*D656/(TC_n*TC_b)</f>
        <v>0.88812037037037</v>
      </c>
      <c r="F656" s="28" t="n">
        <f aca="false">TC_s*E656*TC_m*TC_n*TC_b*SQRT(2*g_)*D656^1.5</f>
        <v>180.113836789657</v>
      </c>
      <c r="G656" s="29" t="n">
        <f aca="false">MAX(A656-SC_Z,0)</f>
        <v>6.51000000000001</v>
      </c>
      <c r="H656" s="30" t="n">
        <f aca="false">1-0.2*(SC_xmb+(SC_n-1)*SC_xmt)*G656/(SC_n*SC_b)</f>
        <v>0.81772</v>
      </c>
      <c r="I656" s="31" t="n">
        <f aca="false">SC_s*H656*SC_m*SC_n*SC_b*SQRT(2*g_)*G656^1.5</f>
        <v>135.36554073557</v>
      </c>
      <c r="J656" s="32" t="n">
        <f aca="false">F656+I656</f>
        <v>315.479377525228</v>
      </c>
      <c r="K656" s="32" t="n">
        <f aca="false">F656</f>
        <v>180.113836789657</v>
      </c>
      <c r="L656" s="32" t="n">
        <f aca="false">C656*1000000/dt_s+J656/2</f>
        <v>15710.6078832071</v>
      </c>
      <c r="M656" s="32" t="n">
        <f aca="false">C656*1000000/dt_s+K656/2</f>
        <v>15642.9251128393</v>
      </c>
    </row>
    <row r="657" customFormat="false" ht="15" hidden="false" customHeight="false" outlineLevel="0" collapsed="false">
      <c r="A657" s="24" t="n">
        <f aca="false">ROUND(A656+0.01,2)</f>
        <v>77.52</v>
      </c>
      <c r="B657" s="25" t="n">
        <f aca="false">INDEX(Bang_F,MATCH(A657,Bang_Z,1))+(A657-INDEX(Bang_Z,MATCH(A657,Bang_Z,1)))*(INDEX(Bang_F,MATCH(A657,Bang_Z,1)+1)-INDEX(Bang_F,MATCH(A657,Bang_Z,1)))</f>
        <v>7.6652</v>
      </c>
      <c r="C657" s="25" t="n">
        <f aca="false">INDEX(Bang_W,MATCH(A657,Bang_Z,1))+(A657-INDEX(Bang_Z,MATCH(A657,Bang_Z,1)))*(INDEX(Bang_F,MATCH(A657,Bang_Z,1))+B657)/2</f>
        <v>56.066952</v>
      </c>
      <c r="D657" s="26" t="n">
        <f aca="false">MAX(A657-TC_Z,0)</f>
        <v>2.81999999999999</v>
      </c>
      <c r="E657" s="27" t="n">
        <f aca="false">1-0.2*(TC_xmb+(TC_n-1)*TC_xmt)*D657/(TC_n*TC_b)</f>
        <v>0.887722222222223</v>
      </c>
      <c r="F657" s="28" t="n">
        <f aca="false">TC_s*E657*TC_m*TC_n*TC_b*SQRT(2*g_)*D657^1.5</f>
        <v>180.994976226706</v>
      </c>
      <c r="G657" s="29" t="n">
        <f aca="false">MAX(A657-SC_Z,0)</f>
        <v>6.52</v>
      </c>
      <c r="H657" s="30" t="n">
        <f aca="false">1-0.2*(SC_xmb+(SC_n-1)*SC_xmt)*G657/(SC_n*SC_b)</f>
        <v>0.81744</v>
      </c>
      <c r="I657" s="31" t="n">
        <f aca="false">SC_s*H657*SC_m*SC_n*SC_b*SQRT(2*g_)*G657^1.5</f>
        <v>135.631104550602</v>
      </c>
      <c r="J657" s="32" t="n">
        <f aca="false">F657+I657</f>
        <v>316.626080777308</v>
      </c>
      <c r="K657" s="32" t="n">
        <f aca="false">F657</f>
        <v>180.994976226706</v>
      </c>
      <c r="L657" s="32" t="n">
        <f aca="false">C657*1000000/dt_s+J657/2</f>
        <v>15732.466373722</v>
      </c>
      <c r="M657" s="32" t="n">
        <f aca="false">C657*1000000/dt_s+K657/2</f>
        <v>15664.6508214467</v>
      </c>
    </row>
    <row r="658" customFormat="false" ht="15" hidden="false" customHeight="false" outlineLevel="0" collapsed="false">
      <c r="A658" s="24" t="n">
        <f aca="false">ROUND(A657+0.01,2)</f>
        <v>77.53</v>
      </c>
      <c r="B658" s="25" t="n">
        <f aca="false">INDEX(Bang_F,MATCH(A658,Bang_Z,1))+(A658-INDEX(Bang_Z,MATCH(A658,Bang_Z,1)))*(INDEX(Bang_F,MATCH(A658,Bang_Z,1)+1)-INDEX(Bang_F,MATCH(A658,Bang_Z,1)))</f>
        <v>7.6703</v>
      </c>
      <c r="C658" s="25" t="n">
        <f aca="false">INDEX(Bang_W,MATCH(A658,Bang_Z,1))+(A658-INDEX(Bang_Z,MATCH(A658,Bang_Z,1)))*(INDEX(Bang_F,MATCH(A658,Bang_Z,1))+B658)/2</f>
        <v>56.1436295</v>
      </c>
      <c r="D658" s="26" t="n">
        <f aca="false">MAX(A658-TC_Z,0)</f>
        <v>2.83</v>
      </c>
      <c r="E658" s="27" t="n">
        <f aca="false">1-0.2*(TC_xmb+(TC_n-1)*TC_xmt)*D658/(TC_n*TC_b)</f>
        <v>0.887324074074074</v>
      </c>
      <c r="F658" s="28" t="n">
        <f aca="false">TC_s*E658*TC_m*TC_n*TC_b*SQRT(2*g_)*D658^1.5</f>
        <v>181.876959062653</v>
      </c>
      <c r="G658" s="29" t="n">
        <f aca="false">MAX(A658-SC_Z,0)</f>
        <v>6.53</v>
      </c>
      <c r="H658" s="30" t="n">
        <f aca="false">1-0.2*(SC_xmb+(SC_n-1)*SC_xmt)*G658/(SC_n*SC_b)</f>
        <v>0.81716</v>
      </c>
      <c r="I658" s="31" t="n">
        <f aca="false">SC_s*H658*SC_m*SC_n*SC_b*SQRT(2*g_)*G658^1.5</f>
        <v>135.896693891878</v>
      </c>
      <c r="J658" s="32" t="n">
        <f aca="false">F658+I658</f>
        <v>317.773652954531</v>
      </c>
      <c r="K658" s="32" t="n">
        <f aca="false">F658</f>
        <v>181.876959062653</v>
      </c>
      <c r="L658" s="32" t="n">
        <f aca="false">C658*1000000/dt_s+J658/2</f>
        <v>15754.3394653662</v>
      </c>
      <c r="M658" s="32" t="n">
        <f aca="false">C658*1000000/dt_s+K658/2</f>
        <v>15686.3911184202</v>
      </c>
    </row>
    <row r="659" customFormat="false" ht="15" hidden="false" customHeight="false" outlineLevel="0" collapsed="false">
      <c r="A659" s="24" t="n">
        <f aca="false">ROUND(A658+0.01,2)</f>
        <v>77.54</v>
      </c>
      <c r="B659" s="25" t="n">
        <f aca="false">INDEX(Bang_F,MATCH(A659,Bang_Z,1))+(A659-INDEX(Bang_Z,MATCH(A659,Bang_Z,1)))*(INDEX(Bang_F,MATCH(A659,Bang_Z,1)+1)-INDEX(Bang_F,MATCH(A659,Bang_Z,1)))</f>
        <v>7.6754</v>
      </c>
      <c r="C659" s="25" t="n">
        <f aca="false">INDEX(Bang_W,MATCH(A659,Bang_Z,1))+(A659-INDEX(Bang_Z,MATCH(A659,Bang_Z,1)))*(INDEX(Bang_F,MATCH(A659,Bang_Z,1))+B659)/2</f>
        <v>56.2203580000001</v>
      </c>
      <c r="D659" s="26" t="n">
        <f aca="false">MAX(A659-TC_Z,0)</f>
        <v>2.84</v>
      </c>
      <c r="E659" s="27" t="n">
        <f aca="false">1-0.2*(TC_xmb+(TC_n-1)*TC_xmt)*D659/(TC_n*TC_b)</f>
        <v>0.886925925925926</v>
      </c>
      <c r="F659" s="28" t="n">
        <f aca="false">TC_s*E659*TC_m*TC_n*TC_b*SQRT(2*g_)*D659^1.5</f>
        <v>182.759779984874</v>
      </c>
      <c r="G659" s="29" t="n">
        <f aca="false">MAX(A659-SC_Z,0)</f>
        <v>6.54000000000001</v>
      </c>
      <c r="H659" s="30" t="n">
        <f aca="false">1-0.2*(SC_xmb+(SC_n-1)*SC_xmt)*G659/(SC_n*SC_b)</f>
        <v>0.81688</v>
      </c>
      <c r="I659" s="31" t="n">
        <f aca="false">SC_s*H659*SC_m*SC_n*SC_b*SQRT(2*g_)*G659^1.5</f>
        <v>136.162308330336</v>
      </c>
      <c r="J659" s="32" t="n">
        <f aca="false">F659+I659</f>
        <v>318.92208831521</v>
      </c>
      <c r="K659" s="32" t="n">
        <f aca="false">F659</f>
        <v>182.759779984874</v>
      </c>
      <c r="L659" s="32" t="n">
        <f aca="false">C659*1000000/dt_s+J659/2</f>
        <v>15776.2271552687</v>
      </c>
      <c r="M659" s="32" t="n">
        <f aca="false">C659*1000000/dt_s+K659/2</f>
        <v>15708.1460011036</v>
      </c>
    </row>
    <row r="660" customFormat="false" ht="15" hidden="false" customHeight="false" outlineLevel="0" collapsed="false">
      <c r="A660" s="24" t="n">
        <f aca="false">ROUND(A659+0.01,2)</f>
        <v>77.55</v>
      </c>
      <c r="B660" s="25" t="n">
        <f aca="false">INDEX(Bang_F,MATCH(A660,Bang_Z,1))+(A660-INDEX(Bang_Z,MATCH(A660,Bang_Z,1)))*(INDEX(Bang_F,MATCH(A660,Bang_Z,1)+1)-INDEX(Bang_F,MATCH(A660,Bang_Z,1)))</f>
        <v>7.6805</v>
      </c>
      <c r="C660" s="25" t="n">
        <f aca="false">INDEX(Bang_W,MATCH(A660,Bang_Z,1))+(A660-INDEX(Bang_Z,MATCH(A660,Bang_Z,1)))*(INDEX(Bang_F,MATCH(A660,Bang_Z,1))+B660)/2</f>
        <v>56.2971375</v>
      </c>
      <c r="D660" s="26" t="n">
        <f aca="false">MAX(A660-TC_Z,0)</f>
        <v>2.84999999999999</v>
      </c>
      <c r="E660" s="27" t="n">
        <f aca="false">1-0.2*(TC_xmb+(TC_n-1)*TC_xmt)*D660/(TC_n*TC_b)</f>
        <v>0.886527777777778</v>
      </c>
      <c r="F660" s="28" t="n">
        <f aca="false">TC_s*E660*TC_m*TC_n*TC_b*SQRT(2*g_)*D660^1.5</f>
        <v>183.643433702095</v>
      </c>
      <c r="G660" s="29" t="n">
        <f aca="false">MAX(A660-SC_Z,0)</f>
        <v>6.55</v>
      </c>
      <c r="H660" s="30" t="n">
        <f aca="false">1-0.2*(SC_xmb+(SC_n-1)*SC_xmt)*G660/(SC_n*SC_b)</f>
        <v>0.8166</v>
      </c>
      <c r="I660" s="31" t="n">
        <f aca="false">SC_s*H660*SC_m*SC_n*SC_b*SQRT(2*g_)*G660^1.5</f>
        <v>136.427947437582</v>
      </c>
      <c r="J660" s="32" t="n">
        <f aca="false">F660+I660</f>
        <v>320.071381139677</v>
      </c>
      <c r="K660" s="32" t="n">
        <f aca="false">F660</f>
        <v>183.643433702095</v>
      </c>
      <c r="L660" s="32" t="n">
        <f aca="false">C660*1000000/dt_s+J660/2</f>
        <v>15798.1294405698</v>
      </c>
      <c r="M660" s="32" t="n">
        <f aca="false">C660*1000000/dt_s+K660/2</f>
        <v>15729.915466851</v>
      </c>
    </row>
    <row r="661" customFormat="false" ht="15" hidden="false" customHeight="false" outlineLevel="0" collapsed="false">
      <c r="A661" s="24" t="n">
        <f aca="false">ROUND(A660+0.01,2)</f>
        <v>77.56</v>
      </c>
      <c r="B661" s="25" t="n">
        <f aca="false">INDEX(Bang_F,MATCH(A661,Bang_Z,1))+(A661-INDEX(Bang_Z,MATCH(A661,Bang_Z,1)))*(INDEX(Bang_F,MATCH(A661,Bang_Z,1)+1)-INDEX(Bang_F,MATCH(A661,Bang_Z,1)))</f>
        <v>7.6856</v>
      </c>
      <c r="C661" s="25" t="n">
        <f aca="false">INDEX(Bang_W,MATCH(A661,Bang_Z,1))+(A661-INDEX(Bang_Z,MATCH(A661,Bang_Z,1)))*(INDEX(Bang_F,MATCH(A661,Bang_Z,1))+B661)/2</f>
        <v>56.373968</v>
      </c>
      <c r="D661" s="26" t="n">
        <f aca="false">MAX(A661-TC_Z,0)</f>
        <v>2.86</v>
      </c>
      <c r="E661" s="27" t="n">
        <f aca="false">1-0.2*(TC_xmb+(TC_n-1)*TC_xmt)*D661/(TC_n*TC_b)</f>
        <v>0.88612962962963</v>
      </c>
      <c r="F661" s="28" t="n">
        <f aca="false">TC_s*E661*TC_m*TC_n*TC_b*SQRT(2*g_)*D661^1.5</f>
        <v>184.527914944222</v>
      </c>
      <c r="G661" s="29" t="n">
        <f aca="false">MAX(A661-SC_Z,0)</f>
        <v>6.56</v>
      </c>
      <c r="H661" s="30" t="n">
        <f aca="false">1-0.2*(SC_xmb+(SC_n-1)*SC_xmt)*G661/(SC_n*SC_b)</f>
        <v>0.81632</v>
      </c>
      <c r="I661" s="31" t="n">
        <f aca="false">SC_s*H661*SC_m*SC_n*SC_b*SQRT(2*g_)*G661^1.5</f>
        <v>136.693610785896</v>
      </c>
      <c r="J661" s="32" t="n">
        <f aca="false">F661+I661</f>
        <v>321.221525730118</v>
      </c>
      <c r="K661" s="32" t="n">
        <f aca="false">F661</f>
        <v>184.527914944222</v>
      </c>
      <c r="L661" s="32" t="n">
        <f aca="false">C661*1000000/dt_s+J661/2</f>
        <v>15820.0463184206</v>
      </c>
      <c r="M661" s="32" t="n">
        <f aca="false">C661*1000000/dt_s+K661/2</f>
        <v>15751.6995130277</v>
      </c>
    </row>
    <row r="662" customFormat="false" ht="15" hidden="false" customHeight="false" outlineLevel="0" collapsed="false">
      <c r="A662" s="24" t="n">
        <f aca="false">ROUND(A661+0.01,2)</f>
        <v>77.57</v>
      </c>
      <c r="B662" s="25" t="n">
        <f aca="false">INDEX(Bang_F,MATCH(A662,Bang_Z,1))+(A662-INDEX(Bang_Z,MATCH(A662,Bang_Z,1)))*(INDEX(Bang_F,MATCH(A662,Bang_Z,1)+1)-INDEX(Bang_F,MATCH(A662,Bang_Z,1)))</f>
        <v>7.6907</v>
      </c>
      <c r="C662" s="25" t="n">
        <f aca="false">INDEX(Bang_W,MATCH(A662,Bang_Z,1))+(A662-INDEX(Bang_Z,MATCH(A662,Bang_Z,1)))*(INDEX(Bang_F,MATCH(A662,Bang_Z,1))+B662)/2</f>
        <v>56.4508495</v>
      </c>
      <c r="D662" s="26" t="n">
        <f aca="false">MAX(A662-TC_Z,0)</f>
        <v>2.86999999999999</v>
      </c>
      <c r="E662" s="27" t="n">
        <f aca="false">1-0.2*(TC_xmb+(TC_n-1)*TC_xmt)*D662/(TC_n*TC_b)</f>
        <v>0.885731481481482</v>
      </c>
      <c r="F662" s="28" t="n">
        <f aca="false">TC_s*E662*TC_m*TC_n*TC_b*SQRT(2*g_)*D662^1.5</f>
        <v>185.413218462157</v>
      </c>
      <c r="G662" s="29" t="n">
        <f aca="false">MAX(A662-SC_Z,0)</f>
        <v>6.56999999999999</v>
      </c>
      <c r="H662" s="30" t="n">
        <f aca="false">1-0.2*(SC_xmb+(SC_n-1)*SC_xmt)*G662/(SC_n*SC_b)</f>
        <v>0.81604</v>
      </c>
      <c r="I662" s="31" t="n">
        <f aca="false">SC_s*H662*SC_m*SC_n*SC_b*SQRT(2*g_)*G662^1.5</f>
        <v>136.959297948219</v>
      </c>
      <c r="J662" s="32" t="n">
        <f aca="false">F662+I662</f>
        <v>322.372516410376</v>
      </c>
      <c r="K662" s="32" t="n">
        <f aca="false">F662</f>
        <v>185.413218462157</v>
      </c>
      <c r="L662" s="32" t="n">
        <f aca="false">C662*1000000/dt_s+J662/2</f>
        <v>15841.977785983</v>
      </c>
      <c r="M662" s="32" t="n">
        <f aca="false">C662*1000000/dt_s+K662/2</f>
        <v>15773.4981370088</v>
      </c>
    </row>
    <row r="663" customFormat="false" ht="15" hidden="false" customHeight="false" outlineLevel="0" collapsed="false">
      <c r="A663" s="24" t="n">
        <f aca="false">ROUND(A662+0.01,2)</f>
        <v>77.58</v>
      </c>
      <c r="B663" s="25" t="n">
        <f aca="false">INDEX(Bang_F,MATCH(A663,Bang_Z,1))+(A663-INDEX(Bang_Z,MATCH(A663,Bang_Z,1)))*(INDEX(Bang_F,MATCH(A663,Bang_Z,1)+1)-INDEX(Bang_F,MATCH(A663,Bang_Z,1)))</f>
        <v>7.6958</v>
      </c>
      <c r="C663" s="25" t="n">
        <f aca="false">INDEX(Bang_W,MATCH(A663,Bang_Z,1))+(A663-INDEX(Bang_Z,MATCH(A663,Bang_Z,1)))*(INDEX(Bang_F,MATCH(A663,Bang_Z,1))+B663)/2</f>
        <v>56.527782</v>
      </c>
      <c r="D663" s="26" t="n">
        <f aca="false">MAX(A663-TC_Z,0)</f>
        <v>2.88</v>
      </c>
      <c r="E663" s="27" t="n">
        <f aca="false">1-0.2*(TC_xmb+(TC_n-1)*TC_xmt)*D663/(TC_n*TC_b)</f>
        <v>0.885333333333334</v>
      </c>
      <c r="F663" s="28" t="n">
        <f aca="false">TC_s*E663*TC_m*TC_n*TC_b*SQRT(2*g_)*D663^1.5</f>
        <v>186.299339027639</v>
      </c>
      <c r="G663" s="29" t="n">
        <f aca="false">MAX(A663-SC_Z,0)</f>
        <v>6.58</v>
      </c>
      <c r="H663" s="30" t="n">
        <f aca="false">1-0.2*(SC_xmb+(SC_n-1)*SC_xmt)*G663/(SC_n*SC_b)</f>
        <v>0.81576</v>
      </c>
      <c r="I663" s="31" t="n">
        <f aca="false">SC_s*H663*SC_m*SC_n*SC_b*SQRT(2*g_)*G663^1.5</f>
        <v>137.22500849816</v>
      </c>
      <c r="J663" s="32" t="n">
        <f aca="false">F663+I663</f>
        <v>323.524347525799</v>
      </c>
      <c r="K663" s="32" t="n">
        <f aca="false">F663</f>
        <v>186.299339027639</v>
      </c>
      <c r="L663" s="32" t="n">
        <f aca="false">C663*1000000/dt_s+J663/2</f>
        <v>15863.9238404296</v>
      </c>
      <c r="M663" s="32" t="n">
        <f aca="false">C663*1000000/dt_s+K663/2</f>
        <v>15795.3113361805</v>
      </c>
    </row>
    <row r="664" customFormat="false" ht="15" hidden="false" customHeight="false" outlineLevel="0" collapsed="false">
      <c r="A664" s="24" t="n">
        <f aca="false">ROUND(A663+0.01,2)</f>
        <v>77.59</v>
      </c>
      <c r="B664" s="25" t="n">
        <f aca="false">INDEX(Bang_F,MATCH(A664,Bang_Z,1))+(A664-INDEX(Bang_Z,MATCH(A664,Bang_Z,1)))*(INDEX(Bang_F,MATCH(A664,Bang_Z,1)+1)-INDEX(Bang_F,MATCH(A664,Bang_Z,1)))</f>
        <v>7.7009</v>
      </c>
      <c r="C664" s="25" t="n">
        <f aca="false">INDEX(Bang_W,MATCH(A664,Bang_Z,1))+(A664-INDEX(Bang_Z,MATCH(A664,Bang_Z,1)))*(INDEX(Bang_F,MATCH(A664,Bang_Z,1))+B664)/2</f>
        <v>56.6047655</v>
      </c>
      <c r="D664" s="26" t="n">
        <f aca="false">MAX(A664-TC_Z,0)</f>
        <v>2.89</v>
      </c>
      <c r="E664" s="27" t="n">
        <f aca="false">1-0.2*(TC_xmb+(TC_n-1)*TC_xmt)*D664/(TC_n*TC_b)</f>
        <v>0.884935185185185</v>
      </c>
      <c r="F664" s="28" t="n">
        <f aca="false">TC_s*E664*TC_m*TC_n*TC_b*SQRT(2*g_)*D664^1.5</f>
        <v>187.186271433063</v>
      </c>
      <c r="G664" s="29" t="n">
        <f aca="false">MAX(A664-SC_Z,0)</f>
        <v>6.59</v>
      </c>
      <c r="H664" s="30" t="n">
        <f aca="false">1-0.2*(SC_xmb+(SC_n-1)*SC_xmt)*G664/(SC_n*SC_b)</f>
        <v>0.81548</v>
      </c>
      <c r="I664" s="31" t="n">
        <f aca="false">SC_s*H664*SC_m*SC_n*SC_b*SQRT(2*g_)*G664^1.5</f>
        <v>137.490742009989</v>
      </c>
      <c r="J664" s="32" t="n">
        <f aca="false">F664+I664</f>
        <v>324.677013443053</v>
      </c>
      <c r="K664" s="32" t="n">
        <f aca="false">F664</f>
        <v>187.186271433063</v>
      </c>
      <c r="L664" s="32" t="n">
        <f aca="false">C664*1000000/dt_s+J664/2</f>
        <v>15885.8844789438</v>
      </c>
      <c r="M664" s="32" t="n">
        <f aca="false">C664*1000000/dt_s+K664/2</f>
        <v>15817.1391079388</v>
      </c>
    </row>
    <row r="665" customFormat="false" ht="15" hidden="false" customHeight="false" outlineLevel="0" collapsed="false">
      <c r="A665" s="24" t="n">
        <f aca="false">ROUND(A664+0.01,2)</f>
        <v>77.6</v>
      </c>
      <c r="B665" s="25" t="n">
        <f aca="false">INDEX(Bang_F,MATCH(A665,Bang_Z,1))+(A665-INDEX(Bang_Z,MATCH(A665,Bang_Z,1)))*(INDEX(Bang_F,MATCH(A665,Bang_Z,1)+1)-INDEX(Bang_F,MATCH(A665,Bang_Z,1)))</f>
        <v>7.706</v>
      </c>
      <c r="C665" s="25" t="n">
        <f aca="false">INDEX(Bang_W,MATCH(A665,Bang_Z,1))+(A665-INDEX(Bang_Z,MATCH(A665,Bang_Z,1)))*(INDEX(Bang_F,MATCH(A665,Bang_Z,1))+B665)/2</f>
        <v>56.6818</v>
      </c>
      <c r="D665" s="26" t="n">
        <f aca="false">MAX(A665-TC_Z,0)</f>
        <v>2.89999999999999</v>
      </c>
      <c r="E665" s="27" t="n">
        <f aca="false">1-0.2*(TC_xmb+(TC_n-1)*TC_xmt)*D665/(TC_n*TC_b)</f>
        <v>0.884537037037037</v>
      </c>
      <c r="F665" s="28" t="n">
        <f aca="false">TC_s*E665*TC_m*TC_n*TC_b*SQRT(2*g_)*D665^1.5</f>
        <v>188.074010491318</v>
      </c>
      <c r="G665" s="29" t="n">
        <f aca="false">MAX(A665-SC_Z,0)</f>
        <v>6.59999999999999</v>
      </c>
      <c r="H665" s="30" t="n">
        <f aca="false">1-0.2*(SC_xmb+(SC_n-1)*SC_xmt)*G665/(SC_n*SC_b)</f>
        <v>0.8152</v>
      </c>
      <c r="I665" s="31" t="n">
        <f aca="false">SC_s*H665*SC_m*SC_n*SC_b*SQRT(2*g_)*G665^1.5</f>
        <v>137.756498058636</v>
      </c>
      <c r="J665" s="32" t="n">
        <f aca="false">F665+I665</f>
        <v>325.830508549954</v>
      </c>
      <c r="K665" s="32" t="n">
        <f aca="false">F665</f>
        <v>188.074010491318</v>
      </c>
      <c r="L665" s="32" t="n">
        <f aca="false">C665*1000000/dt_s+J665/2</f>
        <v>15907.8596987194</v>
      </c>
      <c r="M665" s="32" t="n">
        <f aca="false">C665*1000000/dt_s+K665/2</f>
        <v>15838.9814496901</v>
      </c>
    </row>
    <row r="666" customFormat="false" ht="15" hidden="false" customHeight="false" outlineLevel="0" collapsed="false">
      <c r="A666" s="24" t="n">
        <f aca="false">ROUND(A665+0.01,2)</f>
        <v>77.61</v>
      </c>
      <c r="B666" s="25" t="n">
        <f aca="false">INDEX(Bang_F,MATCH(A666,Bang_Z,1))+(A666-INDEX(Bang_Z,MATCH(A666,Bang_Z,1)))*(INDEX(Bang_F,MATCH(A666,Bang_Z,1)+1)-INDEX(Bang_F,MATCH(A666,Bang_Z,1)))</f>
        <v>7.7111</v>
      </c>
      <c r="C666" s="25" t="n">
        <f aca="false">INDEX(Bang_W,MATCH(A666,Bang_Z,1))+(A666-INDEX(Bang_Z,MATCH(A666,Bang_Z,1)))*(INDEX(Bang_F,MATCH(A666,Bang_Z,1))+B666)/2</f>
        <v>56.7588855</v>
      </c>
      <c r="D666" s="26" t="n">
        <f aca="false">MAX(A666-TC_Z,0)</f>
        <v>2.91</v>
      </c>
      <c r="E666" s="27" t="n">
        <f aca="false">1-0.2*(TC_xmb+(TC_n-1)*TC_xmt)*D666/(TC_n*TC_b)</f>
        <v>0.884138888888889</v>
      </c>
      <c r="F666" s="28" t="n">
        <f aca="false">TC_s*E666*TC_m*TC_n*TC_b*SQRT(2*g_)*D666^1.5</f>
        <v>188.962551035624</v>
      </c>
      <c r="G666" s="29" t="n">
        <f aca="false">MAX(A666-SC_Z,0)</f>
        <v>6.61</v>
      </c>
      <c r="H666" s="30" t="n">
        <f aca="false">1-0.2*(SC_xmb+(SC_n-1)*SC_xmt)*G666/(SC_n*SC_b)</f>
        <v>0.81492</v>
      </c>
      <c r="I666" s="31" t="n">
        <f aca="false">SC_s*H666*SC_m*SC_n*SC_b*SQRT(2*g_)*G666^1.5</f>
        <v>138.022276219688</v>
      </c>
      <c r="J666" s="32" t="n">
        <f aca="false">F666+I666</f>
        <v>326.984827255312</v>
      </c>
      <c r="K666" s="32" t="n">
        <f aca="false">F666</f>
        <v>188.962551035624</v>
      </c>
      <c r="L666" s="32" t="n">
        <f aca="false">C666*1000000/dt_s+J666/2</f>
        <v>15929.849496961</v>
      </c>
      <c r="M666" s="32" t="n">
        <f aca="false">C666*1000000/dt_s+K666/2</f>
        <v>15860.8383588511</v>
      </c>
    </row>
    <row r="667" customFormat="false" ht="15" hidden="false" customHeight="false" outlineLevel="0" collapsed="false">
      <c r="A667" s="24" t="n">
        <f aca="false">ROUND(A666+0.01,2)</f>
        <v>77.62</v>
      </c>
      <c r="B667" s="25" t="n">
        <f aca="false">INDEX(Bang_F,MATCH(A667,Bang_Z,1))+(A667-INDEX(Bang_Z,MATCH(A667,Bang_Z,1)))*(INDEX(Bang_F,MATCH(A667,Bang_Z,1)+1)-INDEX(Bang_F,MATCH(A667,Bang_Z,1)))</f>
        <v>7.7162</v>
      </c>
      <c r="C667" s="25" t="n">
        <f aca="false">INDEX(Bang_W,MATCH(A667,Bang_Z,1))+(A667-INDEX(Bang_Z,MATCH(A667,Bang_Z,1)))*(INDEX(Bang_F,MATCH(A667,Bang_Z,1))+B667)/2</f>
        <v>56.836022</v>
      </c>
      <c r="D667" s="26" t="n">
        <f aca="false">MAX(A667-TC_Z,0)</f>
        <v>2.92</v>
      </c>
      <c r="E667" s="27" t="n">
        <f aca="false">1-0.2*(TC_xmb+(TC_n-1)*TC_xmt)*D667/(TC_n*TC_b)</f>
        <v>0.883740740740741</v>
      </c>
      <c r="F667" s="28" t="n">
        <f aca="false">TC_s*E667*TC_m*TC_n*TC_b*SQRT(2*g_)*D667^1.5</f>
        <v>189.851887919362</v>
      </c>
      <c r="G667" s="29" t="n">
        <f aca="false">MAX(A667-SC_Z,0)</f>
        <v>6.62</v>
      </c>
      <c r="H667" s="30" t="n">
        <f aca="false">1-0.2*(SC_xmb+(SC_n-1)*SC_xmt)*G667/(SC_n*SC_b)</f>
        <v>0.81464</v>
      </c>
      <c r="I667" s="31" t="n">
        <f aca="false">SC_s*H667*SC_m*SC_n*SC_b*SQRT(2*g_)*G667^1.5</f>
        <v>138.288076069388</v>
      </c>
      <c r="J667" s="32" t="n">
        <f aca="false">F667+I667</f>
        <v>328.13996398875</v>
      </c>
      <c r="K667" s="32" t="n">
        <f aca="false">F667</f>
        <v>189.851887919362</v>
      </c>
      <c r="L667" s="32" t="n">
        <f aca="false">C667*1000000/dt_s+J667/2</f>
        <v>15951.8538708833</v>
      </c>
      <c r="M667" s="32" t="n">
        <f aca="false">C667*1000000/dt_s+K667/2</f>
        <v>15882.7098328486</v>
      </c>
    </row>
    <row r="668" customFormat="false" ht="15" hidden="false" customHeight="false" outlineLevel="0" collapsed="false">
      <c r="A668" s="24" t="n">
        <f aca="false">ROUND(A667+0.01,2)</f>
        <v>77.63</v>
      </c>
      <c r="B668" s="25" t="n">
        <f aca="false">INDEX(Bang_F,MATCH(A668,Bang_Z,1))+(A668-INDEX(Bang_Z,MATCH(A668,Bang_Z,1)))*(INDEX(Bang_F,MATCH(A668,Bang_Z,1)+1)-INDEX(Bang_F,MATCH(A668,Bang_Z,1)))</f>
        <v>7.7213</v>
      </c>
      <c r="C668" s="25" t="n">
        <f aca="false">INDEX(Bang_W,MATCH(A668,Bang_Z,1))+(A668-INDEX(Bang_Z,MATCH(A668,Bang_Z,1)))*(INDEX(Bang_F,MATCH(A668,Bang_Z,1))+B668)/2</f>
        <v>56.9132095</v>
      </c>
      <c r="D668" s="26" t="n">
        <f aca="false">MAX(A668-TC_Z,0)</f>
        <v>2.92999999999999</v>
      </c>
      <c r="E668" s="27" t="n">
        <f aca="false">1-0.2*(TC_xmb+(TC_n-1)*TC_xmt)*D668/(TC_n*TC_b)</f>
        <v>0.883342592592593</v>
      </c>
      <c r="F668" s="28" t="n">
        <f aca="false">TC_s*E668*TC_m*TC_n*TC_b*SQRT(2*g_)*D668^1.5</f>
        <v>190.742016015917</v>
      </c>
      <c r="G668" s="29" t="n">
        <f aca="false">MAX(A668-SC_Z,0)</f>
        <v>6.63</v>
      </c>
      <c r="H668" s="30" t="n">
        <f aca="false">1-0.2*(SC_xmb+(SC_n-1)*SC_xmt)*G668/(SC_n*SC_b)</f>
        <v>0.81436</v>
      </c>
      <c r="I668" s="31" t="n">
        <f aca="false">SC_s*H668*SC_m*SC_n*SC_b*SQRT(2*g_)*G668^1.5</f>
        <v>138.55389718463</v>
      </c>
      <c r="J668" s="32" t="n">
        <f aca="false">F668+I668</f>
        <v>329.295913200547</v>
      </c>
      <c r="K668" s="32" t="n">
        <f aca="false">F668</f>
        <v>190.742016015917</v>
      </c>
      <c r="L668" s="32" t="n">
        <f aca="false">C668*1000000/dt_s+J668/2</f>
        <v>15973.8728177114</v>
      </c>
      <c r="M668" s="32" t="n">
        <f aca="false">C668*1000000/dt_s+K668/2</f>
        <v>15904.5958691191</v>
      </c>
    </row>
    <row r="669" customFormat="false" ht="15" hidden="false" customHeight="false" outlineLevel="0" collapsed="false">
      <c r="A669" s="24" t="n">
        <f aca="false">ROUND(A668+0.01,2)</f>
        <v>77.64</v>
      </c>
      <c r="B669" s="25" t="n">
        <f aca="false">INDEX(Bang_F,MATCH(A669,Bang_Z,1))+(A669-INDEX(Bang_Z,MATCH(A669,Bang_Z,1)))*(INDEX(Bang_F,MATCH(A669,Bang_Z,1)+1)-INDEX(Bang_F,MATCH(A669,Bang_Z,1)))</f>
        <v>7.7264</v>
      </c>
      <c r="C669" s="25" t="n">
        <f aca="false">INDEX(Bang_W,MATCH(A669,Bang_Z,1))+(A669-INDEX(Bang_Z,MATCH(A669,Bang_Z,1)))*(INDEX(Bang_F,MATCH(A669,Bang_Z,1))+B669)/2</f>
        <v>56.990448</v>
      </c>
      <c r="D669" s="26" t="n">
        <f aca="false">MAX(A669-TC_Z,0)</f>
        <v>2.94</v>
      </c>
      <c r="E669" s="27" t="n">
        <f aca="false">1-0.2*(TC_xmb+(TC_n-1)*TC_xmt)*D669/(TC_n*TC_b)</f>
        <v>0.882944444444445</v>
      </c>
      <c r="F669" s="28" t="n">
        <f aca="false">TC_s*E669*TC_m*TC_n*TC_b*SQRT(2*g_)*D669^1.5</f>
        <v>191.632930218519</v>
      </c>
      <c r="G669" s="29" t="n">
        <f aca="false">MAX(A669-SC_Z,0)</f>
        <v>6.64</v>
      </c>
      <c r="H669" s="30" t="n">
        <f aca="false">1-0.2*(SC_xmb+(SC_n-1)*SC_xmt)*G669/(SC_n*SC_b)</f>
        <v>0.81408</v>
      </c>
      <c r="I669" s="31" t="n">
        <f aca="false">SC_s*H669*SC_m*SC_n*SC_b*SQRT(2*g_)*G669^1.5</f>
        <v>138.819739142962</v>
      </c>
      <c r="J669" s="32" t="n">
        <f aca="false">F669+I669</f>
        <v>330.452669361481</v>
      </c>
      <c r="K669" s="32" t="n">
        <f aca="false">F669</f>
        <v>191.632930218519</v>
      </c>
      <c r="L669" s="32" t="n">
        <f aca="false">C669*1000000/dt_s+J669/2</f>
        <v>15995.9063346807</v>
      </c>
      <c r="M669" s="32" t="n">
        <f aca="false">C669*1000000/dt_s+K669/2</f>
        <v>15926.4964651093</v>
      </c>
    </row>
    <row r="670" customFormat="false" ht="15" hidden="false" customHeight="false" outlineLevel="0" collapsed="false">
      <c r="A670" s="24" t="n">
        <f aca="false">ROUND(A669+0.01,2)</f>
        <v>77.65</v>
      </c>
      <c r="B670" s="25" t="n">
        <f aca="false">INDEX(Bang_F,MATCH(A670,Bang_Z,1))+(A670-INDEX(Bang_Z,MATCH(A670,Bang_Z,1)))*(INDEX(Bang_F,MATCH(A670,Bang_Z,1)+1)-INDEX(Bang_F,MATCH(A670,Bang_Z,1)))</f>
        <v>7.7315</v>
      </c>
      <c r="C670" s="25" t="n">
        <f aca="false">INDEX(Bang_W,MATCH(A670,Bang_Z,1))+(A670-INDEX(Bang_Z,MATCH(A670,Bang_Z,1)))*(INDEX(Bang_F,MATCH(A670,Bang_Z,1))+B670)/2</f>
        <v>57.0677375</v>
      </c>
      <c r="D670" s="26" t="n">
        <f aca="false">MAX(A670-TC_Z,0)</f>
        <v>2.95</v>
      </c>
      <c r="E670" s="27" t="n">
        <f aca="false">1-0.2*(TC_xmb+(TC_n-1)*TC_xmt)*D670/(TC_n*TC_b)</f>
        <v>0.882546296296296</v>
      </c>
      <c r="F670" s="28" t="n">
        <f aca="false">TC_s*E670*TC_m*TC_n*TC_b*SQRT(2*g_)*D670^1.5</f>
        <v>192.524625440081</v>
      </c>
      <c r="G670" s="29" t="n">
        <f aca="false">MAX(A670-SC_Z,0)</f>
        <v>6.65000000000001</v>
      </c>
      <c r="H670" s="30" t="n">
        <f aca="false">1-0.2*(SC_xmb+(SC_n-1)*SC_xmt)*G670/(SC_n*SC_b)</f>
        <v>0.8138</v>
      </c>
      <c r="I670" s="31" t="n">
        <f aca="false">SC_s*H670*SC_m*SC_n*SC_b*SQRT(2*g_)*G670^1.5</f>
        <v>139.085601522578</v>
      </c>
      <c r="J670" s="32" t="n">
        <f aca="false">F670+I670</f>
        <v>331.610226962658</v>
      </c>
      <c r="K670" s="32" t="n">
        <f aca="false">F670</f>
        <v>192.524625440081</v>
      </c>
      <c r="L670" s="32" t="n">
        <f aca="false">C670*1000000/dt_s+J670/2</f>
        <v>16017.9544190369</v>
      </c>
      <c r="M670" s="32" t="n">
        <f aca="false">C670*1000000/dt_s+K670/2</f>
        <v>15948.4116182756</v>
      </c>
    </row>
    <row r="671" customFormat="false" ht="15" hidden="false" customHeight="false" outlineLevel="0" collapsed="false">
      <c r="A671" s="24" t="n">
        <f aca="false">ROUND(A670+0.01,2)</f>
        <v>77.66</v>
      </c>
      <c r="B671" s="25" t="n">
        <f aca="false">INDEX(Bang_F,MATCH(A671,Bang_Z,1))+(A671-INDEX(Bang_Z,MATCH(A671,Bang_Z,1)))*(INDEX(Bang_F,MATCH(A671,Bang_Z,1)+1)-INDEX(Bang_F,MATCH(A671,Bang_Z,1)))</f>
        <v>7.7366</v>
      </c>
      <c r="C671" s="25" t="n">
        <f aca="false">INDEX(Bang_W,MATCH(A671,Bang_Z,1))+(A671-INDEX(Bang_Z,MATCH(A671,Bang_Z,1)))*(INDEX(Bang_F,MATCH(A671,Bang_Z,1))+B671)/2</f>
        <v>57.145078</v>
      </c>
      <c r="D671" s="26" t="n">
        <f aca="false">MAX(A671-TC_Z,0)</f>
        <v>2.95999999999999</v>
      </c>
      <c r="E671" s="27" t="n">
        <f aca="false">1-0.2*(TC_xmb+(TC_n-1)*TC_xmt)*D671/(TC_n*TC_b)</f>
        <v>0.882148148148148</v>
      </c>
      <c r="F671" s="28" t="n">
        <f aca="false">TC_s*E671*TC_m*TC_n*TC_b*SQRT(2*g_)*D671^1.5</f>
        <v>193.417096613042</v>
      </c>
      <c r="G671" s="29" t="n">
        <f aca="false">MAX(A671-SC_Z,0)</f>
        <v>6.66</v>
      </c>
      <c r="H671" s="30" t="n">
        <f aca="false">1-0.2*(SC_xmb+(SC_n-1)*SC_xmt)*G671/(SC_n*SC_b)</f>
        <v>0.81352</v>
      </c>
      <c r="I671" s="31" t="n">
        <f aca="false">SC_s*H671*SC_m*SC_n*SC_b*SQRT(2*g_)*G671^1.5</f>
        <v>139.351483902319</v>
      </c>
      <c r="J671" s="32" t="n">
        <f aca="false">F671+I671</f>
        <v>332.768580515361</v>
      </c>
      <c r="K671" s="32" t="n">
        <f aca="false">F671</f>
        <v>193.417096613042</v>
      </c>
      <c r="L671" s="32" t="n">
        <f aca="false">C671*1000000/dt_s+J671/2</f>
        <v>16040.0170680355</v>
      </c>
      <c r="M671" s="32" t="n">
        <f aca="false">C671*1000000/dt_s+K671/2</f>
        <v>15970.3413260843</v>
      </c>
    </row>
    <row r="672" customFormat="false" ht="15" hidden="false" customHeight="false" outlineLevel="0" collapsed="false">
      <c r="A672" s="24" t="n">
        <f aca="false">ROUND(A671+0.01,2)</f>
        <v>77.67</v>
      </c>
      <c r="B672" s="25" t="n">
        <f aca="false">INDEX(Bang_F,MATCH(A672,Bang_Z,1))+(A672-INDEX(Bang_Z,MATCH(A672,Bang_Z,1)))*(INDEX(Bang_F,MATCH(A672,Bang_Z,1)+1)-INDEX(Bang_F,MATCH(A672,Bang_Z,1)))</f>
        <v>7.7417</v>
      </c>
      <c r="C672" s="25" t="n">
        <f aca="false">INDEX(Bang_W,MATCH(A672,Bang_Z,1))+(A672-INDEX(Bang_Z,MATCH(A672,Bang_Z,1)))*(INDEX(Bang_F,MATCH(A672,Bang_Z,1))+B672)/2</f>
        <v>57.2224695</v>
      </c>
      <c r="D672" s="26" t="n">
        <f aca="false">MAX(A672-TC_Z,0)</f>
        <v>2.97</v>
      </c>
      <c r="E672" s="27" t="n">
        <f aca="false">1-0.2*(TC_xmb+(TC_n-1)*TC_xmt)*D672/(TC_n*TC_b)</f>
        <v>0.88175</v>
      </c>
      <c r="F672" s="28" t="n">
        <f aca="false">TC_s*E672*TC_m*TC_n*TC_b*SQRT(2*g_)*D672^1.5</f>
        <v>194.310338689223</v>
      </c>
      <c r="G672" s="29" t="n">
        <f aca="false">MAX(A672-SC_Z,0)</f>
        <v>6.67</v>
      </c>
      <c r="H672" s="30" t="n">
        <f aca="false">1-0.2*(SC_xmb+(SC_n-1)*SC_xmt)*G672/(SC_n*SC_b)</f>
        <v>0.81324</v>
      </c>
      <c r="I672" s="31" t="n">
        <f aca="false">SC_s*H672*SC_m*SC_n*SC_b*SQRT(2*g_)*G672^1.5</f>
        <v>139.617385861671</v>
      </c>
      <c r="J672" s="32" t="n">
        <f aca="false">F672+I672</f>
        <v>333.927724550894</v>
      </c>
      <c r="K672" s="32" t="n">
        <f aca="false">F672</f>
        <v>194.310338689223</v>
      </c>
      <c r="L672" s="32" t="n">
        <f aca="false">C672*1000000/dt_s+J672/2</f>
        <v>16062.0942789421</v>
      </c>
      <c r="M672" s="32" t="n">
        <f aca="false">C672*1000000/dt_s+K672/2</f>
        <v>15992.2855860113</v>
      </c>
    </row>
    <row r="673" customFormat="false" ht="15" hidden="false" customHeight="false" outlineLevel="0" collapsed="false">
      <c r="A673" s="24" t="n">
        <f aca="false">ROUND(A672+0.01,2)</f>
        <v>77.68</v>
      </c>
      <c r="B673" s="25" t="n">
        <f aca="false">INDEX(Bang_F,MATCH(A673,Bang_Z,1))+(A673-INDEX(Bang_Z,MATCH(A673,Bang_Z,1)))*(INDEX(Bang_F,MATCH(A673,Bang_Z,1)+1)-INDEX(Bang_F,MATCH(A673,Bang_Z,1)))</f>
        <v>7.7468</v>
      </c>
      <c r="C673" s="25" t="n">
        <f aca="false">INDEX(Bang_W,MATCH(A673,Bang_Z,1))+(A673-INDEX(Bang_Z,MATCH(A673,Bang_Z,1)))*(INDEX(Bang_F,MATCH(A673,Bang_Z,1))+B673)/2</f>
        <v>57.2999120000001</v>
      </c>
      <c r="D673" s="26" t="n">
        <f aca="false">MAX(A673-TC_Z,0)</f>
        <v>2.98</v>
      </c>
      <c r="E673" s="27" t="n">
        <f aca="false">1-0.2*(TC_xmb+(TC_n-1)*TC_xmt)*D673/(TC_n*TC_b)</f>
        <v>0.881351851851852</v>
      </c>
      <c r="F673" s="28" t="n">
        <f aca="false">TC_s*E673*TC_m*TC_n*TC_b*SQRT(2*g_)*D673^1.5</f>
        <v>195.204346639662</v>
      </c>
      <c r="G673" s="29" t="n">
        <f aca="false">MAX(A673-SC_Z,0)</f>
        <v>6.68000000000001</v>
      </c>
      <c r="H673" s="30" t="n">
        <f aca="false">1-0.2*(SC_xmb+(SC_n-1)*SC_xmt)*G673/(SC_n*SC_b)</f>
        <v>0.81296</v>
      </c>
      <c r="I673" s="31" t="n">
        <f aca="false">SC_s*H673*SC_m*SC_n*SC_b*SQRT(2*g_)*G673^1.5</f>
        <v>139.883306980761</v>
      </c>
      <c r="J673" s="32" t="n">
        <f aca="false">F673+I673</f>
        <v>335.087653620422</v>
      </c>
      <c r="K673" s="32" t="n">
        <f aca="false">F673</f>
        <v>195.204346639662</v>
      </c>
      <c r="L673" s="32" t="n">
        <f aca="false">C673*1000000/dt_s+J673/2</f>
        <v>16084.1860490324</v>
      </c>
      <c r="M673" s="32" t="n">
        <f aca="false">C673*1000000/dt_s+K673/2</f>
        <v>16014.2443955421</v>
      </c>
    </row>
    <row r="674" customFormat="false" ht="15" hidden="false" customHeight="false" outlineLevel="0" collapsed="false">
      <c r="A674" s="24" t="n">
        <f aca="false">ROUND(A673+0.01,2)</f>
        <v>77.69</v>
      </c>
      <c r="B674" s="25" t="n">
        <f aca="false">INDEX(Bang_F,MATCH(A674,Bang_Z,1))+(A674-INDEX(Bang_Z,MATCH(A674,Bang_Z,1)))*(INDEX(Bang_F,MATCH(A674,Bang_Z,1)+1)-INDEX(Bang_F,MATCH(A674,Bang_Z,1)))</f>
        <v>7.7519</v>
      </c>
      <c r="C674" s="25" t="n">
        <f aca="false">INDEX(Bang_W,MATCH(A674,Bang_Z,1))+(A674-INDEX(Bang_Z,MATCH(A674,Bang_Z,1)))*(INDEX(Bang_F,MATCH(A674,Bang_Z,1))+B674)/2</f>
        <v>57.3774055</v>
      </c>
      <c r="D674" s="26" t="n">
        <f aca="false">MAX(A674-TC_Z,0)</f>
        <v>2.99</v>
      </c>
      <c r="E674" s="27" t="n">
        <f aca="false">1-0.2*(TC_xmb+(TC_n-1)*TC_xmt)*D674/(TC_n*TC_b)</f>
        <v>0.880953703703704</v>
      </c>
      <c r="F674" s="28" t="n">
        <f aca="false">TC_s*E674*TC_m*TC_n*TC_b*SQRT(2*g_)*D674^1.5</f>
        <v>196.099115454465</v>
      </c>
      <c r="G674" s="29" t="n">
        <f aca="false">MAX(A674-SC_Z,0)</f>
        <v>6.69</v>
      </c>
      <c r="H674" s="30" t="n">
        <f aca="false">1-0.2*(SC_xmb+(SC_n-1)*SC_xmt)*G674/(SC_n*SC_b)</f>
        <v>0.81268</v>
      </c>
      <c r="I674" s="31" t="n">
        <f aca="false">SC_s*H674*SC_m*SC_n*SC_b*SQRT(2*g_)*G674^1.5</f>
        <v>140.149246840355</v>
      </c>
      <c r="J674" s="32" t="n">
        <f aca="false">F674+I674</f>
        <v>336.24836229482</v>
      </c>
      <c r="K674" s="32" t="n">
        <f aca="false">F674</f>
        <v>196.099115454465</v>
      </c>
      <c r="L674" s="32" t="n">
        <f aca="false">C674*1000000/dt_s+J674/2</f>
        <v>16106.2923755919</v>
      </c>
      <c r="M674" s="32" t="n">
        <f aca="false">C674*1000000/dt_s+K674/2</f>
        <v>16036.2177521717</v>
      </c>
    </row>
    <row r="675" customFormat="false" ht="15" hidden="false" customHeight="false" outlineLevel="0" collapsed="false">
      <c r="A675" s="24" t="n">
        <f aca="false">ROUND(A674+0.01,2)</f>
        <v>77.7</v>
      </c>
      <c r="B675" s="25" t="n">
        <f aca="false">INDEX(Bang_F,MATCH(A675,Bang_Z,1))+(A675-INDEX(Bang_Z,MATCH(A675,Bang_Z,1)))*(INDEX(Bang_F,MATCH(A675,Bang_Z,1)+1)-INDEX(Bang_F,MATCH(A675,Bang_Z,1)))</f>
        <v>7.757</v>
      </c>
      <c r="C675" s="25" t="n">
        <f aca="false">INDEX(Bang_W,MATCH(A675,Bang_Z,1))+(A675-INDEX(Bang_Z,MATCH(A675,Bang_Z,1)))*(INDEX(Bang_F,MATCH(A675,Bang_Z,1))+B675)/2</f>
        <v>57.45495</v>
      </c>
      <c r="D675" s="26" t="n">
        <f aca="false">MAX(A675-TC_Z,0)</f>
        <v>3</v>
      </c>
      <c r="E675" s="27" t="n">
        <f aca="false">1-0.2*(TC_xmb+(TC_n-1)*TC_xmt)*D675/(TC_n*TC_b)</f>
        <v>0.880555555555556</v>
      </c>
      <c r="F675" s="28" t="n">
        <f aca="false">TC_s*E675*TC_m*TC_n*TC_b*SQRT(2*g_)*D675^1.5</f>
        <v>196.99464014267</v>
      </c>
      <c r="G675" s="29" t="n">
        <f aca="false">MAX(A675-SC_Z,0)</f>
        <v>6.7</v>
      </c>
      <c r="H675" s="30" t="n">
        <f aca="false">1-0.2*(SC_xmb+(SC_n-1)*SC_xmt)*G675/(SC_n*SC_b)</f>
        <v>0.8124</v>
      </c>
      <c r="I675" s="31" t="n">
        <f aca="false">SC_s*H675*SC_m*SC_n*SC_b*SQRT(2*g_)*G675^1.5</f>
        <v>140.415205021859</v>
      </c>
      <c r="J675" s="32" t="n">
        <f aca="false">F675+I675</f>
        <v>337.409845164529</v>
      </c>
      <c r="K675" s="32" t="n">
        <f aca="false">F675</f>
        <v>196.99464014267</v>
      </c>
      <c r="L675" s="32" t="n">
        <f aca="false">C675*1000000/dt_s+J675/2</f>
        <v>16128.4132559156</v>
      </c>
      <c r="M675" s="32" t="n">
        <f aca="false">C675*1000000/dt_s+K675/2</f>
        <v>16058.2056534047</v>
      </c>
    </row>
    <row r="676" customFormat="false" ht="15" hidden="false" customHeight="false" outlineLevel="0" collapsed="false">
      <c r="A676" s="24" t="n">
        <f aca="false">ROUND(A675+0.01,2)</f>
        <v>77.71</v>
      </c>
      <c r="B676" s="25" t="n">
        <f aca="false">INDEX(Bang_F,MATCH(A676,Bang_Z,1))+(A676-INDEX(Bang_Z,MATCH(A676,Bang_Z,1)))*(INDEX(Bang_F,MATCH(A676,Bang_Z,1)+1)-INDEX(Bang_F,MATCH(A676,Bang_Z,1)))</f>
        <v>7.7621</v>
      </c>
      <c r="C676" s="25" t="n">
        <f aca="false">INDEX(Bang_W,MATCH(A676,Bang_Z,1))+(A676-INDEX(Bang_Z,MATCH(A676,Bang_Z,1)))*(INDEX(Bang_F,MATCH(A676,Bang_Z,1))+B676)/2</f>
        <v>57.5325455</v>
      </c>
      <c r="D676" s="26" t="n">
        <f aca="false">MAX(A676-TC_Z,0)</f>
        <v>3.00999999999999</v>
      </c>
      <c r="E676" s="27" t="n">
        <f aca="false">1-0.2*(TC_xmb+(TC_n-1)*TC_xmt)*D676/(TC_n*TC_b)</f>
        <v>0.880157407407408</v>
      </c>
      <c r="F676" s="28" t="n">
        <f aca="false">TC_s*E676*TC_m*TC_n*TC_b*SQRT(2*g_)*D676^1.5</f>
        <v>197.890915732079</v>
      </c>
      <c r="G676" s="29" t="n">
        <f aca="false">MAX(A676-SC_Z,0)</f>
        <v>6.70999999999999</v>
      </c>
      <c r="H676" s="30" t="n">
        <f aca="false">1-0.2*(SC_xmb+(SC_n-1)*SC_xmt)*G676/(SC_n*SC_b)</f>
        <v>0.81212</v>
      </c>
      <c r="I676" s="31" t="n">
        <f aca="false">SC_s*H676*SC_m*SC_n*SC_b*SQRT(2*g_)*G676^1.5</f>
        <v>140.681181107313</v>
      </c>
      <c r="J676" s="32" t="n">
        <f aca="false">F676+I676</f>
        <v>338.572096839392</v>
      </c>
      <c r="K676" s="32" t="n">
        <f aca="false">F676</f>
        <v>197.890915732079</v>
      </c>
      <c r="L676" s="32" t="n">
        <f aca="false">C676*1000000/dt_s+J676/2</f>
        <v>16150.5486873086</v>
      </c>
      <c r="M676" s="32" t="n">
        <f aca="false">C676*1000000/dt_s+K676/2</f>
        <v>16080.2080967549</v>
      </c>
    </row>
    <row r="677" customFormat="false" ht="15" hidden="false" customHeight="false" outlineLevel="0" collapsed="false">
      <c r="A677" s="24" t="n">
        <f aca="false">ROUND(A676+0.01,2)</f>
        <v>77.72</v>
      </c>
      <c r="B677" s="25" t="n">
        <f aca="false">INDEX(Bang_F,MATCH(A677,Bang_Z,1))+(A677-INDEX(Bang_Z,MATCH(A677,Bang_Z,1)))*(INDEX(Bang_F,MATCH(A677,Bang_Z,1)+1)-INDEX(Bang_F,MATCH(A677,Bang_Z,1)))</f>
        <v>7.7672</v>
      </c>
      <c r="C677" s="25" t="n">
        <f aca="false">INDEX(Bang_W,MATCH(A677,Bang_Z,1))+(A677-INDEX(Bang_Z,MATCH(A677,Bang_Z,1)))*(INDEX(Bang_F,MATCH(A677,Bang_Z,1))+B677)/2</f>
        <v>57.610192</v>
      </c>
      <c r="D677" s="26" t="n">
        <f aca="false">MAX(A677-TC_Z,0)</f>
        <v>3.02</v>
      </c>
      <c r="E677" s="27" t="n">
        <f aca="false">1-0.2*(TC_xmb+(TC_n-1)*TC_xmt)*D677/(TC_n*TC_b)</f>
        <v>0.879759259259259</v>
      </c>
      <c r="F677" s="28" t="n">
        <f aca="false">TC_s*E677*TC_m*TC_n*TC_b*SQRT(2*g_)*D677^1.5</f>
        <v>198.787937269131</v>
      </c>
      <c r="G677" s="29" t="n">
        <f aca="false">MAX(A677-SC_Z,0)</f>
        <v>6.72</v>
      </c>
      <c r="H677" s="30" t="n">
        <f aca="false">1-0.2*(SC_xmb+(SC_n-1)*SC_xmt)*G677/(SC_n*SC_b)</f>
        <v>0.81184</v>
      </c>
      <c r="I677" s="31" t="n">
        <f aca="false">SC_s*H677*SC_m*SC_n*SC_b*SQRT(2*g_)*G677^1.5</f>
        <v>140.947174679391</v>
      </c>
      <c r="J677" s="32" t="n">
        <f aca="false">F677+I677</f>
        <v>339.735111948522</v>
      </c>
      <c r="K677" s="32" t="n">
        <f aca="false">F677</f>
        <v>198.787937269131</v>
      </c>
      <c r="L677" s="32" t="n">
        <f aca="false">C677*1000000/dt_s+J677/2</f>
        <v>16172.6986670854</v>
      </c>
      <c r="M677" s="32" t="n">
        <f aca="false">C677*1000000/dt_s+K677/2</f>
        <v>16102.2250797457</v>
      </c>
    </row>
    <row r="678" customFormat="false" ht="15" hidden="false" customHeight="false" outlineLevel="0" collapsed="false">
      <c r="A678" s="24" t="n">
        <f aca="false">ROUND(A677+0.01,2)</f>
        <v>77.73</v>
      </c>
      <c r="B678" s="25" t="n">
        <f aca="false">INDEX(Bang_F,MATCH(A678,Bang_Z,1))+(A678-INDEX(Bang_Z,MATCH(A678,Bang_Z,1)))*(INDEX(Bang_F,MATCH(A678,Bang_Z,1)+1)-INDEX(Bang_F,MATCH(A678,Bang_Z,1)))</f>
        <v>7.7723</v>
      </c>
      <c r="C678" s="25" t="n">
        <f aca="false">INDEX(Bang_W,MATCH(A678,Bang_Z,1))+(A678-INDEX(Bang_Z,MATCH(A678,Bang_Z,1)))*(INDEX(Bang_F,MATCH(A678,Bang_Z,1))+B678)/2</f>
        <v>57.6878895</v>
      </c>
      <c r="D678" s="26" t="n">
        <f aca="false">MAX(A678-TC_Z,0)</f>
        <v>3.03</v>
      </c>
      <c r="E678" s="27" t="n">
        <f aca="false">1-0.2*(TC_xmb+(TC_n-1)*TC_xmt)*D678/(TC_n*TC_b)</f>
        <v>0.879361111111111</v>
      </c>
      <c r="F678" s="28" t="n">
        <f aca="false">TC_s*E678*TC_m*TC_n*TC_b*SQRT(2*g_)*D678^1.5</f>
        <v>199.685699818745</v>
      </c>
      <c r="G678" s="29" t="n">
        <f aca="false">MAX(A678-SC_Z,0)</f>
        <v>6.73</v>
      </c>
      <c r="H678" s="30" t="n">
        <f aca="false">1-0.2*(SC_xmb+(SC_n-1)*SC_xmt)*G678/(SC_n*SC_b)</f>
        <v>0.81156</v>
      </c>
      <c r="I678" s="31" t="n">
        <f aca="false">SC_s*H678*SC_m*SC_n*SC_b*SQRT(2*g_)*G678^1.5</f>
        <v>141.213185321396</v>
      </c>
      <c r="J678" s="32" t="n">
        <f aca="false">F678+I678</f>
        <v>340.898885140141</v>
      </c>
      <c r="K678" s="32" t="n">
        <f aca="false">F678</f>
        <v>199.685699818745</v>
      </c>
      <c r="L678" s="32" t="n">
        <f aca="false">C678*1000000/dt_s+J678/2</f>
        <v>16194.8631925701</v>
      </c>
      <c r="M678" s="32" t="n">
        <f aca="false">C678*1000000/dt_s+K678/2</f>
        <v>16124.2565999094</v>
      </c>
    </row>
    <row r="679" customFormat="false" ht="15" hidden="false" customHeight="false" outlineLevel="0" collapsed="false">
      <c r="A679" s="24" t="n">
        <f aca="false">ROUND(A678+0.01,2)</f>
        <v>77.74</v>
      </c>
      <c r="B679" s="25" t="n">
        <f aca="false">INDEX(Bang_F,MATCH(A679,Bang_Z,1))+(A679-INDEX(Bang_Z,MATCH(A679,Bang_Z,1)))*(INDEX(Bang_F,MATCH(A679,Bang_Z,1)+1)-INDEX(Bang_F,MATCH(A679,Bang_Z,1)))</f>
        <v>7.7774</v>
      </c>
      <c r="C679" s="25" t="n">
        <f aca="false">INDEX(Bang_W,MATCH(A679,Bang_Z,1))+(A679-INDEX(Bang_Z,MATCH(A679,Bang_Z,1)))*(INDEX(Bang_F,MATCH(A679,Bang_Z,1))+B679)/2</f>
        <v>57.765638</v>
      </c>
      <c r="D679" s="26" t="n">
        <f aca="false">MAX(A679-TC_Z,0)</f>
        <v>3.03999999999999</v>
      </c>
      <c r="E679" s="27" t="n">
        <f aca="false">1-0.2*(TC_xmb+(TC_n-1)*TC_xmt)*D679/(TC_n*TC_b)</f>
        <v>0.878962962962963</v>
      </c>
      <c r="F679" s="28" t="n">
        <f aca="false">TC_s*E679*TC_m*TC_n*TC_b*SQRT(2*g_)*D679^1.5</f>
        <v>200.584198464183</v>
      </c>
      <c r="G679" s="29" t="n">
        <f aca="false">MAX(A679-SC_Z,0)</f>
        <v>6.74</v>
      </c>
      <c r="H679" s="30" t="n">
        <f aca="false">1-0.2*(SC_xmb+(SC_n-1)*SC_xmt)*G679/(SC_n*SC_b)</f>
        <v>0.81128</v>
      </c>
      <c r="I679" s="31" t="n">
        <f aca="false">SC_s*H679*SC_m*SC_n*SC_b*SQRT(2*g_)*G679^1.5</f>
        <v>141.479212617263</v>
      </c>
      <c r="J679" s="32" t="n">
        <f aca="false">F679+I679</f>
        <v>342.063411081446</v>
      </c>
      <c r="K679" s="32" t="n">
        <f aca="false">F679</f>
        <v>200.584198464183</v>
      </c>
      <c r="L679" s="32" t="n">
        <f aca="false">C679*1000000/dt_s+J679/2</f>
        <v>16217.0422610963</v>
      </c>
      <c r="M679" s="32" t="n">
        <f aca="false">C679*1000000/dt_s+K679/2</f>
        <v>16146.3026547876</v>
      </c>
    </row>
    <row r="680" customFormat="false" ht="15" hidden="false" customHeight="false" outlineLevel="0" collapsed="false">
      <c r="A680" s="24" t="n">
        <f aca="false">ROUND(A679+0.01,2)</f>
        <v>77.75</v>
      </c>
      <c r="B680" s="25" t="n">
        <f aca="false">INDEX(Bang_F,MATCH(A680,Bang_Z,1))+(A680-INDEX(Bang_Z,MATCH(A680,Bang_Z,1)))*(INDEX(Bang_F,MATCH(A680,Bang_Z,1)+1)-INDEX(Bang_F,MATCH(A680,Bang_Z,1)))</f>
        <v>7.7825</v>
      </c>
      <c r="C680" s="25" t="n">
        <f aca="false">INDEX(Bang_W,MATCH(A680,Bang_Z,1))+(A680-INDEX(Bang_Z,MATCH(A680,Bang_Z,1)))*(INDEX(Bang_F,MATCH(A680,Bang_Z,1))+B680)/2</f>
        <v>57.8434375</v>
      </c>
      <c r="D680" s="26" t="n">
        <f aca="false">MAX(A680-TC_Z,0)</f>
        <v>3.05</v>
      </c>
      <c r="E680" s="27" t="n">
        <f aca="false">1-0.2*(TC_xmb+(TC_n-1)*TC_xmt)*D680/(TC_n*TC_b)</f>
        <v>0.878564814814815</v>
      </c>
      <c r="F680" s="28" t="n">
        <f aca="false">TC_s*E680*TC_m*TC_n*TC_b*SQRT(2*g_)*D680^1.5</f>
        <v>201.48342830691</v>
      </c>
      <c r="G680" s="29" t="n">
        <f aca="false">MAX(A680-SC_Z,0)</f>
        <v>6.75</v>
      </c>
      <c r="H680" s="30" t="n">
        <f aca="false">1-0.2*(SC_xmb+(SC_n-1)*SC_xmt)*G680/(SC_n*SC_b)</f>
        <v>0.811</v>
      </c>
      <c r="I680" s="31" t="n">
        <f aca="false">SC_s*H680*SC_m*SC_n*SC_b*SQRT(2*g_)*G680^1.5</f>
        <v>141.745256151552</v>
      </c>
      <c r="J680" s="32" t="n">
        <f aca="false">F680+I680</f>
        <v>343.228684458463</v>
      </c>
      <c r="K680" s="32" t="n">
        <f aca="false">F680</f>
        <v>201.48342830691</v>
      </c>
      <c r="L680" s="32" t="n">
        <f aca="false">C680*1000000/dt_s+J680/2</f>
        <v>16239.235870007</v>
      </c>
      <c r="M680" s="32" t="n">
        <f aca="false">C680*1000000/dt_s+K680/2</f>
        <v>16168.3632419312</v>
      </c>
    </row>
    <row r="681" customFormat="false" ht="15" hidden="false" customHeight="false" outlineLevel="0" collapsed="false">
      <c r="A681" s="24" t="n">
        <f aca="false">ROUND(A680+0.01,2)</f>
        <v>77.76</v>
      </c>
      <c r="B681" s="25" t="n">
        <f aca="false">INDEX(Bang_F,MATCH(A681,Bang_Z,1))+(A681-INDEX(Bang_Z,MATCH(A681,Bang_Z,1)))*(INDEX(Bang_F,MATCH(A681,Bang_Z,1)+1)-INDEX(Bang_F,MATCH(A681,Bang_Z,1)))</f>
        <v>7.7876</v>
      </c>
      <c r="C681" s="25" t="n">
        <f aca="false">INDEX(Bang_W,MATCH(A681,Bang_Z,1))+(A681-INDEX(Bang_Z,MATCH(A681,Bang_Z,1)))*(INDEX(Bang_F,MATCH(A681,Bang_Z,1))+B681)/2</f>
        <v>57.921288</v>
      </c>
      <c r="D681" s="26" t="n">
        <f aca="false">MAX(A681-TC_Z,0)</f>
        <v>3.06</v>
      </c>
      <c r="E681" s="27" t="n">
        <f aca="false">1-0.2*(TC_xmb+(TC_n-1)*TC_xmt)*D681/(TC_n*TC_b)</f>
        <v>0.878166666666667</v>
      </c>
      <c r="F681" s="28" t="n">
        <f aca="false">TC_s*E681*TC_m*TC_n*TC_b*SQRT(2*g_)*D681^1.5</f>
        <v>202.383384466454</v>
      </c>
      <c r="G681" s="29" t="n">
        <f aca="false">MAX(A681-SC_Z,0)</f>
        <v>6.76000000000001</v>
      </c>
      <c r="H681" s="30" t="n">
        <f aca="false">1-0.2*(SC_xmb+(SC_n-1)*SC_xmt)*G681/(SC_n*SC_b)</f>
        <v>0.81072</v>
      </c>
      <c r="I681" s="31" t="n">
        <f aca="false">SC_s*H681*SC_m*SC_n*SC_b*SQRT(2*g_)*G681^1.5</f>
        <v>142.01131550945</v>
      </c>
      <c r="J681" s="32" t="n">
        <f aca="false">F681+I681</f>
        <v>344.394699975903</v>
      </c>
      <c r="K681" s="32" t="n">
        <f aca="false">F681</f>
        <v>202.383384466454</v>
      </c>
      <c r="L681" s="32" t="n">
        <f aca="false">C681*1000000/dt_s+J681/2</f>
        <v>16261.4440166546</v>
      </c>
      <c r="M681" s="32" t="n">
        <f aca="false">C681*1000000/dt_s+K681/2</f>
        <v>16190.4383588999</v>
      </c>
    </row>
    <row r="682" customFormat="false" ht="15" hidden="false" customHeight="false" outlineLevel="0" collapsed="false">
      <c r="A682" s="24" t="n">
        <f aca="false">ROUND(A681+0.01,2)</f>
        <v>77.77</v>
      </c>
      <c r="B682" s="25" t="n">
        <f aca="false">INDEX(Bang_F,MATCH(A682,Bang_Z,1))+(A682-INDEX(Bang_Z,MATCH(A682,Bang_Z,1)))*(INDEX(Bang_F,MATCH(A682,Bang_Z,1)+1)-INDEX(Bang_F,MATCH(A682,Bang_Z,1)))</f>
        <v>7.7927</v>
      </c>
      <c r="C682" s="25" t="n">
        <f aca="false">INDEX(Bang_W,MATCH(A682,Bang_Z,1))+(A682-INDEX(Bang_Z,MATCH(A682,Bang_Z,1)))*(INDEX(Bang_F,MATCH(A682,Bang_Z,1))+B682)/2</f>
        <v>57.9991895</v>
      </c>
      <c r="D682" s="26" t="n">
        <f aca="false">MAX(A682-TC_Z,0)</f>
        <v>3.06999999999999</v>
      </c>
      <c r="E682" s="27" t="n">
        <f aca="false">1-0.2*(TC_xmb+(TC_n-1)*TC_xmt)*D682/(TC_n*TC_b)</f>
        <v>0.877768518518519</v>
      </c>
      <c r="F682" s="28" t="n">
        <f aca="false">TC_s*E682*TC_m*TC_n*TC_b*SQRT(2*g_)*D682^1.5</f>
        <v>203.284062080261</v>
      </c>
      <c r="G682" s="29" t="n">
        <f aca="false">MAX(A682-SC_Z,0)</f>
        <v>6.77</v>
      </c>
      <c r="H682" s="30" t="n">
        <f aca="false">1-0.2*(SC_xmb+(SC_n-1)*SC_xmt)*G682/(SC_n*SC_b)</f>
        <v>0.81044</v>
      </c>
      <c r="I682" s="31" t="n">
        <f aca="false">SC_s*H682*SC_m*SC_n*SC_b*SQRT(2*g_)*G682^1.5</f>
        <v>142.277390276763</v>
      </c>
      <c r="J682" s="32" t="n">
        <f aca="false">F682+I682</f>
        <v>345.561452357024</v>
      </c>
      <c r="K682" s="32" t="n">
        <f aca="false">F682</f>
        <v>203.284062080261</v>
      </c>
      <c r="L682" s="32" t="n">
        <f aca="false">C682*1000000/dt_s+J682/2</f>
        <v>16283.6666984007</v>
      </c>
      <c r="M682" s="32" t="n">
        <f aca="false">C682*1000000/dt_s+K682/2</f>
        <v>16212.5280032623</v>
      </c>
    </row>
    <row r="683" customFormat="false" ht="15" hidden="false" customHeight="false" outlineLevel="0" collapsed="false">
      <c r="A683" s="24" t="n">
        <f aca="false">ROUND(A682+0.01,2)</f>
        <v>77.78</v>
      </c>
      <c r="B683" s="25" t="n">
        <f aca="false">INDEX(Bang_F,MATCH(A683,Bang_Z,1))+(A683-INDEX(Bang_Z,MATCH(A683,Bang_Z,1)))*(INDEX(Bang_F,MATCH(A683,Bang_Z,1)+1)-INDEX(Bang_F,MATCH(A683,Bang_Z,1)))</f>
        <v>7.7978</v>
      </c>
      <c r="C683" s="25" t="n">
        <f aca="false">INDEX(Bang_W,MATCH(A683,Bang_Z,1))+(A683-INDEX(Bang_Z,MATCH(A683,Bang_Z,1)))*(INDEX(Bang_F,MATCH(A683,Bang_Z,1))+B683)/2</f>
        <v>58.077142</v>
      </c>
      <c r="D683" s="26" t="n">
        <f aca="false">MAX(A683-TC_Z,0)</f>
        <v>3.08</v>
      </c>
      <c r="E683" s="27" t="n">
        <f aca="false">1-0.2*(TC_xmb+(TC_n-1)*TC_xmt)*D683/(TC_n*TC_b)</f>
        <v>0.87737037037037</v>
      </c>
      <c r="F683" s="28" t="n">
        <f aca="false">TC_s*E683*TC_m*TC_n*TC_b*SQRT(2*g_)*D683^1.5</f>
        <v>204.185456303574</v>
      </c>
      <c r="G683" s="29" t="n">
        <f aca="false">MAX(A683-SC_Z,0)</f>
        <v>6.78</v>
      </c>
      <c r="H683" s="30" t="n">
        <f aca="false">1-0.2*(SC_xmb+(SC_n-1)*SC_xmt)*G683/(SC_n*SC_b)</f>
        <v>0.81016</v>
      </c>
      <c r="I683" s="31" t="n">
        <f aca="false">SC_s*H683*SC_m*SC_n*SC_b*SQRT(2*g_)*G683^1.5</f>
        <v>142.543480039921</v>
      </c>
      <c r="J683" s="32" t="n">
        <f aca="false">F683+I683</f>
        <v>346.728936343495</v>
      </c>
      <c r="K683" s="32" t="n">
        <f aca="false">F683</f>
        <v>204.185456303574</v>
      </c>
      <c r="L683" s="32" t="n">
        <f aca="false">C683*1000000/dt_s+J683/2</f>
        <v>16305.9039126162</v>
      </c>
      <c r="M683" s="32" t="n">
        <f aca="false">C683*1000000/dt_s+K683/2</f>
        <v>16234.6321725962</v>
      </c>
    </row>
    <row r="684" customFormat="false" ht="15" hidden="false" customHeight="false" outlineLevel="0" collapsed="false">
      <c r="A684" s="24" t="n">
        <f aca="false">ROUND(A683+0.01,2)</f>
        <v>77.79</v>
      </c>
      <c r="B684" s="25" t="n">
        <f aca="false">INDEX(Bang_F,MATCH(A684,Bang_Z,1))+(A684-INDEX(Bang_Z,MATCH(A684,Bang_Z,1)))*(INDEX(Bang_F,MATCH(A684,Bang_Z,1)+1)-INDEX(Bang_F,MATCH(A684,Bang_Z,1)))</f>
        <v>7.8029</v>
      </c>
      <c r="C684" s="25" t="n">
        <f aca="false">INDEX(Bang_W,MATCH(A684,Bang_Z,1))+(A684-INDEX(Bang_Z,MATCH(A684,Bang_Z,1)))*(INDEX(Bang_F,MATCH(A684,Bang_Z,1))+B684)/2</f>
        <v>58.1551455</v>
      </c>
      <c r="D684" s="26" t="n">
        <f aca="false">MAX(A684-TC_Z,0)</f>
        <v>3.09</v>
      </c>
      <c r="E684" s="27" t="n">
        <f aca="false">1-0.2*(TC_xmb+(TC_n-1)*TC_xmt)*D684/(TC_n*TC_b)</f>
        <v>0.876972222222222</v>
      </c>
      <c r="F684" s="28" t="n">
        <f aca="false">TC_s*E684*TC_m*TC_n*TC_b*SQRT(2*g_)*D684^1.5</f>
        <v>205.087562309283</v>
      </c>
      <c r="G684" s="29" t="n">
        <f aca="false">MAX(A684-SC_Z,0)</f>
        <v>6.79000000000001</v>
      </c>
      <c r="H684" s="30" t="n">
        <f aca="false">1-0.2*(SC_xmb+(SC_n-1)*SC_xmt)*G684/(SC_n*SC_b)</f>
        <v>0.80988</v>
      </c>
      <c r="I684" s="31" t="n">
        <f aca="false">SC_s*H684*SC_m*SC_n*SC_b*SQRT(2*g_)*G684^1.5</f>
        <v>142.809584385972</v>
      </c>
      <c r="J684" s="32" t="n">
        <f aca="false">F684+I684</f>
        <v>347.897146695255</v>
      </c>
      <c r="K684" s="32" t="n">
        <f aca="false">F684</f>
        <v>205.087562309283</v>
      </c>
      <c r="L684" s="32" t="n">
        <f aca="false">C684*1000000/dt_s+J684/2</f>
        <v>16328.155656681</v>
      </c>
      <c r="M684" s="32" t="n">
        <f aca="false">C684*1000000/dt_s+K684/2</f>
        <v>16256.750864488</v>
      </c>
    </row>
    <row r="685" customFormat="false" ht="15" hidden="false" customHeight="false" outlineLevel="0" collapsed="false">
      <c r="A685" s="24" t="n">
        <f aca="false">ROUND(A684+0.01,2)</f>
        <v>77.8</v>
      </c>
      <c r="B685" s="25" t="n">
        <f aca="false">INDEX(Bang_F,MATCH(A685,Bang_Z,1))+(A685-INDEX(Bang_Z,MATCH(A685,Bang_Z,1)))*(INDEX(Bang_F,MATCH(A685,Bang_Z,1)+1)-INDEX(Bang_F,MATCH(A685,Bang_Z,1)))</f>
        <v>7.808</v>
      </c>
      <c r="C685" s="25" t="n">
        <f aca="false">INDEX(Bang_W,MATCH(A685,Bang_Z,1))+(A685-INDEX(Bang_Z,MATCH(A685,Bang_Z,1)))*(INDEX(Bang_F,MATCH(A685,Bang_Z,1))+B685)/2</f>
        <v>58.2332</v>
      </c>
      <c r="D685" s="26" t="n">
        <f aca="false">MAX(A685-TC_Z,0)</f>
        <v>3.09999999999999</v>
      </c>
      <c r="E685" s="27" t="n">
        <f aca="false">1-0.2*(TC_xmb+(TC_n-1)*TC_xmt)*D685/(TC_n*TC_b)</f>
        <v>0.876574074074074</v>
      </c>
      <c r="F685" s="28" t="n">
        <f aca="false">TC_s*E685*TC_m*TC_n*TC_b*SQRT(2*g_)*D685^1.5</f>
        <v>205.990375287798</v>
      </c>
      <c r="G685" s="29" t="n">
        <f aca="false">MAX(A685-SC_Z,0)</f>
        <v>6.8</v>
      </c>
      <c r="H685" s="30" t="n">
        <f aca="false">1-0.2*(SC_xmb+(SC_n-1)*SC_xmt)*G685/(SC_n*SC_b)</f>
        <v>0.8096</v>
      </c>
      <c r="I685" s="31" t="n">
        <f aca="false">SC_s*H685*SC_m*SC_n*SC_b*SQRT(2*g_)*G685^1.5</f>
        <v>143.075702902579</v>
      </c>
      <c r="J685" s="32" t="n">
        <f aca="false">F685+I685</f>
        <v>349.066078190377</v>
      </c>
      <c r="K685" s="32" t="n">
        <f aca="false">F685</f>
        <v>205.990375287798</v>
      </c>
      <c r="L685" s="32" t="n">
        <f aca="false">C685*1000000/dt_s+J685/2</f>
        <v>16350.4219279841</v>
      </c>
      <c r="M685" s="32" t="n">
        <f aca="false">C685*1000000/dt_s+K685/2</f>
        <v>16278.8840765328</v>
      </c>
    </row>
    <row r="686" customFormat="false" ht="15" hidden="false" customHeight="false" outlineLevel="0" collapsed="false">
      <c r="A686" s="24" t="n">
        <f aca="false">ROUND(A685+0.01,2)</f>
        <v>77.81</v>
      </c>
      <c r="B686" s="25" t="n">
        <f aca="false">INDEX(Bang_F,MATCH(A686,Bang_Z,1))+(A686-INDEX(Bang_Z,MATCH(A686,Bang_Z,1)))*(INDEX(Bang_F,MATCH(A686,Bang_Z,1)+1)-INDEX(Bang_F,MATCH(A686,Bang_Z,1)))</f>
        <v>7.8131</v>
      </c>
      <c r="C686" s="25" t="n">
        <f aca="false">INDEX(Bang_W,MATCH(A686,Bang_Z,1))+(A686-INDEX(Bang_Z,MATCH(A686,Bang_Z,1)))*(INDEX(Bang_F,MATCH(A686,Bang_Z,1))+B686)/2</f>
        <v>58.3113055</v>
      </c>
      <c r="D686" s="26" t="n">
        <f aca="false">MAX(A686-TC_Z,0)</f>
        <v>3.11</v>
      </c>
      <c r="E686" s="27" t="n">
        <f aca="false">1-0.2*(TC_xmb+(TC_n-1)*TC_xmt)*D686/(TC_n*TC_b)</f>
        <v>0.876175925925926</v>
      </c>
      <c r="F686" s="28" t="n">
        <f aca="false">TC_s*E686*TC_m*TC_n*TC_b*SQRT(2*g_)*D686^1.5</f>
        <v>206.893890446921</v>
      </c>
      <c r="G686" s="29" t="n">
        <f aca="false">MAX(A686-SC_Z,0)</f>
        <v>6.81</v>
      </c>
      <c r="H686" s="30" t="n">
        <f aca="false">1-0.2*(SC_xmb+(SC_n-1)*SC_xmt)*G686/(SC_n*SC_b)</f>
        <v>0.80932</v>
      </c>
      <c r="I686" s="31" t="n">
        <f aca="false">SC_s*H686*SC_m*SC_n*SC_b*SQRT(2*g_)*G686^1.5</f>
        <v>143.341835178022</v>
      </c>
      <c r="J686" s="32" t="n">
        <f aca="false">F686+I686</f>
        <v>350.235725624943</v>
      </c>
      <c r="K686" s="32" t="n">
        <f aca="false">F686</f>
        <v>206.893890446921</v>
      </c>
      <c r="L686" s="32" t="n">
        <f aca="false">C686*1000000/dt_s+J686/2</f>
        <v>16372.7027239236</v>
      </c>
      <c r="M686" s="32" t="n">
        <f aca="false">C686*1000000/dt_s+K686/2</f>
        <v>16301.0318063346</v>
      </c>
    </row>
    <row r="687" customFormat="false" ht="15" hidden="false" customHeight="false" outlineLevel="0" collapsed="false">
      <c r="A687" s="24" t="n">
        <f aca="false">ROUND(A686+0.01,2)</f>
        <v>77.82</v>
      </c>
      <c r="B687" s="25" t="n">
        <f aca="false">INDEX(Bang_F,MATCH(A687,Bang_Z,1))+(A687-INDEX(Bang_Z,MATCH(A687,Bang_Z,1)))*(INDEX(Bang_F,MATCH(A687,Bang_Z,1)+1)-INDEX(Bang_F,MATCH(A687,Bang_Z,1)))</f>
        <v>7.8182</v>
      </c>
      <c r="C687" s="25" t="n">
        <f aca="false">INDEX(Bang_W,MATCH(A687,Bang_Z,1))+(A687-INDEX(Bang_Z,MATCH(A687,Bang_Z,1)))*(INDEX(Bang_F,MATCH(A687,Bang_Z,1))+B687)/2</f>
        <v>58.3894619999999</v>
      </c>
      <c r="D687" s="26" t="n">
        <f aca="false">MAX(A687-TC_Z,0)</f>
        <v>3.11999999999999</v>
      </c>
      <c r="E687" s="27" t="n">
        <f aca="false">1-0.2*(TC_xmb+(TC_n-1)*TC_xmt)*D687/(TC_n*TC_b)</f>
        <v>0.875777777777778</v>
      </c>
      <c r="F687" s="28" t="n">
        <f aca="false">TC_s*E687*TC_m*TC_n*TC_b*SQRT(2*g_)*D687^1.5</f>
        <v>207.798103011707</v>
      </c>
      <c r="G687" s="29" t="n">
        <f aca="false">MAX(A687-SC_Z,0)</f>
        <v>6.81999999999999</v>
      </c>
      <c r="H687" s="30" t="n">
        <f aca="false">1-0.2*(SC_xmb+(SC_n-1)*SC_xmt)*G687/(SC_n*SC_b)</f>
        <v>0.80904</v>
      </c>
      <c r="I687" s="31" t="n">
        <f aca="false">SC_s*H687*SC_m*SC_n*SC_b*SQRT(2*g_)*G687^1.5</f>
        <v>143.607980801192</v>
      </c>
      <c r="J687" s="32" t="n">
        <f aca="false">F687+I687</f>
        <v>351.406083812898</v>
      </c>
      <c r="K687" s="32" t="n">
        <f aca="false">F687</f>
        <v>207.798103011707</v>
      </c>
      <c r="L687" s="32" t="n">
        <f aca="false">C687*1000000/dt_s+J687/2</f>
        <v>16394.9980419064</v>
      </c>
      <c r="M687" s="32" t="n">
        <f aca="false">C687*1000000/dt_s+K687/2</f>
        <v>16323.1940515058</v>
      </c>
    </row>
    <row r="688" customFormat="false" ht="15" hidden="false" customHeight="false" outlineLevel="0" collapsed="false">
      <c r="A688" s="24" t="n">
        <f aca="false">ROUND(A687+0.01,2)</f>
        <v>77.83</v>
      </c>
      <c r="B688" s="25" t="n">
        <f aca="false">INDEX(Bang_F,MATCH(A688,Bang_Z,1))+(A688-INDEX(Bang_Z,MATCH(A688,Bang_Z,1)))*(INDEX(Bang_F,MATCH(A688,Bang_Z,1)+1)-INDEX(Bang_F,MATCH(A688,Bang_Z,1)))</f>
        <v>7.8233</v>
      </c>
      <c r="C688" s="25" t="n">
        <f aca="false">INDEX(Bang_W,MATCH(A688,Bang_Z,1))+(A688-INDEX(Bang_Z,MATCH(A688,Bang_Z,1)))*(INDEX(Bang_F,MATCH(A688,Bang_Z,1))+B688)/2</f>
        <v>58.4676695</v>
      </c>
      <c r="D688" s="26" t="n">
        <f aca="false">MAX(A688-TC_Z,0)</f>
        <v>3.13</v>
      </c>
      <c r="E688" s="27" t="n">
        <f aca="false">1-0.2*(TC_xmb+(TC_n-1)*TC_xmt)*D688/(TC_n*TC_b)</f>
        <v>0.87537962962963</v>
      </c>
      <c r="F688" s="28" t="n">
        <f aca="false">TC_s*E688*TC_m*TC_n*TC_b*SQRT(2*g_)*D688^1.5</f>
        <v>208.703008224344</v>
      </c>
      <c r="G688" s="29" t="n">
        <f aca="false">MAX(A688-SC_Z,0)</f>
        <v>6.83</v>
      </c>
      <c r="H688" s="30" t="n">
        <f aca="false">1-0.2*(SC_xmb+(SC_n-1)*SC_xmt)*G688/(SC_n*SC_b)</f>
        <v>0.80876</v>
      </c>
      <c r="I688" s="31" t="n">
        <f aca="false">SC_s*H688*SC_m*SC_n*SC_b*SQRT(2*g_)*G688^1.5</f>
        <v>143.874139361589</v>
      </c>
      <c r="J688" s="32" t="n">
        <f aca="false">F688+I688</f>
        <v>352.577147585933</v>
      </c>
      <c r="K688" s="32" t="n">
        <f aca="false">F688</f>
        <v>208.703008224344</v>
      </c>
      <c r="L688" s="32" t="n">
        <f aca="false">C688*1000000/dt_s+J688/2</f>
        <v>16417.3078793485</v>
      </c>
      <c r="M688" s="32" t="n">
        <f aca="false">C688*1000000/dt_s+K688/2</f>
        <v>16345.3708096677</v>
      </c>
    </row>
    <row r="689" customFormat="false" ht="15" hidden="false" customHeight="false" outlineLevel="0" collapsed="false">
      <c r="A689" s="24" t="n">
        <f aca="false">ROUND(A688+0.01,2)</f>
        <v>77.84</v>
      </c>
      <c r="B689" s="25" t="n">
        <f aca="false">INDEX(Bang_F,MATCH(A689,Bang_Z,1))+(A689-INDEX(Bang_Z,MATCH(A689,Bang_Z,1)))*(INDEX(Bang_F,MATCH(A689,Bang_Z,1)+1)-INDEX(Bang_F,MATCH(A689,Bang_Z,1)))</f>
        <v>7.8284</v>
      </c>
      <c r="C689" s="25" t="n">
        <f aca="false">INDEX(Bang_W,MATCH(A689,Bang_Z,1))+(A689-INDEX(Bang_Z,MATCH(A689,Bang_Z,1)))*(INDEX(Bang_F,MATCH(A689,Bang_Z,1))+B689)/2</f>
        <v>58.545928</v>
      </c>
      <c r="D689" s="26" t="n">
        <f aca="false">MAX(A689-TC_Z,0)</f>
        <v>3.14</v>
      </c>
      <c r="E689" s="27" t="n">
        <f aca="false">1-0.2*(TC_xmb+(TC_n-1)*TC_xmt)*D689/(TC_n*TC_b)</f>
        <v>0.874981481481482</v>
      </c>
      <c r="F689" s="28" t="n">
        <f aca="false">TC_s*E689*TC_m*TC_n*TC_b*SQRT(2*g_)*D689^1.5</f>
        <v>209.608601344019</v>
      </c>
      <c r="G689" s="29" t="n">
        <f aca="false">MAX(A689-SC_Z,0)</f>
        <v>6.84</v>
      </c>
      <c r="H689" s="30" t="n">
        <f aca="false">1-0.2*(SC_xmb+(SC_n-1)*SC_xmt)*G689/(SC_n*SC_b)</f>
        <v>0.80848</v>
      </c>
      <c r="I689" s="31" t="n">
        <f aca="false">SC_s*H689*SC_m*SC_n*SC_b*SQRT(2*g_)*G689^1.5</f>
        <v>144.140310449325</v>
      </c>
      <c r="J689" s="32" t="n">
        <f aca="false">F689+I689</f>
        <v>353.748911793344</v>
      </c>
      <c r="K689" s="32" t="n">
        <f aca="false">F689</f>
        <v>209.608601344019</v>
      </c>
      <c r="L689" s="32" t="n">
        <f aca="false">C689*1000000/dt_s+J689/2</f>
        <v>16439.6322336745</v>
      </c>
      <c r="M689" s="32" t="n">
        <f aca="false">C689*1000000/dt_s+K689/2</f>
        <v>16367.5620784498</v>
      </c>
    </row>
    <row r="690" customFormat="false" ht="15" hidden="false" customHeight="false" outlineLevel="0" collapsed="false">
      <c r="A690" s="24" t="n">
        <f aca="false">ROUND(A689+0.01,2)</f>
        <v>77.85</v>
      </c>
      <c r="B690" s="25" t="n">
        <f aca="false">INDEX(Bang_F,MATCH(A690,Bang_Z,1))+(A690-INDEX(Bang_Z,MATCH(A690,Bang_Z,1)))*(INDEX(Bang_F,MATCH(A690,Bang_Z,1)+1)-INDEX(Bang_F,MATCH(A690,Bang_Z,1)))</f>
        <v>7.8335</v>
      </c>
      <c r="C690" s="25" t="n">
        <f aca="false">INDEX(Bang_W,MATCH(A690,Bang_Z,1))+(A690-INDEX(Bang_Z,MATCH(A690,Bang_Z,1)))*(INDEX(Bang_F,MATCH(A690,Bang_Z,1))+B690)/2</f>
        <v>58.6242375</v>
      </c>
      <c r="D690" s="26" t="n">
        <f aca="false">MAX(A690-TC_Z,0)</f>
        <v>3.14999999999999</v>
      </c>
      <c r="E690" s="27" t="n">
        <f aca="false">1-0.2*(TC_xmb+(TC_n-1)*TC_xmt)*D690/(TC_n*TC_b)</f>
        <v>0.874583333333334</v>
      </c>
      <c r="F690" s="28" t="n">
        <f aca="false">TC_s*E690*TC_m*TC_n*TC_b*SQRT(2*g_)*D690^1.5</f>
        <v>210.514877646793</v>
      </c>
      <c r="G690" s="29" t="n">
        <f aca="false">MAX(A690-SC_Z,0)</f>
        <v>6.84999999999999</v>
      </c>
      <c r="H690" s="30" t="n">
        <f aca="false">1-0.2*(SC_xmb+(SC_n-1)*SC_xmt)*G690/(SC_n*SC_b)</f>
        <v>0.8082</v>
      </c>
      <c r="I690" s="31" t="n">
        <f aca="false">SC_s*H690*SC_m*SC_n*SC_b*SQRT(2*g_)*G690^1.5</f>
        <v>144.406493655114</v>
      </c>
      <c r="J690" s="32" t="n">
        <f aca="false">F690+I690</f>
        <v>354.921371301907</v>
      </c>
      <c r="K690" s="32" t="n">
        <f aca="false">F690</f>
        <v>210.514877646793</v>
      </c>
      <c r="L690" s="32" t="n">
        <f aca="false">C690*1000000/dt_s+J690/2</f>
        <v>16461.9711023176</v>
      </c>
      <c r="M690" s="32" t="n">
        <f aca="false">C690*1000000/dt_s+K690/2</f>
        <v>16389.7678554901</v>
      </c>
    </row>
    <row r="691" customFormat="false" ht="15" hidden="false" customHeight="false" outlineLevel="0" collapsed="false">
      <c r="A691" s="24" t="n">
        <f aca="false">ROUND(A690+0.01,2)</f>
        <v>77.86</v>
      </c>
      <c r="B691" s="25" t="n">
        <f aca="false">INDEX(Bang_F,MATCH(A691,Bang_Z,1))+(A691-INDEX(Bang_Z,MATCH(A691,Bang_Z,1)))*(INDEX(Bang_F,MATCH(A691,Bang_Z,1)+1)-INDEX(Bang_F,MATCH(A691,Bang_Z,1)))</f>
        <v>7.8386</v>
      </c>
      <c r="C691" s="25" t="n">
        <f aca="false">INDEX(Bang_W,MATCH(A691,Bang_Z,1))+(A691-INDEX(Bang_Z,MATCH(A691,Bang_Z,1)))*(INDEX(Bang_F,MATCH(A691,Bang_Z,1))+B691)/2</f>
        <v>58.702598</v>
      </c>
      <c r="D691" s="26" t="n">
        <f aca="false">MAX(A691-TC_Z,0)</f>
        <v>3.16</v>
      </c>
      <c r="E691" s="27" t="n">
        <f aca="false">1-0.2*(TC_xmb+(TC_n-1)*TC_xmt)*D691/(TC_n*TC_b)</f>
        <v>0.874185185185185</v>
      </c>
      <c r="F691" s="28" t="n">
        <f aca="false">TC_s*E691*TC_m*TC_n*TC_b*SQRT(2*g_)*D691^1.5</f>
        <v>211.42183242548</v>
      </c>
      <c r="G691" s="29" t="n">
        <f aca="false">MAX(A691-SC_Z,0)</f>
        <v>6.86</v>
      </c>
      <c r="H691" s="30" t="n">
        <f aca="false">1-0.2*(SC_xmb+(SC_n-1)*SC_xmt)*G691/(SC_n*SC_b)</f>
        <v>0.80792</v>
      </c>
      <c r="I691" s="31" t="n">
        <f aca="false">SC_s*H691*SC_m*SC_n*SC_b*SQRT(2*g_)*G691^1.5</f>
        <v>144.672688570279</v>
      </c>
      <c r="J691" s="32" t="n">
        <f aca="false">F691+I691</f>
        <v>356.094520995759</v>
      </c>
      <c r="K691" s="32" t="n">
        <f aca="false">F691</f>
        <v>211.42183242548</v>
      </c>
      <c r="L691" s="32" t="n">
        <f aca="false">C691*1000000/dt_s+J691/2</f>
        <v>16484.3244827201</v>
      </c>
      <c r="M691" s="32" t="n">
        <f aca="false">C691*1000000/dt_s+K691/2</f>
        <v>16411.988138435</v>
      </c>
    </row>
    <row r="692" customFormat="false" ht="15" hidden="false" customHeight="false" outlineLevel="0" collapsed="false">
      <c r="A692" s="24" t="n">
        <f aca="false">ROUND(A691+0.01,2)</f>
        <v>77.87</v>
      </c>
      <c r="B692" s="25" t="n">
        <f aca="false">INDEX(Bang_F,MATCH(A692,Bang_Z,1))+(A692-INDEX(Bang_Z,MATCH(A692,Bang_Z,1)))*(INDEX(Bang_F,MATCH(A692,Bang_Z,1)+1)-INDEX(Bang_F,MATCH(A692,Bang_Z,1)))</f>
        <v>7.8437</v>
      </c>
      <c r="C692" s="25" t="n">
        <f aca="false">INDEX(Bang_W,MATCH(A692,Bang_Z,1))+(A692-INDEX(Bang_Z,MATCH(A692,Bang_Z,1)))*(INDEX(Bang_F,MATCH(A692,Bang_Z,1))+B692)/2</f>
        <v>58.7810095</v>
      </c>
      <c r="D692" s="26" t="n">
        <f aca="false">MAX(A692-TC_Z,0)</f>
        <v>3.17</v>
      </c>
      <c r="E692" s="27" t="n">
        <f aca="false">1-0.2*(TC_xmb+(TC_n-1)*TC_xmt)*D692/(TC_n*TC_b)</f>
        <v>0.873787037037037</v>
      </c>
      <c r="F692" s="28" t="n">
        <f aca="false">TC_s*E692*TC_m*TC_n*TC_b*SQRT(2*g_)*D692^1.5</f>
        <v>212.329460989517</v>
      </c>
      <c r="G692" s="29" t="n">
        <f aca="false">MAX(A692-SC_Z,0)</f>
        <v>6.87</v>
      </c>
      <c r="H692" s="30" t="n">
        <f aca="false">1-0.2*(SC_xmb+(SC_n-1)*SC_xmt)*G692/(SC_n*SC_b)</f>
        <v>0.80764</v>
      </c>
      <c r="I692" s="31" t="n">
        <f aca="false">SC_s*H692*SC_m*SC_n*SC_b*SQRT(2*g_)*G692^1.5</f>
        <v>144.938894786742</v>
      </c>
      <c r="J692" s="32" t="n">
        <f aca="false">F692+I692</f>
        <v>357.268355776259</v>
      </c>
      <c r="K692" s="32" t="n">
        <f aca="false">F692</f>
        <v>212.329460989517</v>
      </c>
      <c r="L692" s="32" t="n">
        <f aca="false">C692*1000000/dt_s+J692/2</f>
        <v>16506.6923723326</v>
      </c>
      <c r="M692" s="32" t="n">
        <f aca="false">C692*1000000/dt_s+K692/2</f>
        <v>16434.2229249392</v>
      </c>
    </row>
    <row r="693" customFormat="false" ht="15" hidden="false" customHeight="false" outlineLevel="0" collapsed="false">
      <c r="A693" s="24" t="n">
        <f aca="false">ROUND(A692+0.01,2)</f>
        <v>77.88</v>
      </c>
      <c r="B693" s="25" t="n">
        <f aca="false">INDEX(Bang_F,MATCH(A693,Bang_Z,1))+(A693-INDEX(Bang_Z,MATCH(A693,Bang_Z,1)))*(INDEX(Bang_F,MATCH(A693,Bang_Z,1)+1)-INDEX(Bang_F,MATCH(A693,Bang_Z,1)))</f>
        <v>7.8488</v>
      </c>
      <c r="C693" s="25" t="n">
        <f aca="false">INDEX(Bang_W,MATCH(A693,Bang_Z,1))+(A693-INDEX(Bang_Z,MATCH(A693,Bang_Z,1)))*(INDEX(Bang_F,MATCH(A693,Bang_Z,1))+B693)/2</f>
        <v>58.859472</v>
      </c>
      <c r="D693" s="26" t="n">
        <f aca="false">MAX(A693-TC_Z,0)</f>
        <v>3.17999999999999</v>
      </c>
      <c r="E693" s="27" t="n">
        <f aca="false">1-0.2*(TC_xmb+(TC_n-1)*TC_xmt)*D693/(TC_n*TC_b)</f>
        <v>0.873388888888889</v>
      </c>
      <c r="F693" s="28" t="n">
        <f aca="false">TC_s*E693*TC_m*TC_n*TC_b*SQRT(2*g_)*D693^1.5</f>
        <v>213.237758664848</v>
      </c>
      <c r="G693" s="29" t="n">
        <f aca="false">MAX(A693-SC_Z,0)</f>
        <v>6.88</v>
      </c>
      <c r="H693" s="30" t="n">
        <f aca="false">1-0.2*(SC_xmb+(SC_n-1)*SC_xmt)*G693/(SC_n*SC_b)</f>
        <v>0.80736</v>
      </c>
      <c r="I693" s="31" t="n">
        <f aca="false">SC_s*H693*SC_m*SC_n*SC_b*SQRT(2*g_)*G693^1.5</f>
        <v>145.205111897027</v>
      </c>
      <c r="J693" s="32" t="n">
        <f aca="false">F693+I693</f>
        <v>358.442870561874</v>
      </c>
      <c r="K693" s="32" t="n">
        <f aca="false">F693</f>
        <v>213.237758664848</v>
      </c>
      <c r="L693" s="32" t="n">
        <f aca="false">C693*1000000/dt_s+J693/2</f>
        <v>16529.0747686143</v>
      </c>
      <c r="M693" s="32" t="n">
        <f aca="false">C693*1000000/dt_s+K693/2</f>
        <v>16456.4722126657</v>
      </c>
    </row>
    <row r="694" customFormat="false" ht="15" hidden="false" customHeight="false" outlineLevel="0" collapsed="false">
      <c r="A694" s="24" t="n">
        <f aca="false">ROUND(A693+0.01,2)</f>
        <v>77.89</v>
      </c>
      <c r="B694" s="25" t="n">
        <f aca="false">INDEX(Bang_F,MATCH(A694,Bang_Z,1))+(A694-INDEX(Bang_Z,MATCH(A694,Bang_Z,1)))*(INDEX(Bang_F,MATCH(A694,Bang_Z,1)+1)-INDEX(Bang_F,MATCH(A694,Bang_Z,1)))</f>
        <v>7.8539</v>
      </c>
      <c r="C694" s="25" t="n">
        <f aca="false">INDEX(Bang_W,MATCH(A694,Bang_Z,1))+(A694-INDEX(Bang_Z,MATCH(A694,Bang_Z,1)))*(INDEX(Bang_F,MATCH(A694,Bang_Z,1))+B694)/2</f>
        <v>58.9379855</v>
      </c>
      <c r="D694" s="26" t="n">
        <f aca="false">MAX(A694-TC_Z,0)</f>
        <v>3.19</v>
      </c>
      <c r="E694" s="27" t="n">
        <f aca="false">1-0.2*(TC_xmb+(TC_n-1)*TC_xmt)*D694/(TC_n*TC_b)</f>
        <v>0.872990740740741</v>
      </c>
      <c r="F694" s="28" t="n">
        <f aca="false">TC_s*E694*TC_m*TC_n*TC_b*SQRT(2*g_)*D694^1.5</f>
        <v>214.1467207938</v>
      </c>
      <c r="G694" s="29" t="n">
        <f aca="false">MAX(A694-SC_Z,0)</f>
        <v>6.89</v>
      </c>
      <c r="H694" s="30" t="n">
        <f aca="false">1-0.2*(SC_xmb+(SC_n-1)*SC_xmt)*G694/(SC_n*SC_b)</f>
        <v>0.80708</v>
      </c>
      <c r="I694" s="31" t="n">
        <f aca="false">SC_s*H694*SC_m*SC_n*SC_b*SQRT(2*g_)*G694^1.5</f>
        <v>145.471339494255</v>
      </c>
      <c r="J694" s="32" t="n">
        <f aca="false">F694+I694</f>
        <v>359.618060288056</v>
      </c>
      <c r="K694" s="32" t="n">
        <f aca="false">F694</f>
        <v>214.1467207938</v>
      </c>
      <c r="L694" s="32" t="n">
        <f aca="false">C694*1000000/dt_s+J694/2</f>
        <v>16551.4716690329</v>
      </c>
      <c r="M694" s="32" t="n">
        <f aca="false">C694*1000000/dt_s+K694/2</f>
        <v>16478.7359992858</v>
      </c>
    </row>
    <row r="695" customFormat="false" ht="15" hidden="false" customHeight="false" outlineLevel="0" collapsed="false">
      <c r="A695" s="24" t="n">
        <f aca="false">ROUND(A694+0.01,2)</f>
        <v>77.9</v>
      </c>
      <c r="B695" s="25" t="n">
        <f aca="false">INDEX(Bang_F,MATCH(A695,Bang_Z,1))+(A695-INDEX(Bang_Z,MATCH(A695,Bang_Z,1)))*(INDEX(Bang_F,MATCH(A695,Bang_Z,1)+1)-INDEX(Bang_F,MATCH(A695,Bang_Z,1)))</f>
        <v>7.859</v>
      </c>
      <c r="C695" s="25" t="n">
        <f aca="false">INDEX(Bang_W,MATCH(A695,Bang_Z,1))+(A695-INDEX(Bang_Z,MATCH(A695,Bang_Z,1)))*(INDEX(Bang_F,MATCH(A695,Bang_Z,1))+B695)/2</f>
        <v>59.01655</v>
      </c>
      <c r="D695" s="26" t="n">
        <f aca="false">MAX(A695-TC_Z,0)</f>
        <v>3.2</v>
      </c>
      <c r="E695" s="27" t="n">
        <f aca="false">1-0.2*(TC_xmb+(TC_n-1)*TC_xmt)*D695/(TC_n*TC_b)</f>
        <v>0.872592592592593</v>
      </c>
      <c r="F695" s="28" t="n">
        <f aca="false">TC_s*E695*TC_m*TC_n*TC_b*SQRT(2*g_)*D695^1.5</f>
        <v>215.056342734965</v>
      </c>
      <c r="G695" s="29" t="n">
        <f aca="false">MAX(A695-SC_Z,0)</f>
        <v>6.90000000000001</v>
      </c>
      <c r="H695" s="30" t="n">
        <f aca="false">1-0.2*(SC_xmb+(SC_n-1)*SC_xmt)*G695/(SC_n*SC_b)</f>
        <v>0.8068</v>
      </c>
      <c r="I695" s="31" t="n">
        <f aca="false">SC_s*H695*SC_m*SC_n*SC_b*SQRT(2*g_)*G695^1.5</f>
        <v>145.737577172147</v>
      </c>
      <c r="J695" s="32" t="n">
        <f aca="false">F695+I695</f>
        <v>360.793919907112</v>
      </c>
      <c r="K695" s="32" t="n">
        <f aca="false">F695</f>
        <v>215.056342734965</v>
      </c>
      <c r="L695" s="32" t="n">
        <f aca="false">C695*1000000/dt_s+J695/2</f>
        <v>16573.8830710647</v>
      </c>
      <c r="M695" s="32" t="n">
        <f aca="false">C695*1000000/dt_s+K695/2</f>
        <v>16501.0142824786</v>
      </c>
    </row>
    <row r="696" customFormat="false" ht="15" hidden="false" customHeight="false" outlineLevel="0" collapsed="false">
      <c r="A696" s="24" t="n">
        <f aca="false">ROUND(A695+0.01,2)</f>
        <v>77.91</v>
      </c>
      <c r="B696" s="25" t="n">
        <f aca="false">INDEX(Bang_F,MATCH(A696,Bang_Z,1))+(A696-INDEX(Bang_Z,MATCH(A696,Bang_Z,1)))*(INDEX(Bang_F,MATCH(A696,Bang_Z,1)+1)-INDEX(Bang_F,MATCH(A696,Bang_Z,1)))</f>
        <v>7.8641</v>
      </c>
      <c r="C696" s="25" t="n">
        <f aca="false">INDEX(Bang_W,MATCH(A696,Bang_Z,1))+(A696-INDEX(Bang_Z,MATCH(A696,Bang_Z,1)))*(INDEX(Bang_F,MATCH(A696,Bang_Z,1))+B696)/2</f>
        <v>59.0951655</v>
      </c>
      <c r="D696" s="26" t="n">
        <f aca="false">MAX(A696-TC_Z,0)</f>
        <v>3.20999999999999</v>
      </c>
      <c r="E696" s="27" t="n">
        <f aca="false">1-0.2*(TC_xmb+(TC_n-1)*TC_xmt)*D696/(TC_n*TC_b)</f>
        <v>0.872194444444445</v>
      </c>
      <c r="F696" s="28" t="n">
        <f aca="false">TC_s*E696*TC_m*TC_n*TC_b*SQRT(2*g_)*D696^1.5</f>
        <v>215.966619863077</v>
      </c>
      <c r="G696" s="29" t="n">
        <f aca="false">MAX(A696-SC_Z,0)</f>
        <v>6.91</v>
      </c>
      <c r="H696" s="30" t="n">
        <f aca="false">1-0.2*(SC_xmb+(SC_n-1)*SC_xmt)*G696/(SC_n*SC_b)</f>
        <v>0.80652</v>
      </c>
      <c r="I696" s="31" t="n">
        <f aca="false">SC_s*H696*SC_m*SC_n*SC_b*SQRT(2*g_)*G696^1.5</f>
        <v>146.003824525013</v>
      </c>
      <c r="J696" s="32" t="n">
        <f aca="false">F696+I696</f>
        <v>361.97044438809</v>
      </c>
      <c r="K696" s="32" t="n">
        <f aca="false">F696</f>
        <v>215.966619863077</v>
      </c>
      <c r="L696" s="32" t="n">
        <f aca="false">C696*1000000/dt_s+J696/2</f>
        <v>16596.308972194</v>
      </c>
      <c r="M696" s="32" t="n">
        <f aca="false">C696*1000000/dt_s+K696/2</f>
        <v>16523.3070599315</v>
      </c>
    </row>
    <row r="697" customFormat="false" ht="15" hidden="false" customHeight="false" outlineLevel="0" collapsed="false">
      <c r="A697" s="24" t="n">
        <f aca="false">ROUND(A696+0.01,2)</f>
        <v>77.92</v>
      </c>
      <c r="B697" s="25" t="n">
        <f aca="false">INDEX(Bang_F,MATCH(A697,Bang_Z,1))+(A697-INDEX(Bang_Z,MATCH(A697,Bang_Z,1)))*(INDEX(Bang_F,MATCH(A697,Bang_Z,1)+1)-INDEX(Bang_F,MATCH(A697,Bang_Z,1)))</f>
        <v>7.8692</v>
      </c>
      <c r="C697" s="25" t="n">
        <f aca="false">INDEX(Bang_W,MATCH(A697,Bang_Z,1))+(A697-INDEX(Bang_Z,MATCH(A697,Bang_Z,1)))*(INDEX(Bang_F,MATCH(A697,Bang_Z,1))+B697)/2</f>
        <v>59.173832</v>
      </c>
      <c r="D697" s="26" t="n">
        <f aca="false">MAX(A697-TC_Z,0)</f>
        <v>3.22</v>
      </c>
      <c r="E697" s="27" t="n">
        <f aca="false">1-0.2*(TC_xmb+(TC_n-1)*TC_xmt)*D697/(TC_n*TC_b)</f>
        <v>0.871796296296296</v>
      </c>
      <c r="F697" s="28" t="n">
        <f aca="false">TC_s*E697*TC_m*TC_n*TC_b*SQRT(2*g_)*D697^1.5</f>
        <v>216.877547568904</v>
      </c>
      <c r="G697" s="29" t="n">
        <f aca="false">MAX(A697-SC_Z,0)</f>
        <v>6.92</v>
      </c>
      <c r="H697" s="30" t="n">
        <f aca="false">1-0.2*(SC_xmb+(SC_n-1)*SC_xmt)*G697/(SC_n*SC_b)</f>
        <v>0.80624</v>
      </c>
      <c r="I697" s="31" t="n">
        <f aca="false">SC_s*H697*SC_m*SC_n*SC_b*SQRT(2*g_)*G697^1.5</f>
        <v>146.27008114776</v>
      </c>
      <c r="J697" s="32" t="n">
        <f aca="false">F697+I697</f>
        <v>363.147628716664</v>
      </c>
      <c r="K697" s="32" t="n">
        <f aca="false">F697</f>
        <v>216.877547568904</v>
      </c>
      <c r="L697" s="32" t="n">
        <f aca="false">C697*1000000/dt_s+J697/2</f>
        <v>16618.7493699139</v>
      </c>
      <c r="M697" s="32" t="n">
        <f aca="false">C697*1000000/dt_s+K697/2</f>
        <v>16545.61432934</v>
      </c>
    </row>
    <row r="698" customFormat="false" ht="15" hidden="false" customHeight="false" outlineLevel="0" collapsed="false">
      <c r="A698" s="24" t="n">
        <f aca="false">ROUND(A697+0.01,2)</f>
        <v>77.93</v>
      </c>
      <c r="B698" s="25" t="n">
        <f aca="false">INDEX(Bang_F,MATCH(A698,Bang_Z,1))+(A698-INDEX(Bang_Z,MATCH(A698,Bang_Z,1)))*(INDEX(Bang_F,MATCH(A698,Bang_Z,1)+1)-INDEX(Bang_F,MATCH(A698,Bang_Z,1)))</f>
        <v>7.8743</v>
      </c>
      <c r="C698" s="25" t="n">
        <f aca="false">INDEX(Bang_W,MATCH(A698,Bang_Z,1))+(A698-INDEX(Bang_Z,MATCH(A698,Bang_Z,1)))*(INDEX(Bang_F,MATCH(A698,Bang_Z,1))+B698)/2</f>
        <v>59.2525495000001</v>
      </c>
      <c r="D698" s="26" t="n">
        <f aca="false">MAX(A698-TC_Z,0)</f>
        <v>3.23</v>
      </c>
      <c r="E698" s="27" t="n">
        <f aca="false">1-0.2*(TC_xmb+(TC_n-1)*TC_xmt)*D698/(TC_n*TC_b)</f>
        <v>0.871398148148148</v>
      </c>
      <c r="F698" s="28" t="n">
        <f aca="false">TC_s*E698*TC_m*TC_n*TC_b*SQRT(2*g_)*D698^1.5</f>
        <v>217.789121259123</v>
      </c>
      <c r="G698" s="29" t="n">
        <f aca="false">MAX(A698-SC_Z,0)</f>
        <v>6.93000000000001</v>
      </c>
      <c r="H698" s="30" t="n">
        <f aca="false">1-0.2*(SC_xmb+(SC_n-1)*SC_xmt)*G698/(SC_n*SC_b)</f>
        <v>0.80596</v>
      </c>
      <c r="I698" s="31" t="n">
        <f aca="false">SC_s*H698*SC_m*SC_n*SC_b*SQRT(2*g_)*G698^1.5</f>
        <v>146.536346635885</v>
      </c>
      <c r="J698" s="32" t="n">
        <f aca="false">F698+I698</f>
        <v>364.325467895008</v>
      </c>
      <c r="K698" s="32" t="n">
        <f aca="false">F698</f>
        <v>217.789121259123</v>
      </c>
      <c r="L698" s="32" t="n">
        <f aca="false">C698*1000000/dt_s+J698/2</f>
        <v>16641.2042617253</v>
      </c>
      <c r="M698" s="32" t="n">
        <f aca="false">C698*1000000/dt_s+K698/2</f>
        <v>16567.9360884074</v>
      </c>
    </row>
    <row r="699" customFormat="false" ht="15" hidden="false" customHeight="false" outlineLevel="0" collapsed="false">
      <c r="A699" s="24" t="n">
        <f aca="false">ROUND(A698+0.01,2)</f>
        <v>77.94</v>
      </c>
      <c r="B699" s="25" t="n">
        <f aca="false">INDEX(Bang_F,MATCH(A699,Bang_Z,1))+(A699-INDEX(Bang_Z,MATCH(A699,Bang_Z,1)))*(INDEX(Bang_F,MATCH(A699,Bang_Z,1)+1)-INDEX(Bang_F,MATCH(A699,Bang_Z,1)))</f>
        <v>7.8794</v>
      </c>
      <c r="C699" s="25" t="n">
        <f aca="false">INDEX(Bang_W,MATCH(A699,Bang_Z,1))+(A699-INDEX(Bang_Z,MATCH(A699,Bang_Z,1)))*(INDEX(Bang_F,MATCH(A699,Bang_Z,1))+B699)/2</f>
        <v>59.331318</v>
      </c>
      <c r="D699" s="26" t="n">
        <f aca="false">MAX(A699-TC_Z,0)</f>
        <v>3.24</v>
      </c>
      <c r="E699" s="27" t="n">
        <f aca="false">1-0.2*(TC_xmb+(TC_n-1)*TC_xmt)*D699/(TC_n*TC_b)</f>
        <v>0.871</v>
      </c>
      <c r="F699" s="28" t="n">
        <f aca="false">TC_s*E699*TC_m*TC_n*TC_b*SQRT(2*g_)*D699^1.5</f>
        <v>218.701336356208</v>
      </c>
      <c r="G699" s="29" t="n">
        <f aca="false">MAX(A699-SC_Z,0)</f>
        <v>6.94</v>
      </c>
      <c r="H699" s="30" t="n">
        <f aca="false">1-0.2*(SC_xmb+(SC_n-1)*SC_xmt)*G699/(SC_n*SC_b)</f>
        <v>0.80568</v>
      </c>
      <c r="I699" s="31" t="n">
        <f aca="false">SC_s*H699*SC_m*SC_n*SC_b*SQRT(2*g_)*G699^1.5</f>
        <v>146.802620585473</v>
      </c>
      <c r="J699" s="32" t="n">
        <f aca="false">F699+I699</f>
        <v>365.50395694168</v>
      </c>
      <c r="K699" s="32" t="n">
        <f aca="false">F699</f>
        <v>218.701336356208</v>
      </c>
      <c r="L699" s="32" t="n">
        <f aca="false">C699*1000000/dt_s+J699/2</f>
        <v>16663.6736451375</v>
      </c>
      <c r="M699" s="32" t="n">
        <f aca="false">C699*1000000/dt_s+K699/2</f>
        <v>16590.2723348448</v>
      </c>
    </row>
    <row r="700" customFormat="false" ht="15" hidden="false" customHeight="false" outlineLevel="0" collapsed="false">
      <c r="A700" s="24" t="n">
        <f aca="false">ROUND(A699+0.01,2)</f>
        <v>77.95</v>
      </c>
      <c r="B700" s="25" t="n">
        <f aca="false">INDEX(Bang_F,MATCH(A700,Bang_Z,1))+(A700-INDEX(Bang_Z,MATCH(A700,Bang_Z,1)))*(INDEX(Bang_F,MATCH(A700,Bang_Z,1)+1)-INDEX(Bang_F,MATCH(A700,Bang_Z,1)))</f>
        <v>7.8845</v>
      </c>
      <c r="C700" s="25" t="n">
        <f aca="false">INDEX(Bang_W,MATCH(A700,Bang_Z,1))+(A700-INDEX(Bang_Z,MATCH(A700,Bang_Z,1)))*(INDEX(Bang_F,MATCH(A700,Bang_Z,1))+B700)/2</f>
        <v>59.4101375</v>
      </c>
      <c r="D700" s="26" t="n">
        <f aca="false">MAX(A700-TC_Z,0)</f>
        <v>3.25</v>
      </c>
      <c r="E700" s="27" t="n">
        <f aca="false">1-0.2*(TC_xmb+(TC_n-1)*TC_xmt)*D700/(TC_n*TC_b)</f>
        <v>0.870601851851852</v>
      </c>
      <c r="F700" s="28" t="n">
        <f aca="false">TC_s*E700*TC_m*TC_n*TC_b*SQRT(2*g_)*D700^1.5</f>
        <v>219.614188298322</v>
      </c>
      <c r="G700" s="29" t="n">
        <f aca="false">MAX(A700-SC_Z,0)</f>
        <v>6.95</v>
      </c>
      <c r="H700" s="30" t="n">
        <f aca="false">1-0.2*(SC_xmb+(SC_n-1)*SC_xmt)*G700/(SC_n*SC_b)</f>
        <v>0.8054</v>
      </c>
      <c r="I700" s="31" t="n">
        <f aca="false">SC_s*H700*SC_m*SC_n*SC_b*SQRT(2*g_)*G700^1.5</f>
        <v>147.068902593195</v>
      </c>
      <c r="J700" s="32" t="n">
        <f aca="false">F700+I700</f>
        <v>366.683090891517</v>
      </c>
      <c r="K700" s="32" t="n">
        <f aca="false">F700</f>
        <v>219.614188298322</v>
      </c>
      <c r="L700" s="32" t="n">
        <f aca="false">C700*1000000/dt_s+J700/2</f>
        <v>16686.157517668</v>
      </c>
      <c r="M700" s="32" t="n">
        <f aca="false">C700*1000000/dt_s+K700/2</f>
        <v>16612.6230663714</v>
      </c>
    </row>
    <row r="701" customFormat="false" ht="15" hidden="false" customHeight="false" outlineLevel="0" collapsed="false">
      <c r="A701" s="24" t="n">
        <f aca="false">ROUND(A700+0.01,2)</f>
        <v>77.96</v>
      </c>
      <c r="B701" s="25" t="n">
        <f aca="false">INDEX(Bang_F,MATCH(A701,Bang_Z,1))+(A701-INDEX(Bang_Z,MATCH(A701,Bang_Z,1)))*(INDEX(Bang_F,MATCH(A701,Bang_Z,1)+1)-INDEX(Bang_F,MATCH(A701,Bang_Z,1)))</f>
        <v>7.8896</v>
      </c>
      <c r="C701" s="25" t="n">
        <f aca="false">INDEX(Bang_W,MATCH(A701,Bang_Z,1))+(A701-INDEX(Bang_Z,MATCH(A701,Bang_Z,1)))*(INDEX(Bang_F,MATCH(A701,Bang_Z,1))+B701)/2</f>
        <v>59.489008</v>
      </c>
      <c r="D701" s="26" t="n">
        <f aca="false">MAX(A701-TC_Z,0)</f>
        <v>3.25999999999999</v>
      </c>
      <c r="E701" s="27" t="n">
        <f aca="false">1-0.2*(TC_xmb+(TC_n-1)*TC_xmt)*D701/(TC_n*TC_b)</f>
        <v>0.870203703703704</v>
      </c>
      <c r="F701" s="28" t="n">
        <f aca="false">TC_s*E701*TC_m*TC_n*TC_b*SQRT(2*g_)*D701^1.5</f>
        <v>220.527672539197</v>
      </c>
      <c r="G701" s="29" t="n">
        <f aca="false">MAX(A701-SC_Z,0)</f>
        <v>6.95999999999999</v>
      </c>
      <c r="H701" s="30" t="n">
        <f aca="false">1-0.2*(SC_xmb+(SC_n-1)*SC_xmt)*G701/(SC_n*SC_b)</f>
        <v>0.80512</v>
      </c>
      <c r="I701" s="31" t="n">
        <f aca="false">SC_s*H701*SC_m*SC_n*SC_b*SQRT(2*g_)*G701^1.5</f>
        <v>147.335192256308</v>
      </c>
      <c r="J701" s="32" t="n">
        <f aca="false">F701+I701</f>
        <v>367.862864795505</v>
      </c>
      <c r="K701" s="32" t="n">
        <f aca="false">F701</f>
        <v>220.527672539197</v>
      </c>
      <c r="L701" s="32" t="n">
        <f aca="false">C701*1000000/dt_s+J701/2</f>
        <v>16708.6558768422</v>
      </c>
      <c r="M701" s="32" t="n">
        <f aca="false">C701*1000000/dt_s+K701/2</f>
        <v>16634.988280714</v>
      </c>
    </row>
    <row r="702" customFormat="false" ht="15" hidden="false" customHeight="false" outlineLevel="0" collapsed="false">
      <c r="A702" s="24" t="n">
        <f aca="false">ROUND(A701+0.01,2)</f>
        <v>77.97</v>
      </c>
      <c r="B702" s="25" t="n">
        <f aca="false">INDEX(Bang_F,MATCH(A702,Bang_Z,1))+(A702-INDEX(Bang_Z,MATCH(A702,Bang_Z,1)))*(INDEX(Bang_F,MATCH(A702,Bang_Z,1)+1)-INDEX(Bang_F,MATCH(A702,Bang_Z,1)))</f>
        <v>7.8947</v>
      </c>
      <c r="C702" s="25" t="n">
        <f aca="false">INDEX(Bang_W,MATCH(A702,Bang_Z,1))+(A702-INDEX(Bang_Z,MATCH(A702,Bang_Z,1)))*(INDEX(Bang_F,MATCH(A702,Bang_Z,1))+B702)/2</f>
        <v>59.5679295</v>
      </c>
      <c r="D702" s="26" t="n">
        <f aca="false">MAX(A702-TC_Z,0)</f>
        <v>3.27</v>
      </c>
      <c r="E702" s="27" t="n">
        <f aca="false">1-0.2*(TC_xmb+(TC_n-1)*TC_xmt)*D702/(TC_n*TC_b)</f>
        <v>0.869805555555556</v>
      </c>
      <c r="F702" s="28" t="n">
        <f aca="false">TC_s*E702*TC_m*TC_n*TC_b*SQRT(2*g_)*D702^1.5</f>
        <v>221.441784548029</v>
      </c>
      <c r="G702" s="29" t="n">
        <f aca="false">MAX(A702-SC_Z,0)</f>
        <v>6.97</v>
      </c>
      <c r="H702" s="30" t="n">
        <f aca="false">1-0.2*(SC_xmb+(SC_n-1)*SC_xmt)*G702/(SC_n*SC_b)</f>
        <v>0.80484</v>
      </c>
      <c r="I702" s="31" t="n">
        <f aca="false">SC_s*H702*SC_m*SC_n*SC_b*SQRT(2*g_)*G702^1.5</f>
        <v>147.601489172653</v>
      </c>
      <c r="J702" s="32" t="n">
        <f aca="false">F702+I702</f>
        <v>369.043273720682</v>
      </c>
      <c r="K702" s="32" t="n">
        <f aca="false">F702</f>
        <v>221.441784548029</v>
      </c>
      <c r="L702" s="32" t="n">
        <f aca="false">C702*1000000/dt_s+J702/2</f>
        <v>16731.1687201937</v>
      </c>
      <c r="M702" s="32" t="n">
        <f aca="false">C702*1000000/dt_s+K702/2</f>
        <v>16657.3679756073</v>
      </c>
    </row>
    <row r="703" customFormat="false" ht="15" hidden="false" customHeight="false" outlineLevel="0" collapsed="false">
      <c r="A703" s="24" t="n">
        <f aca="false">ROUND(A702+0.01,2)</f>
        <v>77.98</v>
      </c>
      <c r="B703" s="25" t="n">
        <f aca="false">INDEX(Bang_F,MATCH(A703,Bang_Z,1))+(A703-INDEX(Bang_Z,MATCH(A703,Bang_Z,1)))*(INDEX(Bang_F,MATCH(A703,Bang_Z,1)+1)-INDEX(Bang_F,MATCH(A703,Bang_Z,1)))</f>
        <v>7.8998</v>
      </c>
      <c r="C703" s="25" t="n">
        <f aca="false">INDEX(Bang_W,MATCH(A703,Bang_Z,1))+(A703-INDEX(Bang_Z,MATCH(A703,Bang_Z,1)))*(INDEX(Bang_F,MATCH(A703,Bang_Z,1))+B703)/2</f>
        <v>59.646902</v>
      </c>
      <c r="D703" s="26" t="n">
        <f aca="false">MAX(A703-TC_Z,0)</f>
        <v>3.28</v>
      </c>
      <c r="E703" s="27" t="n">
        <f aca="false">1-0.2*(TC_xmb+(TC_n-1)*TC_xmt)*D703/(TC_n*TC_b)</f>
        <v>0.869407407407407</v>
      </c>
      <c r="F703" s="28" t="n">
        <f aca="false">TC_s*E703*TC_m*TC_n*TC_b*SQRT(2*g_)*D703^1.5</f>
        <v>222.356519809363</v>
      </c>
      <c r="G703" s="29" t="n">
        <f aca="false">MAX(A703-SC_Z,0)</f>
        <v>6.98</v>
      </c>
      <c r="H703" s="30" t="n">
        <f aca="false">1-0.2*(SC_xmb+(SC_n-1)*SC_xmt)*G703/(SC_n*SC_b)</f>
        <v>0.80456</v>
      </c>
      <c r="I703" s="31" t="n">
        <f aca="false">SC_s*H703*SC_m*SC_n*SC_b*SQRT(2*g_)*G703^1.5</f>
        <v>147.867792940651</v>
      </c>
      <c r="J703" s="32" t="n">
        <f aca="false">F703+I703</f>
        <v>370.224312750014</v>
      </c>
      <c r="K703" s="32" t="n">
        <f aca="false">F703</f>
        <v>222.356519809363</v>
      </c>
      <c r="L703" s="32" t="n">
        <f aca="false">C703*1000000/dt_s+J703/2</f>
        <v>16753.6960452639</v>
      </c>
      <c r="M703" s="32" t="n">
        <f aca="false">C703*1000000/dt_s+K703/2</f>
        <v>16679.7621487936</v>
      </c>
    </row>
    <row r="704" customFormat="false" ht="15" hidden="false" customHeight="false" outlineLevel="0" collapsed="false">
      <c r="A704" s="24" t="n">
        <f aca="false">ROUND(A703+0.01,2)</f>
        <v>77.99</v>
      </c>
      <c r="B704" s="25" t="n">
        <f aca="false">INDEX(Bang_F,MATCH(A704,Bang_Z,1))+(A704-INDEX(Bang_Z,MATCH(A704,Bang_Z,1)))*(INDEX(Bang_F,MATCH(A704,Bang_Z,1)+1)-INDEX(Bang_F,MATCH(A704,Bang_Z,1)))</f>
        <v>7.9049</v>
      </c>
      <c r="C704" s="25" t="n">
        <f aca="false">INDEX(Bang_W,MATCH(A704,Bang_Z,1))+(A704-INDEX(Bang_Z,MATCH(A704,Bang_Z,1)))*(INDEX(Bang_F,MATCH(A704,Bang_Z,1))+B704)/2</f>
        <v>59.7259255</v>
      </c>
      <c r="D704" s="26" t="n">
        <f aca="false">MAX(A704-TC_Z,0)</f>
        <v>3.28999999999999</v>
      </c>
      <c r="E704" s="27" t="n">
        <f aca="false">1-0.2*(TC_xmb+(TC_n-1)*TC_xmt)*D704/(TC_n*TC_b)</f>
        <v>0.86900925925926</v>
      </c>
      <c r="F704" s="28" t="n">
        <f aca="false">TC_s*E704*TC_m*TC_n*TC_b*SQRT(2*g_)*D704^1.5</f>
        <v>223.271873822987</v>
      </c>
      <c r="G704" s="29" t="n">
        <f aca="false">MAX(A704-SC_Z,0)</f>
        <v>6.99</v>
      </c>
      <c r="H704" s="30" t="n">
        <f aca="false">1-0.2*(SC_xmb+(SC_n-1)*SC_xmt)*G704/(SC_n*SC_b)</f>
        <v>0.80428</v>
      </c>
      <c r="I704" s="31" t="n">
        <f aca="false">SC_s*H704*SC_m*SC_n*SC_b*SQRT(2*g_)*G704^1.5</f>
        <v>148.1341031593</v>
      </c>
      <c r="J704" s="32" t="n">
        <f aca="false">F704+I704</f>
        <v>371.405976982288</v>
      </c>
      <c r="K704" s="32" t="n">
        <f aca="false">F704</f>
        <v>223.271873822987</v>
      </c>
      <c r="L704" s="32" t="n">
        <f aca="false">C704*1000000/dt_s+J704/2</f>
        <v>16776.2378496022</v>
      </c>
      <c r="M704" s="32" t="n">
        <f aca="false">C704*1000000/dt_s+K704/2</f>
        <v>16702.1707980226</v>
      </c>
    </row>
    <row r="705" customFormat="false" ht="15" hidden="false" customHeight="false" outlineLevel="0" collapsed="false">
      <c r="A705" s="24" t="n">
        <f aca="false">ROUND(A704+0.01,2)</f>
        <v>78</v>
      </c>
      <c r="B705" s="25" t="n">
        <f aca="false">INDEX(Bang_F,MATCH(A705,Bang_Z,1))+(A705-INDEX(Bang_Z,MATCH(A705,Bang_Z,1)))*(INDEX(Bang_F,MATCH(A705,Bang_Z,1)+1)-INDEX(Bang_F,MATCH(A705,Bang_Z,1)))</f>
        <v>7.91</v>
      </c>
      <c r="C705" s="25" t="n">
        <f aca="false">INDEX(Bang_W,MATCH(A705,Bang_Z,1))+(A705-INDEX(Bang_Z,MATCH(A705,Bang_Z,1)))*(INDEX(Bang_F,MATCH(A705,Bang_Z,1))+B705)/2</f>
        <v>59.805</v>
      </c>
      <c r="D705" s="26" t="n">
        <f aca="false">MAX(A705-TC_Z,0)</f>
        <v>3.3</v>
      </c>
      <c r="E705" s="27" t="n">
        <f aca="false">1-0.2*(TC_xmb+(TC_n-1)*TC_xmt)*D705/(TC_n*TC_b)</f>
        <v>0.868611111111111</v>
      </c>
      <c r="F705" s="28" t="n">
        <f aca="false">TC_s*E705*TC_m*TC_n*TC_b*SQRT(2*g_)*D705^1.5</f>
        <v>224.187842103828</v>
      </c>
      <c r="G705" s="29" t="n">
        <f aca="false">MAX(A705-SC_Z,0)</f>
        <v>7</v>
      </c>
      <c r="H705" s="30" t="n">
        <f aca="false">1-0.2*(SC_xmb+(SC_n-1)*SC_xmt)*G705/(SC_n*SC_b)</f>
        <v>0.804</v>
      </c>
      <c r="I705" s="31" t="n">
        <f aca="false">SC_s*H705*SC_m*SC_n*SC_b*SQRT(2*g_)*G705^1.5</f>
        <v>148.400419428181</v>
      </c>
      <c r="J705" s="32" t="n">
        <f aca="false">F705+I705</f>
        <v>372.588261532008</v>
      </c>
      <c r="K705" s="32" t="n">
        <f aca="false">F705</f>
        <v>224.187842103828</v>
      </c>
      <c r="L705" s="32" t="n">
        <f aca="false">C705*1000000/dt_s+J705/2</f>
        <v>16798.794130766</v>
      </c>
      <c r="M705" s="32" t="n">
        <f aca="false">C705*1000000/dt_s+K705/2</f>
        <v>16724.5939210519</v>
      </c>
    </row>
    <row r="706" customFormat="false" ht="15" hidden="false" customHeight="false" outlineLevel="0" collapsed="false">
      <c r="A706" s="24" t="n">
        <f aca="false">ROUND(A705+0.01,2)</f>
        <v>78.01</v>
      </c>
      <c r="B706" s="25" t="n">
        <f aca="false">INDEX(Bang_F,MATCH(A706,Bang_Z,1))+(A706-INDEX(Bang_Z,MATCH(A706,Bang_Z,1)))*(INDEX(Bang_F,MATCH(A706,Bang_Z,1)+1)-INDEX(Bang_F,MATCH(A706,Bang_Z,1)))</f>
        <v>7.9152</v>
      </c>
      <c r="C706" s="25" t="n">
        <f aca="false">INDEX(Bang_W,MATCH(A706,Bang_Z,1))+(A706-INDEX(Bang_Z,MATCH(A706,Bang_Z,1)))*(INDEX(Bang_F,MATCH(A706,Bang_Z,1))+B706)/2</f>
        <v>59.884126</v>
      </c>
      <c r="D706" s="26" t="n">
        <f aca="false">MAX(A706-TC_Z,0)</f>
        <v>3.31</v>
      </c>
      <c r="E706" s="27" t="n">
        <f aca="false">1-0.2*(TC_xmb+(TC_n-1)*TC_xmt)*D706/(TC_n*TC_b)</f>
        <v>0.868212962962963</v>
      </c>
      <c r="F706" s="28" t="n">
        <f aca="false">TC_s*E706*TC_m*TC_n*TC_b*SQRT(2*g_)*D706^1.5</f>
        <v>225.104420181835</v>
      </c>
      <c r="G706" s="29" t="n">
        <f aca="false">MAX(A706-SC_Z,0)</f>
        <v>7.01000000000001</v>
      </c>
      <c r="H706" s="30" t="n">
        <f aca="false">1-0.2*(SC_xmb+(SC_n-1)*SC_xmt)*G706/(SC_n*SC_b)</f>
        <v>0.80372</v>
      </c>
      <c r="I706" s="31" t="n">
        <f aca="false">SC_s*H706*SC_m*SC_n*SC_b*SQRT(2*g_)*G706^1.5</f>
        <v>148.666741347445</v>
      </c>
      <c r="J706" s="32" t="n">
        <f aca="false">F706+I706</f>
        <v>373.77116152928</v>
      </c>
      <c r="K706" s="32" t="n">
        <f aca="false">F706</f>
        <v>225.104420181835</v>
      </c>
      <c r="L706" s="32" t="n">
        <f aca="false">C706*1000000/dt_s+J706/2</f>
        <v>16821.3650252091</v>
      </c>
      <c r="M706" s="32" t="n">
        <f aca="false">C706*1000000/dt_s+K706/2</f>
        <v>16747.0316545354</v>
      </c>
    </row>
    <row r="707" customFormat="false" ht="15" hidden="false" customHeight="false" outlineLevel="0" collapsed="false">
      <c r="A707" s="24" t="n">
        <f aca="false">ROUND(A706+0.01,2)</f>
        <v>78.02</v>
      </c>
      <c r="B707" s="25" t="n">
        <f aca="false">INDEX(Bang_F,MATCH(A707,Bang_Z,1))+(A707-INDEX(Bang_Z,MATCH(A707,Bang_Z,1)))*(INDEX(Bang_F,MATCH(A707,Bang_Z,1)+1)-INDEX(Bang_F,MATCH(A707,Bang_Z,1)))</f>
        <v>7.9204</v>
      </c>
      <c r="C707" s="25" t="n">
        <f aca="false">INDEX(Bang_W,MATCH(A707,Bang_Z,1))+(A707-INDEX(Bang_Z,MATCH(A707,Bang_Z,1)))*(INDEX(Bang_F,MATCH(A707,Bang_Z,1))+B707)/2</f>
        <v>59.963304</v>
      </c>
      <c r="D707" s="26" t="n">
        <f aca="false">MAX(A707-TC_Z,0)</f>
        <v>3.31999999999999</v>
      </c>
      <c r="E707" s="27" t="n">
        <f aca="false">1-0.2*(TC_xmb+(TC_n-1)*TC_xmt)*D707/(TC_n*TC_b)</f>
        <v>0.867814814814815</v>
      </c>
      <c r="F707" s="28" t="n">
        <f aca="false">TC_s*E707*TC_m*TC_n*TC_b*SQRT(2*g_)*D707^1.5</f>
        <v>226.021603601883</v>
      </c>
      <c r="G707" s="29" t="n">
        <f aca="false">MAX(A707-SC_Z,0)</f>
        <v>7.02</v>
      </c>
      <c r="H707" s="30" t="n">
        <f aca="false">1-0.2*(SC_xmb+(SC_n-1)*SC_xmt)*G707/(SC_n*SC_b)</f>
        <v>0.80344</v>
      </c>
      <c r="I707" s="31" t="n">
        <f aca="false">SC_s*H707*SC_m*SC_n*SC_b*SQRT(2*g_)*G707^1.5</f>
        <v>148.933068517819</v>
      </c>
      <c r="J707" s="32" t="n">
        <f aca="false">F707+I707</f>
        <v>374.954672119702</v>
      </c>
      <c r="K707" s="32" t="n">
        <f aca="false">F707</f>
        <v>226.021603601883</v>
      </c>
      <c r="L707" s="32" t="n">
        <f aca="false">C707*1000000/dt_s+J707/2</f>
        <v>16843.9506693932</v>
      </c>
      <c r="M707" s="32" t="n">
        <f aca="false">C707*1000000/dt_s+K707/2</f>
        <v>16769.4841351343</v>
      </c>
    </row>
    <row r="708" customFormat="false" ht="15" hidden="false" customHeight="false" outlineLevel="0" collapsed="false">
      <c r="A708" s="24" t="n">
        <f aca="false">ROUND(A707+0.01,2)</f>
        <v>78.03</v>
      </c>
      <c r="B708" s="25" t="n">
        <f aca="false">INDEX(Bang_F,MATCH(A708,Bang_Z,1))+(A708-INDEX(Bang_Z,MATCH(A708,Bang_Z,1)))*(INDEX(Bang_F,MATCH(A708,Bang_Z,1)+1)-INDEX(Bang_F,MATCH(A708,Bang_Z,1)))</f>
        <v>7.9256</v>
      </c>
      <c r="C708" s="25" t="n">
        <f aca="false">INDEX(Bang_W,MATCH(A708,Bang_Z,1))+(A708-INDEX(Bang_Z,MATCH(A708,Bang_Z,1)))*(INDEX(Bang_F,MATCH(A708,Bang_Z,1))+B708)/2</f>
        <v>60.042534</v>
      </c>
      <c r="D708" s="26" t="n">
        <f aca="false">MAX(A708-TC_Z,0)</f>
        <v>3.33</v>
      </c>
      <c r="E708" s="27" t="n">
        <f aca="false">1-0.2*(TC_xmb+(TC_n-1)*TC_xmt)*D708/(TC_n*TC_b)</f>
        <v>0.867416666666667</v>
      </c>
      <c r="F708" s="28" t="n">
        <f aca="false">TC_s*E708*TC_m*TC_n*TC_b*SQRT(2*g_)*D708^1.5</f>
        <v>226.939387923668</v>
      </c>
      <c r="G708" s="29" t="n">
        <f aca="false">MAX(A708-SC_Z,0)</f>
        <v>7.03</v>
      </c>
      <c r="H708" s="30" t="n">
        <f aca="false">1-0.2*(SC_xmb+(SC_n-1)*SC_xmt)*G708/(SC_n*SC_b)</f>
        <v>0.80316</v>
      </c>
      <c r="I708" s="31" t="n">
        <f aca="false">SC_s*H708*SC_m*SC_n*SC_b*SQRT(2*g_)*G708^1.5</f>
        <v>149.199400540603</v>
      </c>
      <c r="J708" s="32" t="n">
        <f aca="false">F708+I708</f>
        <v>376.138788464271</v>
      </c>
      <c r="K708" s="32" t="n">
        <f aca="false">F708</f>
        <v>226.939387923668</v>
      </c>
      <c r="L708" s="32" t="n">
        <f aca="false">C708*1000000/dt_s+J708/2</f>
        <v>16866.5510608988</v>
      </c>
      <c r="M708" s="32" t="n">
        <f aca="false">C708*1000000/dt_s+K708/2</f>
        <v>16791.9513606285</v>
      </c>
    </row>
    <row r="709" customFormat="false" ht="15" hidden="false" customHeight="false" outlineLevel="0" collapsed="false">
      <c r="A709" s="24" t="n">
        <f aca="false">ROUND(A708+0.01,2)</f>
        <v>78.04</v>
      </c>
      <c r="B709" s="25" t="n">
        <f aca="false">INDEX(Bang_F,MATCH(A709,Bang_Z,1))+(A709-INDEX(Bang_Z,MATCH(A709,Bang_Z,1)))*(INDEX(Bang_F,MATCH(A709,Bang_Z,1)+1)-INDEX(Bang_F,MATCH(A709,Bang_Z,1)))</f>
        <v>7.9308</v>
      </c>
      <c r="C709" s="25" t="n">
        <f aca="false">INDEX(Bang_W,MATCH(A709,Bang_Z,1))+(A709-INDEX(Bang_Z,MATCH(A709,Bang_Z,1)))*(INDEX(Bang_F,MATCH(A709,Bang_Z,1))+B709)/2</f>
        <v>60.1218160000001</v>
      </c>
      <c r="D709" s="26" t="n">
        <f aca="false">MAX(A709-TC_Z,0)</f>
        <v>3.34</v>
      </c>
      <c r="E709" s="27" t="n">
        <f aca="false">1-0.2*(TC_xmb+(TC_n-1)*TC_xmt)*D709/(TC_n*TC_b)</f>
        <v>0.867018518518518</v>
      </c>
      <c r="F709" s="28" t="n">
        <f aca="false">TC_s*E709*TC_m*TC_n*TC_b*SQRT(2*g_)*D709^1.5</f>
        <v>227.857768721599</v>
      </c>
      <c r="G709" s="29" t="n">
        <f aca="false">MAX(A709-SC_Z,0)</f>
        <v>7.04000000000001</v>
      </c>
      <c r="H709" s="30" t="n">
        <f aca="false">1-0.2*(SC_xmb+(SC_n-1)*SC_xmt)*G709/(SC_n*SC_b)</f>
        <v>0.80288</v>
      </c>
      <c r="I709" s="31" t="n">
        <f aca="false">SC_s*H709*SC_m*SC_n*SC_b*SQRT(2*g_)*G709^1.5</f>
        <v>149.465737017665</v>
      </c>
      <c r="J709" s="32" t="n">
        <f aca="false">F709+I709</f>
        <v>377.323505739264</v>
      </c>
      <c r="K709" s="32" t="n">
        <f aca="false">F709</f>
        <v>227.857768721599</v>
      </c>
      <c r="L709" s="32" t="n">
        <f aca="false">C709*1000000/dt_s+J709/2</f>
        <v>16889.1661973141</v>
      </c>
      <c r="M709" s="32" t="n">
        <f aca="false">C709*1000000/dt_s+K709/2</f>
        <v>16814.4333288053</v>
      </c>
    </row>
    <row r="710" customFormat="false" ht="15" hidden="false" customHeight="false" outlineLevel="0" collapsed="false">
      <c r="A710" s="24" t="n">
        <f aca="false">ROUND(A709+0.01,2)</f>
        <v>78.05</v>
      </c>
      <c r="B710" s="25" t="n">
        <f aca="false">INDEX(Bang_F,MATCH(A710,Bang_Z,1))+(A710-INDEX(Bang_Z,MATCH(A710,Bang_Z,1)))*(INDEX(Bang_F,MATCH(A710,Bang_Z,1)+1)-INDEX(Bang_F,MATCH(A710,Bang_Z,1)))</f>
        <v>7.936</v>
      </c>
      <c r="C710" s="25" t="n">
        <f aca="false">INDEX(Bang_W,MATCH(A710,Bang_Z,1))+(A710-INDEX(Bang_Z,MATCH(A710,Bang_Z,1)))*(INDEX(Bang_F,MATCH(A710,Bang_Z,1))+B710)/2</f>
        <v>60.20115</v>
      </c>
      <c r="D710" s="26" t="n">
        <f aca="false">MAX(A710-TC_Z,0)</f>
        <v>3.34999999999999</v>
      </c>
      <c r="E710" s="27" t="n">
        <f aca="false">1-0.2*(TC_xmb+(TC_n-1)*TC_xmt)*D710/(TC_n*TC_b)</f>
        <v>0.866620370370371</v>
      </c>
      <c r="F710" s="28" t="n">
        <f aca="false">TC_s*E710*TC_m*TC_n*TC_b*SQRT(2*g_)*D710^1.5</f>
        <v>228.776741584695</v>
      </c>
      <c r="G710" s="29" t="n">
        <f aca="false">MAX(A710-SC_Z,0)</f>
        <v>7.05</v>
      </c>
      <c r="H710" s="30" t="n">
        <f aca="false">1-0.2*(SC_xmb+(SC_n-1)*SC_xmt)*G710/(SC_n*SC_b)</f>
        <v>0.8026</v>
      </c>
      <c r="I710" s="31" t="n">
        <f aca="false">SC_s*H710*SC_m*SC_n*SC_b*SQRT(2*g_)*G710^1.5</f>
        <v>149.732077551441</v>
      </c>
      <c r="J710" s="32" t="n">
        <f aca="false">F710+I710</f>
        <v>378.508819136137</v>
      </c>
      <c r="K710" s="32" t="n">
        <f aca="false">F710</f>
        <v>228.776741584695</v>
      </c>
      <c r="L710" s="32" t="n">
        <f aca="false">C710*1000000/dt_s+J710/2</f>
        <v>16911.7960762347</v>
      </c>
      <c r="M710" s="32" t="n">
        <f aca="false">C710*1000000/dt_s+K710/2</f>
        <v>16836.930037459</v>
      </c>
    </row>
    <row r="711" customFormat="false" ht="15" hidden="false" customHeight="false" outlineLevel="0" collapsed="false">
      <c r="A711" s="24" t="n">
        <f aca="false">ROUND(A710+0.01,2)</f>
        <v>78.06</v>
      </c>
      <c r="B711" s="25" t="n">
        <f aca="false">INDEX(Bang_F,MATCH(A711,Bang_Z,1))+(A711-INDEX(Bang_Z,MATCH(A711,Bang_Z,1)))*(INDEX(Bang_F,MATCH(A711,Bang_Z,1)+1)-INDEX(Bang_F,MATCH(A711,Bang_Z,1)))</f>
        <v>7.9412</v>
      </c>
      <c r="C711" s="25" t="n">
        <f aca="false">INDEX(Bang_W,MATCH(A711,Bang_Z,1))+(A711-INDEX(Bang_Z,MATCH(A711,Bang_Z,1)))*(INDEX(Bang_F,MATCH(A711,Bang_Z,1))+B711)/2</f>
        <v>60.280536</v>
      </c>
      <c r="D711" s="26" t="n">
        <f aca="false">MAX(A711-TC_Z,0)</f>
        <v>3.36</v>
      </c>
      <c r="E711" s="27" t="n">
        <f aca="false">1-0.2*(TC_xmb+(TC_n-1)*TC_xmt)*D711/(TC_n*TC_b)</f>
        <v>0.866222222222222</v>
      </c>
      <c r="F711" s="28" t="n">
        <f aca="false">TC_s*E711*TC_m*TC_n*TC_b*SQRT(2*g_)*D711^1.5</f>
        <v>229.696302116494</v>
      </c>
      <c r="G711" s="29" t="n">
        <f aca="false">MAX(A711-SC_Z,0)</f>
        <v>7.06</v>
      </c>
      <c r="H711" s="30" t="n">
        <f aca="false">1-0.2*(SC_xmb+(SC_n-1)*SC_xmt)*G711/(SC_n*SC_b)</f>
        <v>0.80232</v>
      </c>
      <c r="I711" s="31" t="n">
        <f aca="false">SC_s*H711*SC_m*SC_n*SC_b*SQRT(2*g_)*G711^1.5</f>
        <v>149.998421744937</v>
      </c>
      <c r="J711" s="32" t="n">
        <f aca="false">F711+I711</f>
        <v>379.694723861431</v>
      </c>
      <c r="K711" s="32" t="n">
        <f aca="false">F711</f>
        <v>229.696302116494</v>
      </c>
      <c r="L711" s="32" t="n">
        <f aca="false">C711*1000000/dt_s+J711/2</f>
        <v>16934.4406952641</v>
      </c>
      <c r="M711" s="32" t="n">
        <f aca="false">C711*1000000/dt_s+K711/2</f>
        <v>16859.4414843916</v>
      </c>
    </row>
    <row r="712" customFormat="false" ht="15" hidden="false" customHeight="false" outlineLevel="0" collapsed="false">
      <c r="A712" s="24" t="n">
        <f aca="false">ROUND(A711+0.01,2)</f>
        <v>78.07</v>
      </c>
      <c r="B712" s="25" t="n">
        <f aca="false">INDEX(Bang_F,MATCH(A712,Bang_Z,1))+(A712-INDEX(Bang_Z,MATCH(A712,Bang_Z,1)))*(INDEX(Bang_F,MATCH(A712,Bang_Z,1)+1)-INDEX(Bang_F,MATCH(A712,Bang_Z,1)))</f>
        <v>7.9464</v>
      </c>
      <c r="C712" s="25" t="n">
        <f aca="false">INDEX(Bang_W,MATCH(A712,Bang_Z,1))+(A712-INDEX(Bang_Z,MATCH(A712,Bang_Z,1)))*(INDEX(Bang_F,MATCH(A712,Bang_Z,1))+B712)/2</f>
        <v>60.3599739999999</v>
      </c>
      <c r="D712" s="26" t="n">
        <f aca="false">MAX(A712-TC_Z,0)</f>
        <v>3.36999999999999</v>
      </c>
      <c r="E712" s="27" t="n">
        <f aca="false">1-0.2*(TC_xmb+(TC_n-1)*TC_xmt)*D712/(TC_n*TC_b)</f>
        <v>0.865824074074075</v>
      </c>
      <c r="F712" s="28" t="n">
        <f aca="false">TC_s*E712*TC_m*TC_n*TC_b*SQRT(2*g_)*D712^1.5</f>
        <v>230.616445934938</v>
      </c>
      <c r="G712" s="29" t="n">
        <f aca="false">MAX(A712-SC_Z,0)</f>
        <v>7.06999999999999</v>
      </c>
      <c r="H712" s="30" t="n">
        <f aca="false">1-0.2*(SC_xmb+(SC_n-1)*SC_xmt)*G712/(SC_n*SC_b)</f>
        <v>0.80204</v>
      </c>
      <c r="I712" s="31" t="n">
        <f aca="false">SC_s*H712*SC_m*SC_n*SC_b*SQRT(2*g_)*G712^1.5</f>
        <v>150.264769201718</v>
      </c>
      <c r="J712" s="32" t="n">
        <f aca="false">F712+I712</f>
        <v>380.881215136656</v>
      </c>
      <c r="K712" s="32" t="n">
        <f aca="false">F712</f>
        <v>230.616445934938</v>
      </c>
      <c r="L712" s="32" t="n">
        <f aca="false">C712*1000000/dt_s+J712/2</f>
        <v>16957.1000520128</v>
      </c>
      <c r="M712" s="32" t="n">
        <f aca="false">C712*1000000/dt_s+K712/2</f>
        <v>16881.9676674119</v>
      </c>
    </row>
    <row r="713" customFormat="false" ht="15" hidden="false" customHeight="false" outlineLevel="0" collapsed="false">
      <c r="A713" s="24" t="n">
        <f aca="false">ROUND(A712+0.01,2)</f>
        <v>78.08</v>
      </c>
      <c r="B713" s="25" t="n">
        <f aca="false">INDEX(Bang_F,MATCH(A713,Bang_Z,1))+(A713-INDEX(Bang_Z,MATCH(A713,Bang_Z,1)))*(INDEX(Bang_F,MATCH(A713,Bang_Z,1)+1)-INDEX(Bang_F,MATCH(A713,Bang_Z,1)))</f>
        <v>7.9516</v>
      </c>
      <c r="C713" s="25" t="n">
        <f aca="false">INDEX(Bang_W,MATCH(A713,Bang_Z,1))+(A713-INDEX(Bang_Z,MATCH(A713,Bang_Z,1)))*(INDEX(Bang_F,MATCH(A713,Bang_Z,1))+B713)/2</f>
        <v>60.439464</v>
      </c>
      <c r="D713" s="26" t="n">
        <f aca="false">MAX(A713-TC_Z,0)</f>
        <v>3.38</v>
      </c>
      <c r="E713" s="27" t="n">
        <f aca="false">1-0.2*(TC_xmb+(TC_n-1)*TC_xmt)*D713/(TC_n*TC_b)</f>
        <v>0.865425925925926</v>
      </c>
      <c r="F713" s="28" t="n">
        <f aca="false">TC_s*E713*TC_m*TC_n*TC_b*SQRT(2*g_)*D713^1.5</f>
        <v>231.537168672287</v>
      </c>
      <c r="G713" s="29" t="n">
        <f aca="false">MAX(A713-SC_Z,0)</f>
        <v>7.08</v>
      </c>
      <c r="H713" s="30" t="n">
        <f aca="false">1-0.2*(SC_xmb+(SC_n-1)*SC_xmt)*G713/(SC_n*SC_b)</f>
        <v>0.80176</v>
      </c>
      <c r="I713" s="31" t="n">
        <f aca="false">SC_s*H713*SC_m*SC_n*SC_b*SQRT(2*g_)*G713^1.5</f>
        <v>150.531119525916</v>
      </c>
      <c r="J713" s="32" t="n">
        <f aca="false">F713+I713</f>
        <v>382.068288198203</v>
      </c>
      <c r="K713" s="32" t="n">
        <f aca="false">F713</f>
        <v>231.537168672287</v>
      </c>
      <c r="L713" s="32" t="n">
        <f aca="false">C713*1000000/dt_s+J713/2</f>
        <v>16979.7741440991</v>
      </c>
      <c r="M713" s="32" t="n">
        <f aca="false">C713*1000000/dt_s+K713/2</f>
        <v>16904.5085843361</v>
      </c>
    </row>
    <row r="714" customFormat="false" ht="15" hidden="false" customHeight="false" outlineLevel="0" collapsed="false">
      <c r="A714" s="24" t="n">
        <f aca="false">ROUND(A713+0.01,2)</f>
        <v>78.09</v>
      </c>
      <c r="B714" s="25" t="n">
        <f aca="false">INDEX(Bang_F,MATCH(A714,Bang_Z,1))+(A714-INDEX(Bang_Z,MATCH(A714,Bang_Z,1)))*(INDEX(Bang_F,MATCH(A714,Bang_Z,1)+1)-INDEX(Bang_F,MATCH(A714,Bang_Z,1)))</f>
        <v>7.9568</v>
      </c>
      <c r="C714" s="25" t="n">
        <f aca="false">INDEX(Bang_W,MATCH(A714,Bang_Z,1))+(A714-INDEX(Bang_Z,MATCH(A714,Bang_Z,1)))*(INDEX(Bang_F,MATCH(A714,Bang_Z,1))+B714)/2</f>
        <v>60.519006</v>
      </c>
      <c r="D714" s="26" t="n">
        <f aca="false">MAX(A714-TC_Z,0)</f>
        <v>3.39</v>
      </c>
      <c r="E714" s="27" t="n">
        <f aca="false">1-0.2*(TC_xmb+(TC_n-1)*TC_xmt)*D714/(TC_n*TC_b)</f>
        <v>0.865027777777778</v>
      </c>
      <c r="F714" s="28" t="n">
        <f aca="false">TC_s*E714*TC_m*TC_n*TC_b*SQRT(2*g_)*D714^1.5</f>
        <v>232.458465975011</v>
      </c>
      <c r="G714" s="29" t="n">
        <f aca="false">MAX(A714-SC_Z,0)</f>
        <v>7.09</v>
      </c>
      <c r="H714" s="30" t="n">
        <f aca="false">1-0.2*(SC_xmb+(SC_n-1)*SC_xmt)*G714/(SC_n*SC_b)</f>
        <v>0.80148</v>
      </c>
      <c r="I714" s="31" t="n">
        <f aca="false">SC_s*H714*SC_m*SC_n*SC_b*SQRT(2*g_)*G714^1.5</f>
        <v>150.797472322223</v>
      </c>
      <c r="J714" s="32" t="n">
        <f aca="false">F714+I714</f>
        <v>383.255938297233</v>
      </c>
      <c r="K714" s="32" t="n">
        <f aca="false">F714</f>
        <v>232.458465975011</v>
      </c>
      <c r="L714" s="32" t="n">
        <f aca="false">C714*1000000/dt_s+J714/2</f>
        <v>17002.4629691486</v>
      </c>
      <c r="M714" s="32" t="n">
        <f aca="false">C714*1000000/dt_s+K714/2</f>
        <v>16927.0642329875</v>
      </c>
    </row>
    <row r="715" customFormat="false" ht="15" hidden="false" customHeight="false" outlineLevel="0" collapsed="false">
      <c r="A715" s="24" t="n">
        <f aca="false">ROUND(A714+0.01,2)</f>
        <v>78.1</v>
      </c>
      <c r="B715" s="25" t="n">
        <f aca="false">INDEX(Bang_F,MATCH(A715,Bang_Z,1))+(A715-INDEX(Bang_Z,MATCH(A715,Bang_Z,1)))*(INDEX(Bang_F,MATCH(A715,Bang_Z,1)+1)-INDEX(Bang_F,MATCH(A715,Bang_Z,1)))</f>
        <v>7.962</v>
      </c>
      <c r="C715" s="25" t="n">
        <f aca="false">INDEX(Bang_W,MATCH(A715,Bang_Z,1))+(A715-INDEX(Bang_Z,MATCH(A715,Bang_Z,1)))*(INDEX(Bang_F,MATCH(A715,Bang_Z,1))+B715)/2</f>
        <v>60.5986</v>
      </c>
      <c r="D715" s="26" t="n">
        <f aca="false">MAX(A715-TC_Z,0)</f>
        <v>3.39999999999999</v>
      </c>
      <c r="E715" s="27" t="n">
        <f aca="false">1-0.2*(TC_xmb+(TC_n-1)*TC_xmt)*D715/(TC_n*TC_b)</f>
        <v>0.86462962962963</v>
      </c>
      <c r="F715" s="28" t="n">
        <f aca="false">TC_s*E715*TC_m*TC_n*TC_b*SQRT(2*g_)*D715^1.5</f>
        <v>233.380333503697</v>
      </c>
      <c r="G715" s="29" t="n">
        <f aca="false">MAX(A715-SC_Z,0)</f>
        <v>7.09999999999999</v>
      </c>
      <c r="H715" s="30" t="n">
        <f aca="false">1-0.2*(SC_xmb+(SC_n-1)*SC_xmt)*G715/(SC_n*SC_b)</f>
        <v>0.8012</v>
      </c>
      <c r="I715" s="31" t="n">
        <f aca="false">SC_s*H715*SC_m*SC_n*SC_b*SQRT(2*g_)*G715^1.5</f>
        <v>151.063827195888</v>
      </c>
      <c r="J715" s="32" t="n">
        <f aca="false">F715+I715</f>
        <v>384.444160699586</v>
      </c>
      <c r="K715" s="32" t="n">
        <f aca="false">F715</f>
        <v>233.380333503697</v>
      </c>
      <c r="L715" s="32" t="n">
        <f aca="false">C715*1000000/dt_s+J715/2</f>
        <v>17025.1665247942</v>
      </c>
      <c r="M715" s="32" t="n">
        <f aca="false">C715*1000000/dt_s+K715/2</f>
        <v>16949.6346111963</v>
      </c>
    </row>
    <row r="716" customFormat="false" ht="15" hidden="false" customHeight="false" outlineLevel="0" collapsed="false">
      <c r="A716" s="24" t="n">
        <f aca="false">ROUND(A715+0.01,2)</f>
        <v>78.11</v>
      </c>
      <c r="B716" s="25" t="n">
        <f aca="false">INDEX(Bang_F,MATCH(A716,Bang_Z,1))+(A716-INDEX(Bang_Z,MATCH(A716,Bang_Z,1)))*(INDEX(Bang_F,MATCH(A716,Bang_Z,1)+1)-INDEX(Bang_F,MATCH(A716,Bang_Z,1)))</f>
        <v>7.9672</v>
      </c>
      <c r="C716" s="25" t="n">
        <f aca="false">INDEX(Bang_W,MATCH(A716,Bang_Z,1))+(A716-INDEX(Bang_Z,MATCH(A716,Bang_Z,1)))*(INDEX(Bang_F,MATCH(A716,Bang_Z,1))+B716)/2</f>
        <v>60.678246</v>
      </c>
      <c r="D716" s="26" t="n">
        <f aca="false">MAX(A716-TC_Z,0)</f>
        <v>3.41</v>
      </c>
      <c r="E716" s="27" t="n">
        <f aca="false">1-0.2*(TC_xmb+(TC_n-1)*TC_xmt)*D716/(TC_n*TC_b)</f>
        <v>0.864231481481482</v>
      </c>
      <c r="F716" s="28" t="n">
        <f aca="false">TC_s*E716*TC_m*TC_n*TC_b*SQRT(2*g_)*D716^1.5</f>
        <v>234.302766932958</v>
      </c>
      <c r="G716" s="29" t="n">
        <f aca="false">MAX(A716-SC_Z,0)</f>
        <v>7.11</v>
      </c>
      <c r="H716" s="30" t="n">
        <f aca="false">1-0.2*(SC_xmb+(SC_n-1)*SC_xmt)*G716/(SC_n*SC_b)</f>
        <v>0.80092</v>
      </c>
      <c r="I716" s="31" t="n">
        <f aca="false">SC_s*H716*SC_m*SC_n*SC_b*SQRT(2*g_)*G716^1.5</f>
        <v>151.330183752721</v>
      </c>
      <c r="J716" s="32" t="n">
        <f aca="false">F716+I716</f>
        <v>385.632950685679</v>
      </c>
      <c r="K716" s="32" t="n">
        <f aca="false">F716</f>
        <v>234.302766932958</v>
      </c>
      <c r="L716" s="32" t="n">
        <f aca="false">C716*1000000/dt_s+J716/2</f>
        <v>17047.8848086762</v>
      </c>
      <c r="M716" s="32" t="n">
        <f aca="false">C716*1000000/dt_s+K716/2</f>
        <v>16972.2197167998</v>
      </c>
    </row>
    <row r="717" customFormat="false" ht="15" hidden="false" customHeight="false" outlineLevel="0" collapsed="false">
      <c r="A717" s="24" t="n">
        <f aca="false">ROUND(A716+0.01,2)</f>
        <v>78.12</v>
      </c>
      <c r="B717" s="25" t="n">
        <f aca="false">INDEX(Bang_F,MATCH(A717,Bang_Z,1))+(A717-INDEX(Bang_Z,MATCH(A717,Bang_Z,1)))*(INDEX(Bang_F,MATCH(A717,Bang_Z,1)+1)-INDEX(Bang_F,MATCH(A717,Bang_Z,1)))</f>
        <v>7.9724</v>
      </c>
      <c r="C717" s="25" t="n">
        <f aca="false">INDEX(Bang_W,MATCH(A717,Bang_Z,1))+(A717-INDEX(Bang_Z,MATCH(A717,Bang_Z,1)))*(INDEX(Bang_F,MATCH(A717,Bang_Z,1))+B717)/2</f>
        <v>60.757944</v>
      </c>
      <c r="D717" s="26" t="n">
        <f aca="false">MAX(A717-TC_Z,0)</f>
        <v>3.42</v>
      </c>
      <c r="E717" s="27" t="n">
        <f aca="false">1-0.2*(TC_xmb+(TC_n-1)*TC_xmt)*D717/(TC_n*TC_b)</f>
        <v>0.863833333333333</v>
      </c>
      <c r="F717" s="28" t="n">
        <f aca="false">TC_s*E717*TC_m*TC_n*TC_b*SQRT(2*g_)*D717^1.5</f>
        <v>235.225761951325</v>
      </c>
      <c r="G717" s="29" t="n">
        <f aca="false">MAX(A717-SC_Z,0)</f>
        <v>7.12</v>
      </c>
      <c r="H717" s="30" t="n">
        <f aca="false">1-0.2*(SC_xmb+(SC_n-1)*SC_xmt)*G717/(SC_n*SC_b)</f>
        <v>0.80064</v>
      </c>
      <c r="I717" s="31" t="n">
        <f aca="false">SC_s*H717*SC_m*SC_n*SC_b*SQRT(2*g_)*G717^1.5</f>
        <v>151.596541599086</v>
      </c>
      <c r="J717" s="32" t="n">
        <f aca="false">F717+I717</f>
        <v>386.822303550411</v>
      </c>
      <c r="K717" s="32" t="n">
        <f aca="false">F717</f>
        <v>235.225761951325</v>
      </c>
      <c r="L717" s="32" t="n">
        <f aca="false">C717*1000000/dt_s+J717/2</f>
        <v>17070.6178184419</v>
      </c>
      <c r="M717" s="32" t="n">
        <f aca="false">C717*1000000/dt_s+K717/2</f>
        <v>16994.8195476423</v>
      </c>
    </row>
    <row r="718" customFormat="false" ht="15" hidden="false" customHeight="false" outlineLevel="0" collapsed="false">
      <c r="A718" s="24" t="n">
        <f aca="false">ROUND(A717+0.01,2)</f>
        <v>78.13</v>
      </c>
      <c r="B718" s="25" t="n">
        <f aca="false">INDEX(Bang_F,MATCH(A718,Bang_Z,1))+(A718-INDEX(Bang_Z,MATCH(A718,Bang_Z,1)))*(INDEX(Bang_F,MATCH(A718,Bang_Z,1)+1)-INDEX(Bang_F,MATCH(A718,Bang_Z,1)))</f>
        <v>7.9776</v>
      </c>
      <c r="C718" s="25" t="n">
        <f aca="false">INDEX(Bang_W,MATCH(A718,Bang_Z,1))+(A718-INDEX(Bang_Z,MATCH(A718,Bang_Z,1)))*(INDEX(Bang_F,MATCH(A718,Bang_Z,1))+B718)/2</f>
        <v>60.837694</v>
      </c>
      <c r="D718" s="26" t="n">
        <f aca="false">MAX(A718-TC_Z,0)</f>
        <v>3.42999999999999</v>
      </c>
      <c r="E718" s="27" t="n">
        <f aca="false">1-0.2*(TC_xmb+(TC_n-1)*TC_xmt)*D718/(TC_n*TC_b)</f>
        <v>0.863435185185186</v>
      </c>
      <c r="F718" s="28" t="n">
        <f aca="false">TC_s*E718*TC_m*TC_n*TC_b*SQRT(2*g_)*D718^1.5</f>
        <v>236.149314261162</v>
      </c>
      <c r="G718" s="29" t="n">
        <f aca="false">MAX(A718-SC_Z,0)</f>
        <v>7.13</v>
      </c>
      <c r="H718" s="30" t="n">
        <f aca="false">1-0.2*(SC_xmb+(SC_n-1)*SC_xmt)*G718/(SC_n*SC_b)</f>
        <v>0.80036</v>
      </c>
      <c r="I718" s="31" t="n">
        <f aca="false">SC_s*H718*SC_m*SC_n*SC_b*SQRT(2*g_)*G718^1.5</f>
        <v>151.862900341899</v>
      </c>
      <c r="J718" s="32" t="n">
        <f aca="false">F718+I718</f>
        <v>388.012214603061</v>
      </c>
      <c r="K718" s="32" t="n">
        <f aca="false">F718</f>
        <v>236.149314261162</v>
      </c>
      <c r="L718" s="32" t="n">
        <f aca="false">C718*1000000/dt_s+J718/2</f>
        <v>17093.365551746</v>
      </c>
      <c r="M718" s="32" t="n">
        <f aca="false">C718*1000000/dt_s+K718/2</f>
        <v>17017.434101575</v>
      </c>
    </row>
    <row r="719" customFormat="false" ht="15" hidden="false" customHeight="false" outlineLevel="0" collapsed="false">
      <c r="A719" s="24" t="n">
        <f aca="false">ROUND(A718+0.01,2)</f>
        <v>78.14</v>
      </c>
      <c r="B719" s="25" t="n">
        <f aca="false">INDEX(Bang_F,MATCH(A719,Bang_Z,1))+(A719-INDEX(Bang_Z,MATCH(A719,Bang_Z,1)))*(INDEX(Bang_F,MATCH(A719,Bang_Z,1)+1)-INDEX(Bang_F,MATCH(A719,Bang_Z,1)))</f>
        <v>7.9828</v>
      </c>
      <c r="C719" s="25" t="n">
        <f aca="false">INDEX(Bang_W,MATCH(A719,Bang_Z,1))+(A719-INDEX(Bang_Z,MATCH(A719,Bang_Z,1)))*(INDEX(Bang_F,MATCH(A719,Bang_Z,1))+B719)/2</f>
        <v>60.917496</v>
      </c>
      <c r="D719" s="26" t="n">
        <f aca="false">MAX(A719-TC_Z,0)</f>
        <v>3.44</v>
      </c>
      <c r="E719" s="27" t="n">
        <f aca="false">1-0.2*(TC_xmb+(TC_n-1)*TC_xmt)*D719/(TC_n*TC_b)</f>
        <v>0.863037037037037</v>
      </c>
      <c r="F719" s="28" t="n">
        <f aca="false">TC_s*E719*TC_m*TC_n*TC_b*SQRT(2*g_)*D719^1.5</f>
        <v>237.073419578574</v>
      </c>
      <c r="G719" s="29" t="n">
        <f aca="false">MAX(A719-SC_Z,0)</f>
        <v>7.14</v>
      </c>
      <c r="H719" s="30" t="n">
        <f aca="false">1-0.2*(SC_xmb+(SC_n-1)*SC_xmt)*G719/(SC_n*SC_b)</f>
        <v>0.80008</v>
      </c>
      <c r="I719" s="31" t="n">
        <f aca="false">SC_s*H719*SC_m*SC_n*SC_b*SQRT(2*g_)*G719^1.5</f>
        <v>152.129259588631</v>
      </c>
      <c r="J719" s="32" t="n">
        <f aca="false">F719+I719</f>
        <v>389.202679167205</v>
      </c>
      <c r="K719" s="32" t="n">
        <f aca="false">F719</f>
        <v>237.073419578574</v>
      </c>
      <c r="L719" s="32" t="n">
        <f aca="false">C719*1000000/dt_s+J719/2</f>
        <v>17116.1280062503</v>
      </c>
      <c r="M719" s="32" t="n">
        <f aca="false">C719*1000000/dt_s+K719/2</f>
        <v>17040.063376456</v>
      </c>
    </row>
    <row r="720" customFormat="false" ht="15" hidden="false" customHeight="false" outlineLevel="0" collapsed="false">
      <c r="A720" s="24" t="n">
        <f aca="false">ROUND(A719+0.01,2)</f>
        <v>78.15</v>
      </c>
      <c r="B720" s="25" t="n">
        <f aca="false">INDEX(Bang_F,MATCH(A720,Bang_Z,1))+(A720-INDEX(Bang_Z,MATCH(A720,Bang_Z,1)))*(INDEX(Bang_F,MATCH(A720,Bang_Z,1)+1)-INDEX(Bang_F,MATCH(A720,Bang_Z,1)))</f>
        <v>7.988</v>
      </c>
      <c r="C720" s="25" t="n">
        <f aca="false">INDEX(Bang_W,MATCH(A720,Bang_Z,1))+(A720-INDEX(Bang_Z,MATCH(A720,Bang_Z,1)))*(INDEX(Bang_F,MATCH(A720,Bang_Z,1))+B720)/2</f>
        <v>60.9973500000001</v>
      </c>
      <c r="D720" s="26" t="n">
        <f aca="false">MAX(A720-TC_Z,0)</f>
        <v>3.45</v>
      </c>
      <c r="E720" s="27" t="n">
        <f aca="false">1-0.2*(TC_xmb+(TC_n-1)*TC_xmt)*D720/(TC_n*TC_b)</f>
        <v>0.862638888888889</v>
      </c>
      <c r="F720" s="28" t="n">
        <f aca="false">TC_s*E720*TC_m*TC_n*TC_b*SQRT(2*g_)*D720^1.5</f>
        <v>237.998073633307</v>
      </c>
      <c r="G720" s="29" t="n">
        <f aca="false">MAX(A720-SC_Z,0)</f>
        <v>7.15000000000001</v>
      </c>
      <c r="H720" s="30" t="n">
        <f aca="false">1-0.2*(SC_xmb+(SC_n-1)*SC_xmt)*G720/(SC_n*SC_b)</f>
        <v>0.7998</v>
      </c>
      <c r="I720" s="31" t="n">
        <f aca="false">SC_s*H720*SC_m*SC_n*SC_b*SQRT(2*g_)*G720^1.5</f>
        <v>152.395618947302</v>
      </c>
      <c r="J720" s="32" t="n">
        <f aca="false">F720+I720</f>
        <v>390.393692580609</v>
      </c>
      <c r="K720" s="32" t="n">
        <f aca="false">F720</f>
        <v>237.998073633307</v>
      </c>
      <c r="L720" s="32" t="n">
        <f aca="false">C720*1000000/dt_s+J720/2</f>
        <v>17138.9051796237</v>
      </c>
      <c r="M720" s="32" t="n">
        <f aca="false">C720*1000000/dt_s+K720/2</f>
        <v>17062.70737015</v>
      </c>
    </row>
    <row r="721" customFormat="false" ht="15" hidden="false" customHeight="false" outlineLevel="0" collapsed="false">
      <c r="A721" s="24" t="n">
        <f aca="false">ROUND(A720+0.01,2)</f>
        <v>78.16</v>
      </c>
      <c r="B721" s="25" t="n">
        <f aca="false">INDEX(Bang_F,MATCH(A721,Bang_Z,1))+(A721-INDEX(Bang_Z,MATCH(A721,Bang_Z,1)))*(INDEX(Bang_F,MATCH(A721,Bang_Z,1)+1)-INDEX(Bang_F,MATCH(A721,Bang_Z,1)))</f>
        <v>7.9932</v>
      </c>
      <c r="C721" s="25" t="n">
        <f aca="false">INDEX(Bang_W,MATCH(A721,Bang_Z,1))+(A721-INDEX(Bang_Z,MATCH(A721,Bang_Z,1)))*(INDEX(Bang_F,MATCH(A721,Bang_Z,1))+B721)/2</f>
        <v>61.077256</v>
      </c>
      <c r="D721" s="26" t="n">
        <f aca="false">MAX(A721-TC_Z,0)</f>
        <v>3.45999999999999</v>
      </c>
      <c r="E721" s="27" t="n">
        <f aca="false">1-0.2*(TC_xmb+(TC_n-1)*TC_xmt)*D721/(TC_n*TC_b)</f>
        <v>0.862240740740741</v>
      </c>
      <c r="F721" s="28" t="n">
        <f aca="false">TC_s*E721*TC_m*TC_n*TC_b*SQRT(2*g_)*D721^1.5</f>
        <v>238.923272168659</v>
      </c>
      <c r="G721" s="29" t="n">
        <f aca="false">MAX(A721-SC_Z,0)</f>
        <v>7.16</v>
      </c>
      <c r="H721" s="30" t="n">
        <f aca="false">1-0.2*(SC_xmb+(SC_n-1)*SC_xmt)*G721/(SC_n*SC_b)</f>
        <v>0.79952</v>
      </c>
      <c r="I721" s="31" t="n">
        <f aca="false">SC_s*H721*SC_m*SC_n*SC_b*SQRT(2*g_)*G721^1.5</f>
        <v>152.661978026481</v>
      </c>
      <c r="J721" s="32" t="n">
        <f aca="false">F721+I721</f>
        <v>391.58525019514</v>
      </c>
      <c r="K721" s="32" t="n">
        <f aca="false">F721</f>
        <v>238.923272168659</v>
      </c>
      <c r="L721" s="32" t="n">
        <f aca="false">C721*1000000/dt_s+J721/2</f>
        <v>17161.697069542</v>
      </c>
      <c r="M721" s="32" t="n">
        <f aca="false">C721*1000000/dt_s+K721/2</f>
        <v>17085.3660805288</v>
      </c>
    </row>
    <row r="722" customFormat="false" ht="15" hidden="false" customHeight="false" outlineLevel="0" collapsed="false">
      <c r="A722" s="24" t="n">
        <f aca="false">ROUND(A721+0.01,2)</f>
        <v>78.17</v>
      </c>
      <c r="B722" s="25" t="n">
        <f aca="false">INDEX(Bang_F,MATCH(A722,Bang_Z,1))+(A722-INDEX(Bang_Z,MATCH(A722,Bang_Z,1)))*(INDEX(Bang_F,MATCH(A722,Bang_Z,1)+1)-INDEX(Bang_F,MATCH(A722,Bang_Z,1)))</f>
        <v>7.9984</v>
      </c>
      <c r="C722" s="25" t="n">
        <f aca="false">INDEX(Bang_W,MATCH(A722,Bang_Z,1))+(A722-INDEX(Bang_Z,MATCH(A722,Bang_Z,1)))*(INDEX(Bang_F,MATCH(A722,Bang_Z,1))+B722)/2</f>
        <v>61.157214</v>
      </c>
      <c r="D722" s="26" t="n">
        <f aca="false">MAX(A722-TC_Z,0)</f>
        <v>3.47</v>
      </c>
      <c r="E722" s="27" t="n">
        <f aca="false">1-0.2*(TC_xmb+(TC_n-1)*TC_xmt)*D722/(TC_n*TC_b)</f>
        <v>0.861842592592593</v>
      </c>
      <c r="F722" s="28" t="n">
        <f aca="false">TC_s*E722*TC_m*TC_n*TC_b*SQRT(2*g_)*D722^1.5</f>
        <v>239.849010941396</v>
      </c>
      <c r="G722" s="29" t="n">
        <f aca="false">MAX(A722-SC_Z,0)</f>
        <v>7.17</v>
      </c>
      <c r="H722" s="30" t="n">
        <f aca="false">1-0.2*(SC_xmb+(SC_n-1)*SC_xmt)*G722/(SC_n*SC_b)</f>
        <v>0.79924</v>
      </c>
      <c r="I722" s="31" t="n">
        <f aca="false">SC_s*H722*SC_m*SC_n*SC_b*SQRT(2*g_)*G722^1.5</f>
        <v>152.928336435284</v>
      </c>
      <c r="J722" s="32" t="n">
        <f aca="false">F722+I722</f>
        <v>392.77734737668</v>
      </c>
      <c r="K722" s="32" t="n">
        <f aca="false">F722</f>
        <v>239.849010941396</v>
      </c>
      <c r="L722" s="32" t="n">
        <f aca="false">C722*1000000/dt_s+J722/2</f>
        <v>17184.5036736883</v>
      </c>
      <c r="M722" s="32" t="n">
        <f aca="false">C722*1000000/dt_s+K722/2</f>
        <v>17108.0395054707</v>
      </c>
    </row>
    <row r="723" customFormat="false" ht="15" hidden="false" customHeight="false" outlineLevel="0" collapsed="false">
      <c r="A723" s="24" t="n">
        <f aca="false">ROUND(A722+0.01,2)</f>
        <v>78.18</v>
      </c>
      <c r="B723" s="25" t="n">
        <f aca="false">INDEX(Bang_F,MATCH(A723,Bang_Z,1))+(A723-INDEX(Bang_Z,MATCH(A723,Bang_Z,1)))*(INDEX(Bang_F,MATCH(A723,Bang_Z,1)+1)-INDEX(Bang_F,MATCH(A723,Bang_Z,1)))</f>
        <v>8.0036</v>
      </c>
      <c r="C723" s="25" t="n">
        <f aca="false">INDEX(Bang_W,MATCH(A723,Bang_Z,1))+(A723-INDEX(Bang_Z,MATCH(A723,Bang_Z,1)))*(INDEX(Bang_F,MATCH(A723,Bang_Z,1))+B723)/2</f>
        <v>61.2372240000001</v>
      </c>
      <c r="D723" s="26" t="n">
        <f aca="false">MAX(A723-TC_Z,0)</f>
        <v>3.48</v>
      </c>
      <c r="E723" s="27" t="n">
        <f aca="false">1-0.2*(TC_xmb+(TC_n-1)*TC_xmt)*D723/(TC_n*TC_b)</f>
        <v>0.861444444444444</v>
      </c>
      <c r="F723" s="28" t="n">
        <f aca="false">TC_s*E723*TC_m*TC_n*TC_b*SQRT(2*g_)*D723^1.5</f>
        <v>240.775285721652</v>
      </c>
      <c r="G723" s="29" t="n">
        <f aca="false">MAX(A723-SC_Z,0)</f>
        <v>7.18000000000001</v>
      </c>
      <c r="H723" s="30" t="n">
        <f aca="false">1-0.2*(SC_xmb+(SC_n-1)*SC_xmt)*G723/(SC_n*SC_b)</f>
        <v>0.79896</v>
      </c>
      <c r="I723" s="31" t="n">
        <f aca="false">SC_s*H723*SC_m*SC_n*SC_b*SQRT(2*g_)*G723^1.5</f>
        <v>153.194693783372</v>
      </c>
      <c r="J723" s="32" t="n">
        <f aca="false">F723+I723</f>
        <v>393.969979505023</v>
      </c>
      <c r="K723" s="32" t="n">
        <f aca="false">F723</f>
        <v>240.775285721652</v>
      </c>
      <c r="L723" s="32" t="n">
        <f aca="false">C723*1000000/dt_s+J723/2</f>
        <v>17207.3249897525</v>
      </c>
      <c r="M723" s="32" t="n">
        <f aca="false">C723*1000000/dt_s+K723/2</f>
        <v>17130.7276428608</v>
      </c>
    </row>
    <row r="724" customFormat="false" ht="15" hidden="false" customHeight="false" outlineLevel="0" collapsed="false">
      <c r="A724" s="24" t="n">
        <f aca="false">ROUND(A723+0.01,2)</f>
        <v>78.19</v>
      </c>
      <c r="B724" s="25" t="n">
        <f aca="false">INDEX(Bang_F,MATCH(A724,Bang_Z,1))+(A724-INDEX(Bang_Z,MATCH(A724,Bang_Z,1)))*(INDEX(Bang_F,MATCH(A724,Bang_Z,1)+1)-INDEX(Bang_F,MATCH(A724,Bang_Z,1)))</f>
        <v>8.0088</v>
      </c>
      <c r="C724" s="25" t="n">
        <f aca="false">INDEX(Bang_W,MATCH(A724,Bang_Z,1))+(A724-INDEX(Bang_Z,MATCH(A724,Bang_Z,1)))*(INDEX(Bang_F,MATCH(A724,Bang_Z,1))+B724)/2</f>
        <v>61.317286</v>
      </c>
      <c r="D724" s="26" t="n">
        <f aca="false">MAX(A724-TC_Z,0)</f>
        <v>3.49</v>
      </c>
      <c r="E724" s="27" t="n">
        <f aca="false">1-0.2*(TC_xmb+(TC_n-1)*TC_xmt)*D724/(TC_n*TC_b)</f>
        <v>0.861046296296297</v>
      </c>
      <c r="F724" s="28" t="n">
        <f aca="false">TC_s*E724*TC_m*TC_n*TC_b*SQRT(2*g_)*D724^1.5</f>
        <v>241.702092292844</v>
      </c>
      <c r="G724" s="29" t="n">
        <f aca="false">MAX(A724-SC_Z,0)</f>
        <v>7.19</v>
      </c>
      <c r="H724" s="30" t="n">
        <f aca="false">1-0.2*(SC_xmb+(SC_n-1)*SC_xmt)*G724/(SC_n*SC_b)</f>
        <v>0.79868</v>
      </c>
      <c r="I724" s="31" t="n">
        <f aca="false">SC_s*H724*SC_m*SC_n*SC_b*SQRT(2*g_)*G724^1.5</f>
        <v>153.461049680949</v>
      </c>
      <c r="J724" s="32" t="n">
        <f aca="false">F724+I724</f>
        <v>395.163141973792</v>
      </c>
      <c r="K724" s="32" t="n">
        <f aca="false">F724</f>
        <v>241.702092292844</v>
      </c>
      <c r="L724" s="32" t="n">
        <f aca="false">C724*1000000/dt_s+J724/2</f>
        <v>17230.1610154313</v>
      </c>
      <c r="M724" s="32" t="n">
        <f aca="false">C724*1000000/dt_s+K724/2</f>
        <v>17153.4304905909</v>
      </c>
    </row>
    <row r="725" customFormat="false" ht="15" hidden="false" customHeight="false" outlineLevel="0" collapsed="false">
      <c r="A725" s="24" t="n">
        <f aca="false">ROUND(A724+0.01,2)</f>
        <v>78.2</v>
      </c>
      <c r="B725" s="25" t="n">
        <f aca="false">INDEX(Bang_F,MATCH(A725,Bang_Z,1))+(A725-INDEX(Bang_Z,MATCH(A725,Bang_Z,1)))*(INDEX(Bang_F,MATCH(A725,Bang_Z,1)+1)-INDEX(Bang_F,MATCH(A725,Bang_Z,1)))</f>
        <v>8.014</v>
      </c>
      <c r="C725" s="25" t="n">
        <f aca="false">INDEX(Bang_W,MATCH(A725,Bang_Z,1))+(A725-INDEX(Bang_Z,MATCH(A725,Bang_Z,1)))*(INDEX(Bang_F,MATCH(A725,Bang_Z,1))+B725)/2</f>
        <v>61.3974</v>
      </c>
      <c r="D725" s="26" t="n">
        <f aca="false">MAX(A725-TC_Z,0)</f>
        <v>3.5</v>
      </c>
      <c r="E725" s="27" t="n">
        <f aca="false">1-0.2*(TC_xmb+(TC_n-1)*TC_xmt)*D725/(TC_n*TC_b)</f>
        <v>0.860648148148148</v>
      </c>
      <c r="F725" s="28" t="n">
        <f aca="false">TC_s*E725*TC_m*TC_n*TC_b*SQRT(2*g_)*D725^1.5</f>
        <v>242.629426451589</v>
      </c>
      <c r="G725" s="29" t="n">
        <f aca="false">MAX(A725-SC_Z,0)</f>
        <v>7.2</v>
      </c>
      <c r="H725" s="30" t="n">
        <f aca="false">1-0.2*(SC_xmb+(SC_n-1)*SC_xmt)*G725/(SC_n*SC_b)</f>
        <v>0.7984</v>
      </c>
      <c r="I725" s="31" t="n">
        <f aca="false">SC_s*H725*SC_m*SC_n*SC_b*SQRT(2*g_)*G725^1.5</f>
        <v>153.727403738762</v>
      </c>
      <c r="J725" s="32" t="n">
        <f aca="false">F725+I725</f>
        <v>396.356830190351</v>
      </c>
      <c r="K725" s="32" t="n">
        <f aca="false">F725</f>
        <v>242.629426451589</v>
      </c>
      <c r="L725" s="32" t="n">
        <f aca="false">C725*1000000/dt_s+J725/2</f>
        <v>17253.0117484285</v>
      </c>
      <c r="M725" s="32" t="n">
        <f aca="false">C725*1000000/dt_s+K725/2</f>
        <v>17176.1480465591</v>
      </c>
    </row>
    <row r="726" customFormat="false" ht="15" hidden="false" customHeight="false" outlineLevel="0" collapsed="false">
      <c r="A726" s="24" t="n">
        <f aca="false">ROUND(A725+0.01,2)</f>
        <v>78.21</v>
      </c>
      <c r="B726" s="25" t="n">
        <f aca="false">INDEX(Bang_F,MATCH(A726,Bang_Z,1))+(A726-INDEX(Bang_Z,MATCH(A726,Bang_Z,1)))*(INDEX(Bang_F,MATCH(A726,Bang_Z,1)+1)-INDEX(Bang_F,MATCH(A726,Bang_Z,1)))</f>
        <v>8.0192</v>
      </c>
      <c r="C726" s="25" t="n">
        <f aca="false">INDEX(Bang_W,MATCH(A726,Bang_Z,1))+(A726-INDEX(Bang_Z,MATCH(A726,Bang_Z,1)))*(INDEX(Bang_F,MATCH(A726,Bang_Z,1))+B726)/2</f>
        <v>61.4775659999999</v>
      </c>
      <c r="D726" s="26" t="n">
        <f aca="false">MAX(A726-TC_Z,0)</f>
        <v>3.50999999999999</v>
      </c>
      <c r="E726" s="27" t="n">
        <f aca="false">1-0.2*(TC_xmb+(TC_n-1)*TC_xmt)*D726/(TC_n*TC_b)</f>
        <v>0.86025</v>
      </c>
      <c r="F726" s="28" t="n">
        <f aca="false">TC_s*E726*TC_m*TC_n*TC_b*SQRT(2*g_)*D726^1.5</f>
        <v>243.557284007607</v>
      </c>
      <c r="G726" s="29" t="n">
        <f aca="false">MAX(A726-SC_Z,0)</f>
        <v>7.20999999999999</v>
      </c>
      <c r="H726" s="30" t="n">
        <f aca="false">1-0.2*(SC_xmb+(SC_n-1)*SC_xmt)*G726/(SC_n*SC_b)</f>
        <v>0.79812</v>
      </c>
      <c r="I726" s="31" t="n">
        <f aca="false">SC_s*H726*SC_m*SC_n*SC_b*SQRT(2*g_)*G726^1.5</f>
        <v>153.993755568097</v>
      </c>
      <c r="J726" s="32" t="n">
        <f aca="false">F726+I726</f>
        <v>397.551039575704</v>
      </c>
      <c r="K726" s="32" t="n">
        <f aca="false">F726</f>
        <v>243.557284007607</v>
      </c>
      <c r="L726" s="32" t="n">
        <f aca="false">C726*1000000/dt_s+J726/2</f>
        <v>17275.8771864545</v>
      </c>
      <c r="M726" s="32" t="n">
        <f aca="false">C726*1000000/dt_s+K726/2</f>
        <v>17198.8803086705</v>
      </c>
    </row>
    <row r="727" customFormat="false" ht="15" hidden="false" customHeight="false" outlineLevel="0" collapsed="false">
      <c r="A727" s="24" t="n">
        <f aca="false">ROUND(A726+0.01,2)</f>
        <v>78.22</v>
      </c>
      <c r="B727" s="25" t="n">
        <f aca="false">INDEX(Bang_F,MATCH(A727,Bang_Z,1))+(A727-INDEX(Bang_Z,MATCH(A727,Bang_Z,1)))*(INDEX(Bang_F,MATCH(A727,Bang_Z,1)+1)-INDEX(Bang_F,MATCH(A727,Bang_Z,1)))</f>
        <v>8.0244</v>
      </c>
      <c r="C727" s="25" t="n">
        <f aca="false">INDEX(Bang_W,MATCH(A727,Bang_Z,1))+(A727-INDEX(Bang_Z,MATCH(A727,Bang_Z,1)))*(INDEX(Bang_F,MATCH(A727,Bang_Z,1))+B727)/2</f>
        <v>61.557784</v>
      </c>
      <c r="D727" s="26" t="n">
        <f aca="false">MAX(A727-TC_Z,0)</f>
        <v>3.52</v>
      </c>
      <c r="E727" s="27" t="n">
        <f aca="false">1-0.2*(TC_xmb+(TC_n-1)*TC_xmt)*D727/(TC_n*TC_b)</f>
        <v>0.859851851851852</v>
      </c>
      <c r="F727" s="28" t="n">
        <f aca="false">TC_s*E727*TC_m*TC_n*TC_b*SQRT(2*g_)*D727^1.5</f>
        <v>244.485660783646</v>
      </c>
      <c r="G727" s="29" t="n">
        <f aca="false">MAX(A727-SC_Z,0)</f>
        <v>7.22</v>
      </c>
      <c r="H727" s="30" t="n">
        <f aca="false">1-0.2*(SC_xmb+(SC_n-1)*SC_xmt)*G727/(SC_n*SC_b)</f>
        <v>0.79784</v>
      </c>
      <c r="I727" s="31" t="n">
        <f aca="false">SC_s*H727*SC_m*SC_n*SC_b*SQRT(2*g_)*G727^1.5</f>
        <v>154.26010478078</v>
      </c>
      <c r="J727" s="32" t="n">
        <f aca="false">F727+I727</f>
        <v>398.745765564426</v>
      </c>
      <c r="K727" s="32" t="n">
        <f aca="false">F727</f>
        <v>244.485660783646</v>
      </c>
      <c r="L727" s="32" t="n">
        <f aca="false">C727*1000000/dt_s+J727/2</f>
        <v>17298.7573272267</v>
      </c>
      <c r="M727" s="32" t="n">
        <f aca="false">C727*1000000/dt_s+K727/2</f>
        <v>17221.6272748363</v>
      </c>
    </row>
    <row r="728" customFormat="false" ht="15" hidden="false" customHeight="false" outlineLevel="0" collapsed="false">
      <c r="A728" s="24" t="n">
        <f aca="false">ROUND(A727+0.01,2)</f>
        <v>78.23</v>
      </c>
      <c r="B728" s="25" t="n">
        <f aca="false">INDEX(Bang_F,MATCH(A728,Bang_Z,1))+(A728-INDEX(Bang_Z,MATCH(A728,Bang_Z,1)))*(INDEX(Bang_F,MATCH(A728,Bang_Z,1)+1)-INDEX(Bang_F,MATCH(A728,Bang_Z,1)))</f>
        <v>8.0296</v>
      </c>
      <c r="C728" s="25" t="n">
        <f aca="false">INDEX(Bang_W,MATCH(A728,Bang_Z,1))+(A728-INDEX(Bang_Z,MATCH(A728,Bang_Z,1)))*(INDEX(Bang_F,MATCH(A728,Bang_Z,1))+B728)/2</f>
        <v>61.638054</v>
      </c>
      <c r="D728" s="26" t="n">
        <f aca="false">MAX(A728-TC_Z,0)</f>
        <v>3.53</v>
      </c>
      <c r="E728" s="27" t="n">
        <f aca="false">1-0.2*(TC_xmb+(TC_n-1)*TC_xmt)*D728/(TC_n*TC_b)</f>
        <v>0.859453703703704</v>
      </c>
      <c r="F728" s="28" t="n">
        <f aca="false">TC_s*E728*TC_m*TC_n*TC_b*SQRT(2*g_)*D728^1.5</f>
        <v>245.414552615385</v>
      </c>
      <c r="G728" s="29" t="n">
        <f aca="false">MAX(A728-SC_Z,0)</f>
        <v>7.23</v>
      </c>
      <c r="H728" s="30" t="n">
        <f aca="false">1-0.2*(SC_xmb+(SC_n-1)*SC_xmt)*G728/(SC_n*SC_b)</f>
        <v>0.79756</v>
      </c>
      <c r="I728" s="31" t="n">
        <f aca="false">SC_s*H728*SC_m*SC_n*SC_b*SQRT(2*g_)*G728^1.5</f>
        <v>154.526450989172</v>
      </c>
      <c r="J728" s="32" t="n">
        <f aca="false">F728+I728</f>
        <v>399.941003604557</v>
      </c>
      <c r="K728" s="32" t="n">
        <f aca="false">F728</f>
        <v>245.414552615385</v>
      </c>
      <c r="L728" s="32" t="n">
        <f aca="false">C728*1000000/dt_s+J728/2</f>
        <v>17321.652168469</v>
      </c>
      <c r="M728" s="32" t="n">
        <f aca="false">C728*1000000/dt_s+K728/2</f>
        <v>17244.3889429744</v>
      </c>
    </row>
    <row r="729" customFormat="false" ht="15" hidden="false" customHeight="false" outlineLevel="0" collapsed="false">
      <c r="A729" s="24" t="n">
        <f aca="false">ROUND(A728+0.01,2)</f>
        <v>78.24</v>
      </c>
      <c r="B729" s="25" t="n">
        <f aca="false">INDEX(Bang_F,MATCH(A729,Bang_Z,1))+(A729-INDEX(Bang_Z,MATCH(A729,Bang_Z,1)))*(INDEX(Bang_F,MATCH(A729,Bang_Z,1)+1)-INDEX(Bang_F,MATCH(A729,Bang_Z,1)))</f>
        <v>8.0348</v>
      </c>
      <c r="C729" s="25" t="n">
        <f aca="false">INDEX(Bang_W,MATCH(A729,Bang_Z,1))+(A729-INDEX(Bang_Z,MATCH(A729,Bang_Z,1)))*(INDEX(Bang_F,MATCH(A729,Bang_Z,1))+B729)/2</f>
        <v>61.718376</v>
      </c>
      <c r="D729" s="26" t="n">
        <f aca="false">MAX(A729-TC_Z,0)</f>
        <v>3.53999999999999</v>
      </c>
      <c r="E729" s="27" t="n">
        <f aca="false">1-0.2*(TC_xmb+(TC_n-1)*TC_xmt)*D729/(TC_n*TC_b)</f>
        <v>0.859055555555556</v>
      </c>
      <c r="F729" s="28" t="n">
        <f aca="false">TC_s*E729*TC_m*TC_n*TC_b*SQRT(2*g_)*D729^1.5</f>
        <v>246.343955351355</v>
      </c>
      <c r="G729" s="29" t="n">
        <f aca="false">MAX(A729-SC_Z,0)</f>
        <v>7.24</v>
      </c>
      <c r="H729" s="30" t="n">
        <f aca="false">1-0.2*(SC_xmb+(SC_n-1)*SC_xmt)*G729/(SC_n*SC_b)</f>
        <v>0.79728</v>
      </c>
      <c r="I729" s="31" t="n">
        <f aca="false">SC_s*H729*SC_m*SC_n*SC_b*SQRT(2*g_)*G729^1.5</f>
        <v>154.792793806169</v>
      </c>
      <c r="J729" s="32" t="n">
        <f aca="false">F729+I729</f>
        <v>401.136749157524</v>
      </c>
      <c r="K729" s="32" t="n">
        <f aca="false">F729</f>
        <v>246.343955351355</v>
      </c>
      <c r="L729" s="32" t="n">
        <f aca="false">C729*1000000/dt_s+J729/2</f>
        <v>17344.5617079121</v>
      </c>
      <c r="M729" s="32" t="n">
        <f aca="false">C729*1000000/dt_s+K729/2</f>
        <v>17267.165311009</v>
      </c>
    </row>
    <row r="730" customFormat="false" ht="15" hidden="false" customHeight="false" outlineLevel="0" collapsed="false">
      <c r="A730" s="24" t="n">
        <f aca="false">ROUND(A729+0.01,2)</f>
        <v>78.25</v>
      </c>
      <c r="B730" s="25" t="n">
        <f aca="false">INDEX(Bang_F,MATCH(A730,Bang_Z,1))+(A730-INDEX(Bang_Z,MATCH(A730,Bang_Z,1)))*(INDEX(Bang_F,MATCH(A730,Bang_Z,1)+1)-INDEX(Bang_F,MATCH(A730,Bang_Z,1)))</f>
        <v>8.04</v>
      </c>
      <c r="C730" s="25" t="n">
        <f aca="false">INDEX(Bang_W,MATCH(A730,Bang_Z,1))+(A730-INDEX(Bang_Z,MATCH(A730,Bang_Z,1)))*(INDEX(Bang_F,MATCH(A730,Bang_Z,1))+B730)/2</f>
        <v>61.79875</v>
      </c>
      <c r="D730" s="26" t="n">
        <f aca="false">MAX(A730-TC_Z,0)</f>
        <v>3.55</v>
      </c>
      <c r="E730" s="27" t="n">
        <f aca="false">1-0.2*(TC_xmb+(TC_n-1)*TC_xmt)*D730/(TC_n*TC_b)</f>
        <v>0.858657407407408</v>
      </c>
      <c r="F730" s="28" t="n">
        <f aca="false">TC_s*E730*TC_m*TC_n*TC_b*SQRT(2*g_)*D730^1.5</f>
        <v>247.273864852858</v>
      </c>
      <c r="G730" s="29" t="n">
        <f aca="false">MAX(A730-SC_Z,0)</f>
        <v>7.25</v>
      </c>
      <c r="H730" s="30" t="n">
        <f aca="false">1-0.2*(SC_xmb+(SC_n-1)*SC_xmt)*G730/(SC_n*SC_b)</f>
        <v>0.797</v>
      </c>
      <c r="I730" s="31" t="n">
        <f aca="false">SC_s*H730*SC_m*SC_n*SC_b*SQRT(2*g_)*G730^1.5</f>
        <v>155.059132845203</v>
      </c>
      <c r="J730" s="32" t="n">
        <f aca="false">F730+I730</f>
        <v>402.332997698061</v>
      </c>
      <c r="K730" s="32" t="n">
        <f aca="false">F730</f>
        <v>247.273864852858</v>
      </c>
      <c r="L730" s="32" t="n">
        <f aca="false">C730*1000000/dt_s+J730/2</f>
        <v>17367.4859432935</v>
      </c>
      <c r="M730" s="32" t="n">
        <f aca="false">C730*1000000/dt_s+K730/2</f>
        <v>17289.9563768709</v>
      </c>
    </row>
    <row r="731" customFormat="false" ht="15" hidden="false" customHeight="false" outlineLevel="0" collapsed="false">
      <c r="A731" s="24" t="n">
        <f aca="false">ROUND(A730+0.01,2)</f>
        <v>78.26</v>
      </c>
      <c r="B731" s="25" t="n">
        <f aca="false">INDEX(Bang_F,MATCH(A731,Bang_Z,1))+(A731-INDEX(Bang_Z,MATCH(A731,Bang_Z,1)))*(INDEX(Bang_F,MATCH(A731,Bang_Z,1)+1)-INDEX(Bang_F,MATCH(A731,Bang_Z,1)))</f>
        <v>8.0452</v>
      </c>
      <c r="C731" s="25" t="n">
        <f aca="false">INDEX(Bang_W,MATCH(A731,Bang_Z,1))+(A731-INDEX(Bang_Z,MATCH(A731,Bang_Z,1)))*(INDEX(Bang_F,MATCH(A731,Bang_Z,1))+B731)/2</f>
        <v>61.879176</v>
      </c>
      <c r="D731" s="26" t="n">
        <f aca="false">MAX(A731-TC_Z,0)</f>
        <v>3.56</v>
      </c>
      <c r="E731" s="27" t="n">
        <f aca="false">1-0.2*(TC_xmb+(TC_n-1)*TC_xmt)*D731/(TC_n*TC_b)</f>
        <v>0.858259259259259</v>
      </c>
      <c r="F731" s="28" t="n">
        <f aca="false">TC_s*E731*TC_m*TC_n*TC_b*SQRT(2*g_)*D731^1.5</f>
        <v>248.204276993878</v>
      </c>
      <c r="G731" s="29" t="n">
        <f aca="false">MAX(A731-SC_Z,0)</f>
        <v>7.26000000000001</v>
      </c>
      <c r="H731" s="30" t="n">
        <f aca="false">1-0.2*(SC_xmb+(SC_n-1)*SC_xmt)*G731/(SC_n*SC_b)</f>
        <v>0.79672</v>
      </c>
      <c r="I731" s="31" t="n">
        <f aca="false">SC_s*H731*SC_m*SC_n*SC_b*SQRT(2*g_)*G731^1.5</f>
        <v>155.325467720235</v>
      </c>
      <c r="J731" s="32" t="n">
        <f aca="false">F731+I731</f>
        <v>403.529744714112</v>
      </c>
      <c r="K731" s="32" t="n">
        <f aca="false">F731</f>
        <v>248.204276993878</v>
      </c>
      <c r="L731" s="32" t="n">
        <f aca="false">C731*1000000/dt_s+J731/2</f>
        <v>17390.4248723571</v>
      </c>
      <c r="M731" s="32" t="n">
        <f aca="false">C731*1000000/dt_s+K731/2</f>
        <v>17312.762138497</v>
      </c>
    </row>
    <row r="732" customFormat="false" ht="15" hidden="false" customHeight="false" outlineLevel="0" collapsed="false">
      <c r="A732" s="24" t="n">
        <f aca="false">ROUND(A731+0.01,2)</f>
        <v>78.27</v>
      </c>
      <c r="B732" s="25" t="n">
        <f aca="false">INDEX(Bang_F,MATCH(A732,Bang_Z,1))+(A732-INDEX(Bang_Z,MATCH(A732,Bang_Z,1)))*(INDEX(Bang_F,MATCH(A732,Bang_Z,1)+1)-INDEX(Bang_F,MATCH(A732,Bang_Z,1)))</f>
        <v>8.0504</v>
      </c>
      <c r="C732" s="25" t="n">
        <f aca="false">INDEX(Bang_W,MATCH(A732,Bang_Z,1))+(A732-INDEX(Bang_Z,MATCH(A732,Bang_Z,1)))*(INDEX(Bang_F,MATCH(A732,Bang_Z,1))+B732)/2</f>
        <v>61.959654</v>
      </c>
      <c r="D732" s="26" t="n">
        <f aca="false">MAX(A732-TC_Z,0)</f>
        <v>3.56999999999999</v>
      </c>
      <c r="E732" s="27" t="n">
        <f aca="false">1-0.2*(TC_xmb+(TC_n-1)*TC_xmt)*D732/(TC_n*TC_b)</f>
        <v>0.857861111111111</v>
      </c>
      <c r="F732" s="28" t="n">
        <f aca="false">TC_s*E732*TC_m*TC_n*TC_b*SQRT(2*g_)*D732^1.5</f>
        <v>249.135187660998</v>
      </c>
      <c r="G732" s="29" t="n">
        <f aca="false">MAX(A732-SC_Z,0)</f>
        <v>7.27</v>
      </c>
      <c r="H732" s="30" t="n">
        <f aca="false">1-0.2*(SC_xmb+(SC_n-1)*SC_xmt)*G732/(SC_n*SC_b)</f>
        <v>0.79644</v>
      </c>
      <c r="I732" s="31" t="n">
        <f aca="false">SC_s*H732*SC_m*SC_n*SC_b*SQRT(2*g_)*G732^1.5</f>
        <v>155.591798045756</v>
      </c>
      <c r="J732" s="32" t="n">
        <f aca="false">F732+I732</f>
        <v>404.726985706754</v>
      </c>
      <c r="K732" s="32" t="n">
        <f aca="false">F732</f>
        <v>249.135187660998</v>
      </c>
      <c r="L732" s="32" t="n">
        <f aca="false">C732*1000000/dt_s+J732/2</f>
        <v>17413.3784928534</v>
      </c>
      <c r="M732" s="32" t="n">
        <f aca="false">C732*1000000/dt_s+K732/2</f>
        <v>17335.5825938305</v>
      </c>
    </row>
    <row r="733" customFormat="false" ht="15" hidden="false" customHeight="false" outlineLevel="0" collapsed="false">
      <c r="A733" s="24" t="n">
        <f aca="false">ROUND(A732+0.01,2)</f>
        <v>78.28</v>
      </c>
      <c r="B733" s="25" t="n">
        <f aca="false">INDEX(Bang_F,MATCH(A733,Bang_Z,1))+(A733-INDEX(Bang_Z,MATCH(A733,Bang_Z,1)))*(INDEX(Bang_F,MATCH(A733,Bang_Z,1)+1)-INDEX(Bang_F,MATCH(A733,Bang_Z,1)))</f>
        <v>8.0556</v>
      </c>
      <c r="C733" s="25" t="n">
        <f aca="false">INDEX(Bang_W,MATCH(A733,Bang_Z,1))+(A733-INDEX(Bang_Z,MATCH(A733,Bang_Z,1)))*(INDEX(Bang_F,MATCH(A733,Bang_Z,1))+B733)/2</f>
        <v>62.040184</v>
      </c>
      <c r="D733" s="26" t="n">
        <f aca="false">MAX(A733-TC_Z,0)</f>
        <v>3.58</v>
      </c>
      <c r="E733" s="27" t="n">
        <f aca="false">1-0.2*(TC_xmb+(TC_n-1)*TC_xmt)*D733/(TC_n*TC_b)</f>
        <v>0.857462962962963</v>
      </c>
      <c r="F733" s="28" t="n">
        <f aca="false">TC_s*E733*TC_m*TC_n*TC_b*SQRT(2*g_)*D733^1.5</f>
        <v>250.066592753329</v>
      </c>
      <c r="G733" s="29" t="n">
        <f aca="false">MAX(A733-SC_Z,0)</f>
        <v>7.28</v>
      </c>
      <c r="H733" s="30" t="n">
        <f aca="false">1-0.2*(SC_xmb+(SC_n-1)*SC_xmt)*G733/(SC_n*SC_b)</f>
        <v>0.79616</v>
      </c>
      <c r="I733" s="31" t="n">
        <f aca="false">SC_s*H733*SC_m*SC_n*SC_b*SQRT(2*g_)*G733^1.5</f>
        <v>155.858123436788</v>
      </c>
      <c r="J733" s="32" t="n">
        <f aca="false">F733+I733</f>
        <v>405.924716190118</v>
      </c>
      <c r="K733" s="32" t="n">
        <f aca="false">F733</f>
        <v>250.066592753329</v>
      </c>
      <c r="L733" s="32" t="n">
        <f aca="false">C733*1000000/dt_s+J733/2</f>
        <v>17436.3468025395</v>
      </c>
      <c r="M733" s="32" t="n">
        <f aca="false">C733*1000000/dt_s+K733/2</f>
        <v>17358.4177408211</v>
      </c>
    </row>
    <row r="734" customFormat="false" ht="15" hidden="false" customHeight="false" outlineLevel="0" collapsed="false">
      <c r="A734" s="24" t="n">
        <f aca="false">ROUND(A733+0.01,2)</f>
        <v>78.29</v>
      </c>
      <c r="B734" s="25" t="n">
        <f aca="false">INDEX(Bang_F,MATCH(A734,Bang_Z,1))+(A734-INDEX(Bang_Z,MATCH(A734,Bang_Z,1)))*(INDEX(Bang_F,MATCH(A734,Bang_Z,1)+1)-INDEX(Bang_F,MATCH(A734,Bang_Z,1)))</f>
        <v>8.0608</v>
      </c>
      <c r="C734" s="25" t="n">
        <f aca="false">INDEX(Bang_W,MATCH(A734,Bang_Z,1))+(A734-INDEX(Bang_Z,MATCH(A734,Bang_Z,1)))*(INDEX(Bang_F,MATCH(A734,Bang_Z,1))+B734)/2</f>
        <v>62.1207660000001</v>
      </c>
      <c r="D734" s="26" t="n">
        <f aca="false">MAX(A734-TC_Z,0)</f>
        <v>3.59</v>
      </c>
      <c r="E734" s="27" t="n">
        <f aca="false">1-0.2*(TC_xmb+(TC_n-1)*TC_xmt)*D734/(TC_n*TC_b)</f>
        <v>0.857064814814815</v>
      </c>
      <c r="F734" s="28" t="n">
        <f aca="false">TC_s*E734*TC_m*TC_n*TC_b*SQRT(2*g_)*D734^1.5</f>
        <v>250.998488182416</v>
      </c>
      <c r="G734" s="29" t="n">
        <f aca="false">MAX(A734-SC_Z,0)</f>
        <v>7.29000000000001</v>
      </c>
      <c r="H734" s="30" t="n">
        <f aca="false">1-0.2*(SC_xmb+(SC_n-1)*SC_xmt)*G734/(SC_n*SC_b)</f>
        <v>0.79588</v>
      </c>
      <c r="I734" s="31" t="n">
        <f aca="false">SC_s*H734*SC_m*SC_n*SC_b*SQRT(2*g_)*G734^1.5</f>
        <v>156.124443508879</v>
      </c>
      <c r="J734" s="32" t="n">
        <f aca="false">F734+I734</f>
        <v>407.122931691295</v>
      </c>
      <c r="K734" s="32" t="n">
        <f aca="false">F734</f>
        <v>250.998488182416</v>
      </c>
      <c r="L734" s="32" t="n">
        <f aca="false">C734*1000000/dt_s+J734/2</f>
        <v>17459.329799179</v>
      </c>
      <c r="M734" s="32" t="n">
        <f aca="false">C734*1000000/dt_s+K734/2</f>
        <v>17381.2675774246</v>
      </c>
    </row>
    <row r="735" customFormat="false" ht="15" hidden="false" customHeight="false" outlineLevel="0" collapsed="false">
      <c r="A735" s="24" t="n">
        <f aca="false">ROUND(A734+0.01,2)</f>
        <v>78.3</v>
      </c>
      <c r="B735" s="25" t="n">
        <f aca="false">INDEX(Bang_F,MATCH(A735,Bang_Z,1))+(A735-INDEX(Bang_Z,MATCH(A735,Bang_Z,1)))*(INDEX(Bang_F,MATCH(A735,Bang_Z,1)+1)-INDEX(Bang_F,MATCH(A735,Bang_Z,1)))</f>
        <v>8.066</v>
      </c>
      <c r="C735" s="25" t="n">
        <f aca="false">INDEX(Bang_W,MATCH(A735,Bang_Z,1))+(A735-INDEX(Bang_Z,MATCH(A735,Bang_Z,1)))*(INDEX(Bang_F,MATCH(A735,Bang_Z,1))+B735)/2</f>
        <v>62.2014</v>
      </c>
      <c r="D735" s="26" t="n">
        <f aca="false">MAX(A735-TC_Z,0)</f>
        <v>3.59999999999999</v>
      </c>
      <c r="E735" s="27" t="n">
        <f aca="false">1-0.2*(TC_xmb+(TC_n-1)*TC_xmt)*D735/(TC_n*TC_b)</f>
        <v>0.856666666666667</v>
      </c>
      <c r="F735" s="28" t="n">
        <f aca="false">TC_s*E735*TC_m*TC_n*TC_b*SQRT(2*g_)*D735^1.5</f>
        <v>251.930869872162</v>
      </c>
      <c r="G735" s="29" t="n">
        <f aca="false">MAX(A735-SC_Z,0)</f>
        <v>7.3</v>
      </c>
      <c r="H735" s="30" t="n">
        <f aca="false">1-0.2*(SC_xmb+(SC_n-1)*SC_xmt)*G735/(SC_n*SC_b)</f>
        <v>0.7956</v>
      </c>
      <c r="I735" s="31" t="n">
        <f aca="false">SC_s*H735*SC_m*SC_n*SC_b*SQRT(2*g_)*G735^1.5</f>
        <v>156.3907578781</v>
      </c>
      <c r="J735" s="32" t="n">
        <f aca="false">F735+I735</f>
        <v>408.321627750262</v>
      </c>
      <c r="K735" s="32" t="n">
        <f aca="false">F735</f>
        <v>251.930869872162</v>
      </c>
      <c r="L735" s="32" t="n">
        <f aca="false">C735*1000000/dt_s+J735/2</f>
        <v>17482.3274805418</v>
      </c>
      <c r="M735" s="32" t="n">
        <f aca="false">C735*1000000/dt_s+K735/2</f>
        <v>17404.1321016027</v>
      </c>
    </row>
    <row r="736" customFormat="false" ht="15" hidden="false" customHeight="false" outlineLevel="0" collapsed="false">
      <c r="A736" s="24" t="n">
        <f aca="false">ROUND(A735+0.01,2)</f>
        <v>78.31</v>
      </c>
      <c r="B736" s="25" t="n">
        <f aca="false">INDEX(Bang_F,MATCH(A736,Bang_Z,1))+(A736-INDEX(Bang_Z,MATCH(A736,Bang_Z,1)))*(INDEX(Bang_F,MATCH(A736,Bang_Z,1)+1)-INDEX(Bang_F,MATCH(A736,Bang_Z,1)))</f>
        <v>8.0712</v>
      </c>
      <c r="C736" s="25" t="n">
        <f aca="false">INDEX(Bang_W,MATCH(A736,Bang_Z,1))+(A736-INDEX(Bang_Z,MATCH(A736,Bang_Z,1)))*(INDEX(Bang_F,MATCH(A736,Bang_Z,1))+B736)/2</f>
        <v>62.282086</v>
      </c>
      <c r="D736" s="26" t="n">
        <f aca="false">MAX(A736-TC_Z,0)</f>
        <v>3.61</v>
      </c>
      <c r="E736" s="27" t="n">
        <f aca="false">1-0.2*(TC_xmb+(TC_n-1)*TC_xmt)*D736/(TC_n*TC_b)</f>
        <v>0.856268518518519</v>
      </c>
      <c r="F736" s="28" t="n">
        <f aca="false">TC_s*E736*TC_m*TC_n*TC_b*SQRT(2*g_)*D736^1.5</f>
        <v>252.863733758756</v>
      </c>
      <c r="G736" s="29" t="n">
        <f aca="false">MAX(A736-SC_Z,0)</f>
        <v>7.31</v>
      </c>
      <c r="H736" s="30" t="n">
        <f aca="false">1-0.2*(SC_xmb+(SC_n-1)*SC_xmt)*G736/(SC_n*SC_b)</f>
        <v>0.79532</v>
      </c>
      <c r="I736" s="31" t="n">
        <f aca="false">SC_s*H736*SC_m*SC_n*SC_b*SQRT(2*g_)*G736^1.5</f>
        <v>156.657066161048</v>
      </c>
      <c r="J736" s="32" t="n">
        <f aca="false">F736+I736</f>
        <v>409.520799919804</v>
      </c>
      <c r="K736" s="32" t="n">
        <f aca="false">F736</f>
        <v>252.863733758756</v>
      </c>
      <c r="L736" s="32" t="n">
        <f aca="false">C736*1000000/dt_s+J736/2</f>
        <v>17505.3398444044</v>
      </c>
      <c r="M736" s="32" t="n">
        <f aca="false">C736*1000000/dt_s+K736/2</f>
        <v>17427.0113113238</v>
      </c>
    </row>
    <row r="737" customFormat="false" ht="15" hidden="false" customHeight="false" outlineLevel="0" collapsed="false">
      <c r="A737" s="24" t="n">
        <f aca="false">ROUND(A736+0.01,2)</f>
        <v>78.32</v>
      </c>
      <c r="B737" s="25" t="n">
        <f aca="false">INDEX(Bang_F,MATCH(A737,Bang_Z,1))+(A737-INDEX(Bang_Z,MATCH(A737,Bang_Z,1)))*(INDEX(Bang_F,MATCH(A737,Bang_Z,1)+1)-INDEX(Bang_F,MATCH(A737,Bang_Z,1)))</f>
        <v>8.0764</v>
      </c>
      <c r="C737" s="25" t="n">
        <f aca="false">INDEX(Bang_W,MATCH(A737,Bang_Z,1))+(A737-INDEX(Bang_Z,MATCH(A737,Bang_Z,1)))*(INDEX(Bang_F,MATCH(A737,Bang_Z,1))+B737)/2</f>
        <v>62.362824</v>
      </c>
      <c r="D737" s="26" t="n">
        <f aca="false">MAX(A737-TC_Z,0)</f>
        <v>3.61999999999999</v>
      </c>
      <c r="E737" s="27" t="n">
        <f aca="false">1-0.2*(TC_xmb+(TC_n-1)*TC_xmt)*D737/(TC_n*TC_b)</f>
        <v>0.855870370370371</v>
      </c>
      <c r="F737" s="28" t="n">
        <f aca="false">TC_s*E737*TC_m*TC_n*TC_b*SQRT(2*g_)*D737^1.5</f>
        <v>253.797075790583</v>
      </c>
      <c r="G737" s="29" t="n">
        <f aca="false">MAX(A737-SC_Z,0)</f>
        <v>7.31999999999999</v>
      </c>
      <c r="H737" s="30" t="n">
        <f aca="false">1-0.2*(SC_xmb+(SC_n-1)*SC_xmt)*G737/(SC_n*SC_b)</f>
        <v>0.79504</v>
      </c>
      <c r="I737" s="31" t="n">
        <f aca="false">SC_s*H737*SC_m*SC_n*SC_b*SQRT(2*g_)*G737^1.5</f>
        <v>156.923367974841</v>
      </c>
      <c r="J737" s="32" t="n">
        <f aca="false">F737+I737</f>
        <v>410.720443765425</v>
      </c>
      <c r="K737" s="32" t="n">
        <f aca="false">F737</f>
        <v>253.797075790583</v>
      </c>
      <c r="L737" s="32" t="n">
        <f aca="false">C737*1000000/dt_s+J737/2</f>
        <v>17528.3668885494</v>
      </c>
      <c r="M737" s="32" t="n">
        <f aca="false">C737*1000000/dt_s+K737/2</f>
        <v>17449.9052045619</v>
      </c>
    </row>
    <row r="738" customFormat="false" ht="15" hidden="false" customHeight="false" outlineLevel="0" collapsed="false">
      <c r="A738" s="24" t="n">
        <f aca="false">ROUND(A737+0.01,2)</f>
        <v>78.33</v>
      </c>
      <c r="B738" s="25" t="n">
        <f aca="false">INDEX(Bang_F,MATCH(A738,Bang_Z,1))+(A738-INDEX(Bang_Z,MATCH(A738,Bang_Z,1)))*(INDEX(Bang_F,MATCH(A738,Bang_Z,1)+1)-INDEX(Bang_F,MATCH(A738,Bang_Z,1)))</f>
        <v>8.0816</v>
      </c>
      <c r="C738" s="25" t="n">
        <f aca="false">INDEX(Bang_W,MATCH(A738,Bang_Z,1))+(A738-INDEX(Bang_Z,MATCH(A738,Bang_Z,1)))*(INDEX(Bang_F,MATCH(A738,Bang_Z,1))+B738)/2</f>
        <v>62.443614</v>
      </c>
      <c r="D738" s="26" t="n">
        <f aca="false">MAX(A738-TC_Z,0)</f>
        <v>3.63</v>
      </c>
      <c r="E738" s="27" t="n">
        <f aca="false">1-0.2*(TC_xmb+(TC_n-1)*TC_xmt)*D738/(TC_n*TC_b)</f>
        <v>0.855472222222222</v>
      </c>
      <c r="F738" s="28" t="n">
        <f aca="false">TC_s*E738*TC_m*TC_n*TC_b*SQRT(2*g_)*D738^1.5</f>
        <v>254.730891928158</v>
      </c>
      <c r="G738" s="29" t="n">
        <f aca="false">MAX(A738-SC_Z,0)</f>
        <v>7.33</v>
      </c>
      <c r="H738" s="30" t="n">
        <f aca="false">1-0.2*(SC_xmb+(SC_n-1)*SC_xmt)*G738/(SC_n*SC_b)</f>
        <v>0.79476</v>
      </c>
      <c r="I738" s="31" t="n">
        <f aca="false">SC_s*H738*SC_m*SC_n*SC_b*SQRT(2*g_)*G738^1.5</f>
        <v>157.189662937119</v>
      </c>
      <c r="J738" s="32" t="n">
        <f aca="false">F738+I738</f>
        <v>411.920554865277</v>
      </c>
      <c r="K738" s="32" t="n">
        <f aca="false">F738</f>
        <v>254.730891928158</v>
      </c>
      <c r="L738" s="32" t="n">
        <f aca="false">C738*1000000/dt_s+J738/2</f>
        <v>17551.408610766</v>
      </c>
      <c r="M738" s="32" t="n">
        <f aca="false">C738*1000000/dt_s+K738/2</f>
        <v>17472.8137792974</v>
      </c>
    </row>
    <row r="739" customFormat="false" ht="15" hidden="false" customHeight="false" outlineLevel="0" collapsed="false">
      <c r="A739" s="24" t="n">
        <f aca="false">ROUND(A738+0.01,2)</f>
        <v>78.34</v>
      </c>
      <c r="B739" s="25" t="n">
        <f aca="false">INDEX(Bang_F,MATCH(A739,Bang_Z,1))+(A739-INDEX(Bang_Z,MATCH(A739,Bang_Z,1)))*(INDEX(Bang_F,MATCH(A739,Bang_Z,1)+1)-INDEX(Bang_F,MATCH(A739,Bang_Z,1)))</f>
        <v>8.0868</v>
      </c>
      <c r="C739" s="25" t="n">
        <f aca="false">INDEX(Bang_W,MATCH(A739,Bang_Z,1))+(A739-INDEX(Bang_Z,MATCH(A739,Bang_Z,1)))*(INDEX(Bang_F,MATCH(A739,Bang_Z,1))+B739)/2</f>
        <v>62.524456</v>
      </c>
      <c r="D739" s="26" t="n">
        <f aca="false">MAX(A739-TC_Z,0)</f>
        <v>3.64</v>
      </c>
      <c r="E739" s="27" t="n">
        <f aca="false">1-0.2*(TC_xmb+(TC_n-1)*TC_xmt)*D739/(TC_n*TC_b)</f>
        <v>0.855074074074074</v>
      </c>
      <c r="F739" s="28" t="n">
        <f aca="false">TC_s*E739*TC_m*TC_n*TC_b*SQRT(2*g_)*D739^1.5</f>
        <v>255.665178144037</v>
      </c>
      <c r="G739" s="29" t="n">
        <f aca="false">MAX(A739-SC_Z,0)</f>
        <v>7.34</v>
      </c>
      <c r="H739" s="30" t="n">
        <f aca="false">1-0.2*(SC_xmb+(SC_n-1)*SC_xmt)*G739/(SC_n*SC_b)</f>
        <v>0.79448</v>
      </c>
      <c r="I739" s="31" t="n">
        <f aca="false">SC_s*H739*SC_m*SC_n*SC_b*SQRT(2*g_)*G739^1.5</f>
        <v>157.455950666037</v>
      </c>
      <c r="J739" s="32" t="n">
        <f aca="false">F739+I739</f>
        <v>413.121128810075</v>
      </c>
      <c r="K739" s="32" t="n">
        <f aca="false">F739</f>
        <v>255.665178144037</v>
      </c>
      <c r="L739" s="32" t="n">
        <f aca="false">C739*1000000/dt_s+J739/2</f>
        <v>17574.4650088495</v>
      </c>
      <c r="M739" s="32" t="n">
        <f aca="false">C739*1000000/dt_s+K739/2</f>
        <v>17495.7370335165</v>
      </c>
    </row>
    <row r="740" customFormat="false" ht="15" hidden="false" customHeight="false" outlineLevel="0" collapsed="false">
      <c r="A740" s="24" t="n">
        <f aca="false">ROUND(A739+0.01,2)</f>
        <v>78.35</v>
      </c>
      <c r="B740" s="25" t="n">
        <f aca="false">INDEX(Bang_F,MATCH(A740,Bang_Z,1))+(A740-INDEX(Bang_Z,MATCH(A740,Bang_Z,1)))*(INDEX(Bang_F,MATCH(A740,Bang_Z,1)+1)-INDEX(Bang_F,MATCH(A740,Bang_Z,1)))</f>
        <v>8.092</v>
      </c>
      <c r="C740" s="25" t="n">
        <f aca="false">INDEX(Bang_W,MATCH(A740,Bang_Z,1))+(A740-INDEX(Bang_Z,MATCH(A740,Bang_Z,1)))*(INDEX(Bang_F,MATCH(A740,Bang_Z,1))+B740)/2</f>
        <v>62.60535</v>
      </c>
      <c r="D740" s="26" t="n">
        <f aca="false">MAX(A740-TC_Z,0)</f>
        <v>3.64999999999999</v>
      </c>
      <c r="E740" s="27" t="n">
        <f aca="false">1-0.2*(TC_xmb+(TC_n-1)*TC_xmt)*D740/(TC_n*TC_b)</f>
        <v>0.854675925925926</v>
      </c>
      <c r="F740" s="28" t="n">
        <f aca="false">TC_s*E740*TC_m*TC_n*TC_b*SQRT(2*g_)*D740^1.5</f>
        <v>256.599930422748</v>
      </c>
      <c r="G740" s="29" t="n">
        <f aca="false">MAX(A740-SC_Z,0)</f>
        <v>7.34999999999999</v>
      </c>
      <c r="H740" s="30" t="n">
        <f aca="false">1-0.2*(SC_xmb+(SC_n-1)*SC_xmt)*G740/(SC_n*SC_b)</f>
        <v>0.7942</v>
      </c>
      <c r="I740" s="31" t="n">
        <f aca="false">SC_s*H740*SC_m*SC_n*SC_b*SQRT(2*g_)*G740^1.5</f>
        <v>157.722230780272</v>
      </c>
      <c r="J740" s="32" t="n">
        <f aca="false">F740+I740</f>
        <v>414.322161203019</v>
      </c>
      <c r="K740" s="32" t="n">
        <f aca="false">F740</f>
        <v>256.599930422748</v>
      </c>
      <c r="L740" s="32" t="n">
        <f aca="false">C740*1000000/dt_s+J740/2</f>
        <v>17597.5360806015</v>
      </c>
      <c r="M740" s="32" t="n">
        <f aca="false">C740*1000000/dt_s+K740/2</f>
        <v>17518.6749652114</v>
      </c>
    </row>
    <row r="741" customFormat="false" ht="15" hidden="false" customHeight="false" outlineLevel="0" collapsed="false">
      <c r="A741" s="24" t="n">
        <f aca="false">ROUND(A740+0.01,2)</f>
        <v>78.36</v>
      </c>
      <c r="B741" s="25" t="n">
        <f aca="false">INDEX(Bang_F,MATCH(A741,Bang_Z,1))+(A741-INDEX(Bang_Z,MATCH(A741,Bang_Z,1)))*(INDEX(Bang_F,MATCH(A741,Bang_Z,1)+1)-INDEX(Bang_F,MATCH(A741,Bang_Z,1)))</f>
        <v>8.0972</v>
      </c>
      <c r="C741" s="25" t="n">
        <f aca="false">INDEX(Bang_W,MATCH(A741,Bang_Z,1))+(A741-INDEX(Bang_Z,MATCH(A741,Bang_Z,1)))*(INDEX(Bang_F,MATCH(A741,Bang_Z,1))+B741)/2</f>
        <v>62.686296</v>
      </c>
      <c r="D741" s="26" t="n">
        <f aca="false">MAX(A741-TC_Z,0)</f>
        <v>3.66</v>
      </c>
      <c r="E741" s="27" t="n">
        <f aca="false">1-0.2*(TC_xmb+(TC_n-1)*TC_xmt)*D741/(TC_n*TC_b)</f>
        <v>0.854277777777778</v>
      </c>
      <c r="F741" s="28" t="n">
        <f aca="false">TC_s*E741*TC_m*TC_n*TC_b*SQRT(2*g_)*D741^1.5</f>
        <v>257.535144760715</v>
      </c>
      <c r="G741" s="29" t="n">
        <f aca="false">MAX(A741-SC_Z,0)</f>
        <v>7.36</v>
      </c>
      <c r="H741" s="30" t="n">
        <f aca="false">1-0.2*(SC_xmb+(SC_n-1)*SC_xmt)*G741/(SC_n*SC_b)</f>
        <v>0.79392</v>
      </c>
      <c r="I741" s="31" t="n">
        <f aca="false">SC_s*H741*SC_m*SC_n*SC_b*SQRT(2*g_)*G741^1.5</f>
        <v>157.988502899013</v>
      </c>
      <c r="J741" s="32" t="n">
        <f aca="false">F741+I741</f>
        <v>415.523647659728</v>
      </c>
      <c r="K741" s="32" t="n">
        <f aca="false">F741</f>
        <v>257.535144760715</v>
      </c>
      <c r="L741" s="32" t="n">
        <f aca="false">C741*1000000/dt_s+J741/2</f>
        <v>17620.6218238299</v>
      </c>
      <c r="M741" s="32" t="n">
        <f aca="false">C741*1000000/dt_s+K741/2</f>
        <v>17541.6275723804</v>
      </c>
    </row>
    <row r="742" customFormat="false" ht="15" hidden="false" customHeight="false" outlineLevel="0" collapsed="false">
      <c r="A742" s="24" t="n">
        <f aca="false">ROUND(A741+0.01,2)</f>
        <v>78.37</v>
      </c>
      <c r="B742" s="25" t="n">
        <f aca="false">INDEX(Bang_F,MATCH(A742,Bang_Z,1))+(A742-INDEX(Bang_Z,MATCH(A742,Bang_Z,1)))*(INDEX(Bang_F,MATCH(A742,Bang_Z,1)+1)-INDEX(Bang_F,MATCH(A742,Bang_Z,1)))</f>
        <v>8.1024</v>
      </c>
      <c r="C742" s="25" t="n">
        <f aca="false">INDEX(Bang_W,MATCH(A742,Bang_Z,1))+(A742-INDEX(Bang_Z,MATCH(A742,Bang_Z,1)))*(INDEX(Bang_F,MATCH(A742,Bang_Z,1))+B742)/2</f>
        <v>62.767294</v>
      </c>
      <c r="D742" s="26" t="n">
        <f aca="false">MAX(A742-TC_Z,0)</f>
        <v>3.67</v>
      </c>
      <c r="E742" s="27" t="n">
        <f aca="false">1-0.2*(TC_xmb+(TC_n-1)*TC_xmt)*D742/(TC_n*TC_b)</f>
        <v>0.85387962962963</v>
      </c>
      <c r="F742" s="28" t="n">
        <f aca="false">TC_s*E742*TC_m*TC_n*TC_b*SQRT(2*g_)*D742^1.5</f>
        <v>258.470817166181</v>
      </c>
      <c r="G742" s="29" t="n">
        <f aca="false">MAX(A742-SC_Z,0)</f>
        <v>7.37</v>
      </c>
      <c r="H742" s="30" t="n">
        <f aca="false">1-0.2*(SC_xmb+(SC_n-1)*SC_xmt)*G742/(SC_n*SC_b)</f>
        <v>0.79364</v>
      </c>
      <c r="I742" s="31" t="n">
        <f aca="false">SC_s*H742*SC_m*SC_n*SC_b*SQRT(2*g_)*G742^1.5</f>
        <v>158.254766641964</v>
      </c>
      <c r="J742" s="32" t="n">
        <f aca="false">F742+I742</f>
        <v>416.725583808145</v>
      </c>
      <c r="K742" s="32" t="n">
        <f aca="false">F742</f>
        <v>258.470817166181</v>
      </c>
      <c r="L742" s="32" t="n">
        <f aca="false">C742*1000000/dt_s+J742/2</f>
        <v>17643.7222363485</v>
      </c>
      <c r="M742" s="32" t="n">
        <f aca="false">C742*1000000/dt_s+K742/2</f>
        <v>17564.5948530275</v>
      </c>
    </row>
    <row r="743" customFormat="false" ht="15" hidden="false" customHeight="false" outlineLevel="0" collapsed="false">
      <c r="A743" s="24" t="n">
        <f aca="false">ROUND(A742+0.01,2)</f>
        <v>78.38</v>
      </c>
      <c r="B743" s="25" t="n">
        <f aca="false">INDEX(Bang_F,MATCH(A743,Bang_Z,1))+(A743-INDEX(Bang_Z,MATCH(A743,Bang_Z,1)))*(INDEX(Bang_F,MATCH(A743,Bang_Z,1)+1)-INDEX(Bang_F,MATCH(A743,Bang_Z,1)))</f>
        <v>8.1076</v>
      </c>
      <c r="C743" s="25" t="n">
        <f aca="false">INDEX(Bang_W,MATCH(A743,Bang_Z,1))+(A743-INDEX(Bang_Z,MATCH(A743,Bang_Z,1)))*(INDEX(Bang_F,MATCH(A743,Bang_Z,1))+B743)/2</f>
        <v>62.848344</v>
      </c>
      <c r="D743" s="26" t="n">
        <f aca="false">MAX(A743-TC_Z,0)</f>
        <v>3.67999999999999</v>
      </c>
      <c r="E743" s="27" t="n">
        <f aca="false">1-0.2*(TC_xmb+(TC_n-1)*TC_xmt)*D743/(TC_n*TC_b)</f>
        <v>0.853481481481482</v>
      </c>
      <c r="F743" s="28" t="n">
        <f aca="false">TC_s*E743*TC_m*TC_n*TC_b*SQRT(2*g_)*D743^1.5</f>
        <v>259.406943659131</v>
      </c>
      <c r="G743" s="29" t="n">
        <f aca="false">MAX(A743-SC_Z,0)</f>
        <v>7.38</v>
      </c>
      <c r="H743" s="30" t="n">
        <f aca="false">1-0.2*(SC_xmb+(SC_n-1)*SC_xmt)*G743/(SC_n*SC_b)</f>
        <v>0.79336</v>
      </c>
      <c r="I743" s="31" t="n">
        <f aca="false">SC_s*H743*SC_m*SC_n*SC_b*SQRT(2*g_)*G743^1.5</f>
        <v>158.521021629343</v>
      </c>
      <c r="J743" s="32" t="n">
        <f aca="false">F743+I743</f>
        <v>417.927965288475</v>
      </c>
      <c r="K743" s="32" t="n">
        <f aca="false">F743</f>
        <v>259.406943659131</v>
      </c>
      <c r="L743" s="32" t="n">
        <f aca="false">C743*1000000/dt_s+J743/2</f>
        <v>17666.8373159776</v>
      </c>
      <c r="M743" s="32" t="n">
        <f aca="false">C743*1000000/dt_s+K743/2</f>
        <v>17587.5768051629</v>
      </c>
    </row>
    <row r="744" customFormat="false" ht="15" hidden="false" customHeight="false" outlineLevel="0" collapsed="false">
      <c r="A744" s="24" t="n">
        <f aca="false">ROUND(A743+0.01,2)</f>
        <v>78.39</v>
      </c>
      <c r="B744" s="25" t="n">
        <f aca="false">INDEX(Bang_F,MATCH(A744,Bang_Z,1))+(A744-INDEX(Bang_Z,MATCH(A744,Bang_Z,1)))*(INDEX(Bang_F,MATCH(A744,Bang_Z,1)+1)-INDEX(Bang_F,MATCH(A744,Bang_Z,1)))</f>
        <v>8.1128</v>
      </c>
      <c r="C744" s="25" t="n">
        <f aca="false">INDEX(Bang_W,MATCH(A744,Bang_Z,1))+(A744-INDEX(Bang_Z,MATCH(A744,Bang_Z,1)))*(INDEX(Bang_F,MATCH(A744,Bang_Z,1))+B744)/2</f>
        <v>62.929446</v>
      </c>
      <c r="D744" s="26" t="n">
        <f aca="false">MAX(A744-TC_Z,0)</f>
        <v>3.69</v>
      </c>
      <c r="E744" s="27" t="n">
        <f aca="false">1-0.2*(TC_xmb+(TC_n-1)*TC_xmt)*D744/(TC_n*TC_b)</f>
        <v>0.853083333333333</v>
      </c>
      <c r="F744" s="28" t="n">
        <f aca="false">TC_s*E744*TC_m*TC_n*TC_b*SQRT(2*g_)*D744^1.5</f>
        <v>260.34352027123</v>
      </c>
      <c r="G744" s="29" t="n">
        <f aca="false">MAX(A744-SC_Z,0)</f>
        <v>7.39</v>
      </c>
      <c r="H744" s="30" t="n">
        <f aca="false">1-0.2*(SC_xmb+(SC_n-1)*SC_xmt)*G744/(SC_n*SC_b)</f>
        <v>0.79308</v>
      </c>
      <c r="I744" s="31" t="n">
        <f aca="false">SC_s*H744*SC_m*SC_n*SC_b*SQRT(2*g_)*G744^1.5</f>
        <v>158.787267481878</v>
      </c>
      <c r="J744" s="32" t="n">
        <f aca="false">F744+I744</f>
        <v>419.130787753108</v>
      </c>
      <c r="K744" s="32" t="n">
        <f aca="false">F744</f>
        <v>260.34352027123</v>
      </c>
      <c r="L744" s="32" t="n">
        <f aca="false">C744*1000000/dt_s+J744/2</f>
        <v>17689.9670605432</v>
      </c>
      <c r="M744" s="32" t="n">
        <f aca="false">C744*1000000/dt_s+K744/2</f>
        <v>17610.5734268023</v>
      </c>
    </row>
    <row r="745" customFormat="false" ht="15" hidden="false" customHeight="false" outlineLevel="0" collapsed="false">
      <c r="A745" s="24" t="n">
        <f aca="false">ROUND(A744+0.01,2)</f>
        <v>78.4</v>
      </c>
      <c r="B745" s="25" t="n">
        <f aca="false">INDEX(Bang_F,MATCH(A745,Bang_Z,1))+(A745-INDEX(Bang_Z,MATCH(A745,Bang_Z,1)))*(INDEX(Bang_F,MATCH(A745,Bang_Z,1)+1)-INDEX(Bang_F,MATCH(A745,Bang_Z,1)))</f>
        <v>8.118</v>
      </c>
      <c r="C745" s="25" t="n">
        <f aca="false">INDEX(Bang_W,MATCH(A745,Bang_Z,1))+(A745-INDEX(Bang_Z,MATCH(A745,Bang_Z,1)))*(INDEX(Bang_F,MATCH(A745,Bang_Z,1))+B745)/2</f>
        <v>63.0106</v>
      </c>
      <c r="D745" s="26" t="n">
        <f aca="false">MAX(A745-TC_Z,0)</f>
        <v>3.7</v>
      </c>
      <c r="E745" s="27" t="n">
        <f aca="false">1-0.2*(TC_xmb+(TC_n-1)*TC_xmt)*D745/(TC_n*TC_b)</f>
        <v>0.852685185185185</v>
      </c>
      <c r="F745" s="28" t="n">
        <f aca="false">TC_s*E745*TC_m*TC_n*TC_b*SQRT(2*g_)*D745^1.5</f>
        <v>261.280543045733</v>
      </c>
      <c r="G745" s="29" t="n">
        <f aca="false">MAX(A745-SC_Z,0)</f>
        <v>7.40000000000001</v>
      </c>
      <c r="H745" s="30" t="n">
        <f aca="false">1-0.2*(SC_xmb+(SC_n-1)*SC_xmt)*G745/(SC_n*SC_b)</f>
        <v>0.7928</v>
      </c>
      <c r="I745" s="31" t="n">
        <f aca="false">SC_s*H745*SC_m*SC_n*SC_b*SQRT(2*g_)*G745^1.5</f>
        <v>159.053503820805</v>
      </c>
      <c r="J745" s="32" t="n">
        <f aca="false">F745+I745</f>
        <v>420.334046866538</v>
      </c>
      <c r="K745" s="32" t="n">
        <f aca="false">F745</f>
        <v>261.280543045733</v>
      </c>
      <c r="L745" s="32" t="n">
        <f aca="false">C745*1000000/dt_s+J745/2</f>
        <v>17713.1114678777</v>
      </c>
      <c r="M745" s="32" t="n">
        <f aca="false">C745*1000000/dt_s+K745/2</f>
        <v>17633.5847159673</v>
      </c>
    </row>
    <row r="746" customFormat="false" ht="15" hidden="false" customHeight="false" outlineLevel="0" collapsed="false">
      <c r="A746" s="24" t="n">
        <f aca="false">ROUND(A745+0.01,2)</f>
        <v>78.41</v>
      </c>
      <c r="B746" s="25" t="n">
        <f aca="false">INDEX(Bang_F,MATCH(A746,Bang_Z,1))+(A746-INDEX(Bang_Z,MATCH(A746,Bang_Z,1)))*(INDEX(Bang_F,MATCH(A746,Bang_Z,1)+1)-INDEX(Bang_F,MATCH(A746,Bang_Z,1)))</f>
        <v>8.1232</v>
      </c>
      <c r="C746" s="25" t="n">
        <f aca="false">INDEX(Bang_W,MATCH(A746,Bang_Z,1))+(A746-INDEX(Bang_Z,MATCH(A746,Bang_Z,1)))*(INDEX(Bang_F,MATCH(A746,Bang_Z,1))+B746)/2</f>
        <v>63.091806</v>
      </c>
      <c r="D746" s="26" t="n">
        <f aca="false">MAX(A746-TC_Z,0)</f>
        <v>3.70999999999999</v>
      </c>
      <c r="E746" s="27" t="n">
        <f aca="false">1-0.2*(TC_xmb+(TC_n-1)*TC_xmt)*D746/(TC_n*TC_b)</f>
        <v>0.852287037037037</v>
      </c>
      <c r="F746" s="28" t="n">
        <f aca="false">TC_s*E746*TC_m*TC_n*TC_b*SQRT(2*g_)*D746^1.5</f>
        <v>262.218008037425</v>
      </c>
      <c r="G746" s="29" t="n">
        <f aca="false">MAX(A746-SC_Z,0)</f>
        <v>7.41</v>
      </c>
      <c r="H746" s="30" t="n">
        <f aca="false">1-0.2*(SC_xmb+(SC_n-1)*SC_xmt)*G746/(SC_n*SC_b)</f>
        <v>0.79252</v>
      </c>
      <c r="I746" s="31" t="n">
        <f aca="false">SC_s*H746*SC_m*SC_n*SC_b*SQRT(2*g_)*G746^1.5</f>
        <v>159.319730267869</v>
      </c>
      <c r="J746" s="32" t="n">
        <f aca="false">F746+I746</f>
        <v>421.537738305294</v>
      </c>
      <c r="K746" s="32" t="n">
        <f aca="false">F746</f>
        <v>262.218008037425</v>
      </c>
      <c r="L746" s="32" t="n">
        <f aca="false">C746*1000000/dt_s+J746/2</f>
        <v>17736.2705358193</v>
      </c>
      <c r="M746" s="32" t="n">
        <f aca="false">C746*1000000/dt_s+K746/2</f>
        <v>17656.6106706854</v>
      </c>
    </row>
    <row r="747" customFormat="false" ht="15" hidden="false" customHeight="false" outlineLevel="0" collapsed="false">
      <c r="A747" s="24" t="n">
        <f aca="false">ROUND(A746+0.01,2)</f>
        <v>78.42</v>
      </c>
      <c r="B747" s="25" t="n">
        <f aca="false">INDEX(Bang_F,MATCH(A747,Bang_Z,1))+(A747-INDEX(Bang_Z,MATCH(A747,Bang_Z,1)))*(INDEX(Bang_F,MATCH(A747,Bang_Z,1)+1)-INDEX(Bang_F,MATCH(A747,Bang_Z,1)))</f>
        <v>8.1284</v>
      </c>
      <c r="C747" s="25" t="n">
        <f aca="false">INDEX(Bang_W,MATCH(A747,Bang_Z,1))+(A747-INDEX(Bang_Z,MATCH(A747,Bang_Z,1)))*(INDEX(Bang_F,MATCH(A747,Bang_Z,1))+B747)/2</f>
        <v>63.173064</v>
      </c>
      <c r="D747" s="26" t="n">
        <f aca="false">MAX(A747-TC_Z,0)</f>
        <v>3.72</v>
      </c>
      <c r="E747" s="27" t="n">
        <f aca="false">1-0.2*(TC_xmb+(TC_n-1)*TC_xmt)*D747/(TC_n*TC_b)</f>
        <v>0.851888888888889</v>
      </c>
      <c r="F747" s="28" t="n">
        <f aca="false">TC_s*E747*TC_m*TC_n*TC_b*SQRT(2*g_)*D747^1.5</f>
        <v>263.155911312548</v>
      </c>
      <c r="G747" s="29" t="n">
        <f aca="false">MAX(A747-SC_Z,0)</f>
        <v>7.42</v>
      </c>
      <c r="H747" s="30" t="n">
        <f aca="false">1-0.2*(SC_xmb+(SC_n-1)*SC_xmt)*G747/(SC_n*SC_b)</f>
        <v>0.79224</v>
      </c>
      <c r="I747" s="31" t="n">
        <f aca="false">SC_s*H747*SC_m*SC_n*SC_b*SQRT(2*g_)*G747^1.5</f>
        <v>159.585946445322</v>
      </c>
      <c r="J747" s="32" t="n">
        <f aca="false">F747+I747</f>
        <v>422.74185775787</v>
      </c>
      <c r="K747" s="32" t="n">
        <f aca="false">F747</f>
        <v>263.155911312548</v>
      </c>
      <c r="L747" s="32" t="n">
        <f aca="false">C747*1000000/dt_s+J747/2</f>
        <v>17759.4442622123</v>
      </c>
      <c r="M747" s="32" t="n">
        <f aca="false">C747*1000000/dt_s+K747/2</f>
        <v>17679.6512889896</v>
      </c>
    </row>
    <row r="748" customFormat="false" ht="15" hidden="false" customHeight="false" outlineLevel="0" collapsed="false">
      <c r="A748" s="24" t="n">
        <f aca="false">ROUND(A747+0.01,2)</f>
        <v>78.43</v>
      </c>
      <c r="B748" s="25" t="n">
        <f aca="false">INDEX(Bang_F,MATCH(A748,Bang_Z,1))+(A748-INDEX(Bang_Z,MATCH(A748,Bang_Z,1)))*(INDEX(Bang_F,MATCH(A748,Bang_Z,1)+1)-INDEX(Bang_F,MATCH(A748,Bang_Z,1)))</f>
        <v>8.1336</v>
      </c>
      <c r="C748" s="25" t="n">
        <f aca="false">INDEX(Bang_W,MATCH(A748,Bang_Z,1))+(A748-INDEX(Bang_Z,MATCH(A748,Bang_Z,1)))*(INDEX(Bang_F,MATCH(A748,Bang_Z,1))+B748)/2</f>
        <v>63.2543740000001</v>
      </c>
      <c r="D748" s="26" t="n">
        <f aca="false">MAX(A748-TC_Z,0)</f>
        <v>3.73</v>
      </c>
      <c r="E748" s="27" t="n">
        <f aca="false">1-0.2*(TC_xmb+(TC_n-1)*TC_xmt)*D748/(TC_n*TC_b)</f>
        <v>0.851490740740741</v>
      </c>
      <c r="F748" s="28" t="n">
        <f aca="false">TC_s*E748*TC_m*TC_n*TC_b*SQRT(2*g_)*D748^1.5</f>
        <v>264.094248948725</v>
      </c>
      <c r="G748" s="29" t="n">
        <f aca="false">MAX(A748-SC_Z,0)</f>
        <v>7.43000000000001</v>
      </c>
      <c r="H748" s="30" t="n">
        <f aca="false">1-0.2*(SC_xmb+(SC_n-1)*SC_xmt)*G748/(SC_n*SC_b)</f>
        <v>0.79196</v>
      </c>
      <c r="I748" s="31" t="n">
        <f aca="false">SC_s*H748*SC_m*SC_n*SC_b*SQRT(2*g_)*G748^1.5</f>
        <v>159.85215197592</v>
      </c>
      <c r="J748" s="32" t="n">
        <f aca="false">F748+I748</f>
        <v>423.946400924645</v>
      </c>
      <c r="K748" s="32" t="n">
        <f aca="false">F748</f>
        <v>264.094248948725</v>
      </c>
      <c r="L748" s="32" t="n">
        <f aca="false">C748*1000000/dt_s+J748/2</f>
        <v>17782.6326449068</v>
      </c>
      <c r="M748" s="32" t="n">
        <f aca="false">C748*1000000/dt_s+K748/2</f>
        <v>17702.7065689188</v>
      </c>
    </row>
    <row r="749" customFormat="false" ht="15" hidden="false" customHeight="false" outlineLevel="0" collapsed="false">
      <c r="A749" s="24" t="n">
        <f aca="false">ROUND(A748+0.01,2)</f>
        <v>78.44</v>
      </c>
      <c r="B749" s="25" t="n">
        <f aca="false">INDEX(Bang_F,MATCH(A749,Bang_Z,1))+(A749-INDEX(Bang_Z,MATCH(A749,Bang_Z,1)))*(INDEX(Bang_F,MATCH(A749,Bang_Z,1)+1)-INDEX(Bang_F,MATCH(A749,Bang_Z,1)))</f>
        <v>8.1388</v>
      </c>
      <c r="C749" s="25" t="n">
        <f aca="false">INDEX(Bang_W,MATCH(A749,Bang_Z,1))+(A749-INDEX(Bang_Z,MATCH(A749,Bang_Z,1)))*(INDEX(Bang_F,MATCH(A749,Bang_Z,1))+B749)/2</f>
        <v>63.335736</v>
      </c>
      <c r="D749" s="26" t="n">
        <f aca="false">MAX(A749-TC_Z,0)</f>
        <v>3.74</v>
      </c>
      <c r="E749" s="27" t="n">
        <f aca="false">1-0.2*(TC_xmb+(TC_n-1)*TC_xmt)*D749/(TC_n*TC_b)</f>
        <v>0.851092592592593</v>
      </c>
      <c r="F749" s="28" t="n">
        <f aca="false">TC_s*E749*TC_m*TC_n*TC_b*SQRT(2*g_)*D749^1.5</f>
        <v>265.033017034892</v>
      </c>
      <c r="G749" s="29" t="n">
        <f aca="false">MAX(A749-SC_Z,0)</f>
        <v>7.44</v>
      </c>
      <c r="H749" s="30" t="n">
        <f aca="false">1-0.2*(SC_xmb+(SC_n-1)*SC_xmt)*G749/(SC_n*SC_b)</f>
        <v>0.79168</v>
      </c>
      <c r="I749" s="31" t="n">
        <f aca="false">SC_s*H749*SC_m*SC_n*SC_b*SQRT(2*g_)*G749^1.5</f>
        <v>160.118346482922</v>
      </c>
      <c r="J749" s="32" t="n">
        <f aca="false">F749+I749</f>
        <v>425.151363517814</v>
      </c>
      <c r="K749" s="32" t="n">
        <f aca="false">F749</f>
        <v>265.033017034892</v>
      </c>
      <c r="L749" s="32" t="n">
        <f aca="false">C749*1000000/dt_s+J749/2</f>
        <v>17805.8356817589</v>
      </c>
      <c r="M749" s="32" t="n">
        <f aca="false">C749*1000000/dt_s+K749/2</f>
        <v>17725.7765085174</v>
      </c>
    </row>
    <row r="750" customFormat="false" ht="15" hidden="false" customHeight="false" outlineLevel="0" collapsed="false">
      <c r="A750" s="24" t="n">
        <f aca="false">ROUND(A749+0.01,2)</f>
        <v>78.45</v>
      </c>
      <c r="B750" s="25" t="n">
        <f aca="false">INDEX(Bang_F,MATCH(A750,Bang_Z,1))+(A750-INDEX(Bang_Z,MATCH(A750,Bang_Z,1)))*(INDEX(Bang_F,MATCH(A750,Bang_Z,1)+1)-INDEX(Bang_F,MATCH(A750,Bang_Z,1)))</f>
        <v>8.144</v>
      </c>
      <c r="C750" s="25" t="n">
        <f aca="false">INDEX(Bang_W,MATCH(A750,Bang_Z,1))+(A750-INDEX(Bang_Z,MATCH(A750,Bang_Z,1)))*(INDEX(Bang_F,MATCH(A750,Bang_Z,1))+B750)/2</f>
        <v>63.41715</v>
      </c>
      <c r="D750" s="26" t="n">
        <f aca="false">MAX(A750-TC_Z,0)</f>
        <v>3.75</v>
      </c>
      <c r="E750" s="27" t="n">
        <f aca="false">1-0.2*(TC_xmb+(TC_n-1)*TC_xmt)*D750/(TC_n*TC_b)</f>
        <v>0.850694444444444</v>
      </c>
      <c r="F750" s="28" t="n">
        <f aca="false">TC_s*E750*TC_m*TC_n*TC_b*SQRT(2*g_)*D750^1.5</f>
        <v>265.972211671232</v>
      </c>
      <c r="G750" s="29" t="n">
        <f aca="false">MAX(A750-SC_Z,0)</f>
        <v>7.45</v>
      </c>
      <c r="H750" s="30" t="n">
        <f aca="false">1-0.2*(SC_xmb+(SC_n-1)*SC_xmt)*G750/(SC_n*SC_b)</f>
        <v>0.7914</v>
      </c>
      <c r="I750" s="31" t="n">
        <f aca="false">SC_s*H750*SC_m*SC_n*SC_b*SQRT(2*g_)*G750^1.5</f>
        <v>160.38452959009</v>
      </c>
      <c r="J750" s="32" t="n">
        <f aca="false">F750+I750</f>
        <v>426.356741261322</v>
      </c>
      <c r="K750" s="32" t="n">
        <f aca="false">F750</f>
        <v>265.972211671232</v>
      </c>
      <c r="L750" s="32" t="n">
        <f aca="false">C750*1000000/dt_s+J750/2</f>
        <v>17829.0533706307</v>
      </c>
      <c r="M750" s="32" t="n">
        <f aca="false">C750*1000000/dt_s+K750/2</f>
        <v>17748.8611058356</v>
      </c>
    </row>
    <row r="751" customFormat="false" ht="15" hidden="false" customHeight="false" outlineLevel="0" collapsed="false">
      <c r="A751" s="24" t="n">
        <f aca="false">ROUND(A750+0.01,2)</f>
        <v>78.46</v>
      </c>
      <c r="B751" s="25" t="n">
        <f aca="false">INDEX(Bang_F,MATCH(A751,Bang_Z,1))+(A751-INDEX(Bang_Z,MATCH(A751,Bang_Z,1)))*(INDEX(Bang_F,MATCH(A751,Bang_Z,1)+1)-INDEX(Bang_F,MATCH(A751,Bang_Z,1)))</f>
        <v>8.1492</v>
      </c>
      <c r="C751" s="25" t="n">
        <f aca="false">INDEX(Bang_W,MATCH(A751,Bang_Z,1))+(A751-INDEX(Bang_Z,MATCH(A751,Bang_Z,1)))*(INDEX(Bang_F,MATCH(A751,Bang_Z,1))+B751)/2</f>
        <v>63.498616</v>
      </c>
      <c r="D751" s="26" t="n">
        <f aca="false">MAX(A751-TC_Z,0)</f>
        <v>3.75999999999999</v>
      </c>
      <c r="E751" s="27" t="n">
        <f aca="false">1-0.2*(TC_xmb+(TC_n-1)*TC_xmt)*D751/(TC_n*TC_b)</f>
        <v>0.850296296296297</v>
      </c>
      <c r="F751" s="28" t="n">
        <f aca="false">TC_s*E751*TC_m*TC_n*TC_b*SQRT(2*g_)*D751^1.5</f>
        <v>266.9118289691</v>
      </c>
      <c r="G751" s="29" t="n">
        <f aca="false">MAX(A751-SC_Z,0)</f>
        <v>7.45999999999999</v>
      </c>
      <c r="H751" s="30" t="n">
        <f aca="false">1-0.2*(SC_xmb+(SC_n-1)*SC_xmt)*G751/(SC_n*SC_b)</f>
        <v>0.79112</v>
      </c>
      <c r="I751" s="31" t="n">
        <f aca="false">SC_s*H751*SC_m*SC_n*SC_b*SQRT(2*g_)*G751^1.5</f>
        <v>160.650700921684</v>
      </c>
      <c r="J751" s="32" t="n">
        <f aca="false">F751+I751</f>
        <v>427.562529890783</v>
      </c>
      <c r="K751" s="32" t="n">
        <f aca="false">F751</f>
        <v>266.9118289691</v>
      </c>
      <c r="L751" s="32" t="n">
        <f aca="false">C751*1000000/dt_s+J751/2</f>
        <v>17852.2857093898</v>
      </c>
      <c r="M751" s="32" t="n">
        <f aca="false">C751*1000000/dt_s+K751/2</f>
        <v>17771.960358929</v>
      </c>
    </row>
    <row r="752" customFormat="false" ht="15" hidden="false" customHeight="false" outlineLevel="0" collapsed="false">
      <c r="A752" s="24" t="n">
        <f aca="false">ROUND(A751+0.01,2)</f>
        <v>78.47</v>
      </c>
      <c r="B752" s="25" t="n">
        <f aca="false">INDEX(Bang_F,MATCH(A752,Bang_Z,1))+(A752-INDEX(Bang_Z,MATCH(A752,Bang_Z,1)))*(INDEX(Bang_F,MATCH(A752,Bang_Z,1)+1)-INDEX(Bang_F,MATCH(A752,Bang_Z,1)))</f>
        <v>8.1544</v>
      </c>
      <c r="C752" s="25" t="n">
        <f aca="false">INDEX(Bang_W,MATCH(A752,Bang_Z,1))+(A752-INDEX(Bang_Z,MATCH(A752,Bang_Z,1)))*(INDEX(Bang_F,MATCH(A752,Bang_Z,1))+B752)/2</f>
        <v>63.580134</v>
      </c>
      <c r="D752" s="26" t="n">
        <f aca="false">MAX(A752-TC_Z,0)</f>
        <v>3.77</v>
      </c>
      <c r="E752" s="27" t="n">
        <f aca="false">1-0.2*(TC_xmb+(TC_n-1)*TC_xmt)*D752/(TC_n*TC_b)</f>
        <v>0.849898148148148</v>
      </c>
      <c r="F752" s="28" t="n">
        <f aca="false">TC_s*E752*TC_m*TC_n*TC_b*SQRT(2*g_)*D752^1.5</f>
        <v>267.85186505096</v>
      </c>
      <c r="G752" s="29" t="n">
        <f aca="false">MAX(A752-SC_Z,0)</f>
        <v>7.47</v>
      </c>
      <c r="H752" s="30" t="n">
        <f aca="false">1-0.2*(SC_xmb+(SC_n-1)*SC_xmt)*G752/(SC_n*SC_b)</f>
        <v>0.79084</v>
      </c>
      <c r="I752" s="31" t="n">
        <f aca="false">SC_s*H752*SC_m*SC_n*SC_b*SQRT(2*g_)*G752^1.5</f>
        <v>160.916860102464</v>
      </c>
      <c r="J752" s="32" t="n">
        <f aca="false">F752+I752</f>
        <v>428.768725153424</v>
      </c>
      <c r="K752" s="32" t="n">
        <f aca="false">F752</f>
        <v>267.85186505096</v>
      </c>
      <c r="L752" s="32" t="n">
        <f aca="false">C752*1000000/dt_s+J752/2</f>
        <v>17875.53269591</v>
      </c>
      <c r="M752" s="32" t="n">
        <f aca="false">C752*1000000/dt_s+K752/2</f>
        <v>17795.0742658588</v>
      </c>
    </row>
    <row r="753" customFormat="false" ht="15" hidden="false" customHeight="false" outlineLevel="0" collapsed="false">
      <c r="A753" s="24" t="n">
        <f aca="false">ROUND(A752+0.01,2)</f>
        <v>78.48</v>
      </c>
      <c r="B753" s="25" t="n">
        <f aca="false">INDEX(Bang_F,MATCH(A753,Bang_Z,1))+(A753-INDEX(Bang_Z,MATCH(A753,Bang_Z,1)))*(INDEX(Bang_F,MATCH(A753,Bang_Z,1)+1)-INDEX(Bang_F,MATCH(A753,Bang_Z,1)))</f>
        <v>8.1596</v>
      </c>
      <c r="C753" s="25" t="n">
        <f aca="false">INDEX(Bang_W,MATCH(A753,Bang_Z,1))+(A753-INDEX(Bang_Z,MATCH(A753,Bang_Z,1)))*(INDEX(Bang_F,MATCH(A753,Bang_Z,1))+B753)/2</f>
        <v>63.661704</v>
      </c>
      <c r="D753" s="26" t="n">
        <f aca="false">MAX(A753-TC_Z,0)</f>
        <v>3.78</v>
      </c>
      <c r="E753" s="27" t="n">
        <f aca="false">1-0.2*(TC_xmb+(TC_n-1)*TC_xmt)*D753/(TC_n*TC_b)</f>
        <v>0.8495</v>
      </c>
      <c r="F753" s="28" t="n">
        <f aca="false">TC_s*E753*TC_m*TC_n*TC_b*SQRT(2*g_)*D753^1.5</f>
        <v>268.792316050312</v>
      </c>
      <c r="G753" s="29" t="n">
        <f aca="false">MAX(A753-SC_Z,0)</f>
        <v>7.48</v>
      </c>
      <c r="H753" s="30" t="n">
        <f aca="false">1-0.2*(SC_xmb+(SC_n-1)*SC_xmt)*G753/(SC_n*SC_b)</f>
        <v>0.79056</v>
      </c>
      <c r="I753" s="31" t="n">
        <f aca="false">SC_s*H753*SC_m*SC_n*SC_b*SQRT(2*g_)*G753^1.5</f>
        <v>161.183006757688</v>
      </c>
      <c r="J753" s="32" t="n">
        <f aca="false">F753+I753</f>
        <v>429.975322808</v>
      </c>
      <c r="K753" s="32" t="n">
        <f aca="false">F753</f>
        <v>268.792316050312</v>
      </c>
      <c r="L753" s="32" t="n">
        <f aca="false">C753*1000000/dt_s+J753/2</f>
        <v>17898.7943280707</v>
      </c>
      <c r="M753" s="32" t="n">
        <f aca="false">C753*1000000/dt_s+K753/2</f>
        <v>17818.2028246918</v>
      </c>
    </row>
    <row r="754" customFormat="false" ht="15" hidden="false" customHeight="false" outlineLevel="0" collapsed="false">
      <c r="A754" s="24" t="n">
        <f aca="false">ROUND(A753+0.01,2)</f>
        <v>78.49</v>
      </c>
      <c r="B754" s="25" t="n">
        <f aca="false">INDEX(Bang_F,MATCH(A754,Bang_Z,1))+(A754-INDEX(Bang_Z,MATCH(A754,Bang_Z,1)))*(INDEX(Bang_F,MATCH(A754,Bang_Z,1)+1)-INDEX(Bang_F,MATCH(A754,Bang_Z,1)))</f>
        <v>8.1648</v>
      </c>
      <c r="C754" s="25" t="n">
        <f aca="false">INDEX(Bang_W,MATCH(A754,Bang_Z,1))+(A754-INDEX(Bang_Z,MATCH(A754,Bang_Z,1)))*(INDEX(Bang_F,MATCH(A754,Bang_Z,1))+B754)/2</f>
        <v>63.743326</v>
      </c>
      <c r="D754" s="26" t="n">
        <f aca="false">MAX(A754-TC_Z,0)</f>
        <v>3.78999999999999</v>
      </c>
      <c r="E754" s="27" t="n">
        <f aca="false">1-0.2*(TC_xmb+(TC_n-1)*TC_xmt)*D754/(TC_n*TC_b)</f>
        <v>0.849101851851852</v>
      </c>
      <c r="F754" s="28" t="n">
        <f aca="false">TC_s*E754*TC_m*TC_n*TC_b*SQRT(2*g_)*D754^1.5</f>
        <v>269.733178111627</v>
      </c>
      <c r="G754" s="29" t="n">
        <f aca="false">MAX(A754-SC_Z,0)</f>
        <v>7.49</v>
      </c>
      <c r="H754" s="30" t="n">
        <f aca="false">1-0.2*(SC_xmb+(SC_n-1)*SC_xmt)*G754/(SC_n*SC_b)</f>
        <v>0.79028</v>
      </c>
      <c r="I754" s="31" t="n">
        <f aca="false">SC_s*H754*SC_m*SC_n*SC_b*SQRT(2*g_)*G754^1.5</f>
        <v>161.449140513108</v>
      </c>
      <c r="J754" s="32" t="n">
        <f aca="false">F754+I754</f>
        <v>431.182318624735</v>
      </c>
      <c r="K754" s="32" t="n">
        <f aca="false">F754</f>
        <v>269.733178111627</v>
      </c>
      <c r="L754" s="32" t="n">
        <f aca="false">C754*1000000/dt_s+J754/2</f>
        <v>17922.0706037568</v>
      </c>
      <c r="M754" s="32" t="n">
        <f aca="false">C754*1000000/dt_s+K754/2</f>
        <v>17841.3460335003</v>
      </c>
    </row>
    <row r="755" customFormat="false" ht="15" hidden="false" customHeight="false" outlineLevel="0" collapsed="false">
      <c r="A755" s="24" t="n">
        <f aca="false">ROUND(A754+0.01,2)</f>
        <v>78.5</v>
      </c>
      <c r="B755" s="25" t="n">
        <f aca="false">INDEX(Bang_F,MATCH(A755,Bang_Z,1))+(A755-INDEX(Bang_Z,MATCH(A755,Bang_Z,1)))*(INDEX(Bang_F,MATCH(A755,Bang_Z,1)+1)-INDEX(Bang_F,MATCH(A755,Bang_Z,1)))</f>
        <v>8.17</v>
      </c>
      <c r="C755" s="25" t="n">
        <f aca="false">INDEX(Bang_W,MATCH(A755,Bang_Z,1))+(A755-INDEX(Bang_Z,MATCH(A755,Bang_Z,1)))*(INDEX(Bang_F,MATCH(A755,Bang_Z,1))+B755)/2</f>
        <v>63.825</v>
      </c>
      <c r="D755" s="26" t="n">
        <f aca="false">MAX(A755-TC_Z,0)</f>
        <v>3.8</v>
      </c>
      <c r="E755" s="27" t="n">
        <f aca="false">1-0.2*(TC_xmb+(TC_n-1)*TC_xmt)*D755/(TC_n*TC_b)</f>
        <v>0.848703703703704</v>
      </c>
      <c r="F755" s="28" t="n">
        <f aca="false">TC_s*E755*TC_m*TC_n*TC_b*SQRT(2*g_)*D755^1.5</f>
        <v>270.674447390284</v>
      </c>
      <c r="G755" s="29" t="n">
        <f aca="false">MAX(A755-SC_Z,0)</f>
        <v>7.5</v>
      </c>
      <c r="H755" s="30" t="n">
        <f aca="false">1-0.2*(SC_xmb+(SC_n-1)*SC_xmt)*G755/(SC_n*SC_b)</f>
        <v>0.79</v>
      </c>
      <c r="I755" s="31" t="n">
        <f aca="false">SC_s*H755*SC_m*SC_n*SC_b*SQRT(2*g_)*G755^1.5</f>
        <v>161.715260994972</v>
      </c>
      <c r="J755" s="32" t="n">
        <f aca="false">F755+I755</f>
        <v>432.389708385256</v>
      </c>
      <c r="K755" s="32" t="n">
        <f aca="false">F755</f>
        <v>270.674447390284</v>
      </c>
      <c r="L755" s="32" t="n">
        <f aca="false">C755*1000000/dt_s+J755/2</f>
        <v>17945.3615208593</v>
      </c>
      <c r="M755" s="32" t="n">
        <f aca="false">C755*1000000/dt_s+K755/2</f>
        <v>17864.5038903618</v>
      </c>
    </row>
    <row r="756" customFormat="false" ht="15" hidden="false" customHeight="false" outlineLevel="0" collapsed="false">
      <c r="A756" s="24" t="n">
        <f aca="false">ROUND(A755+0.01,2)</f>
        <v>78.51</v>
      </c>
      <c r="B756" s="25" t="n">
        <f aca="false">INDEX(Bang_F,MATCH(A756,Bang_Z,1))+(A756-INDEX(Bang_Z,MATCH(A756,Bang_Z,1)))*(INDEX(Bang_F,MATCH(A756,Bang_Z,1)+1)-INDEX(Bang_F,MATCH(A756,Bang_Z,1)))</f>
        <v>8.1752</v>
      </c>
      <c r="C756" s="25" t="n">
        <f aca="false">INDEX(Bang_W,MATCH(A756,Bang_Z,1))+(A756-INDEX(Bang_Z,MATCH(A756,Bang_Z,1)))*(INDEX(Bang_F,MATCH(A756,Bang_Z,1))+B756)/2</f>
        <v>63.906726</v>
      </c>
      <c r="D756" s="26" t="n">
        <f aca="false">MAX(A756-TC_Z,0)</f>
        <v>3.81</v>
      </c>
      <c r="E756" s="27" t="n">
        <f aca="false">1-0.2*(TC_xmb+(TC_n-1)*TC_xmt)*D756/(TC_n*TC_b)</f>
        <v>0.848305555555555</v>
      </c>
      <c r="F756" s="28" t="n">
        <f aca="false">TC_s*E756*TC_m*TC_n*TC_b*SQRT(2*g_)*D756^1.5</f>
        <v>271.616120052499</v>
      </c>
      <c r="G756" s="29" t="n">
        <f aca="false">MAX(A756-SC_Z,0)</f>
        <v>7.51000000000001</v>
      </c>
      <c r="H756" s="30" t="n">
        <f aca="false">1-0.2*(SC_xmb+(SC_n-1)*SC_xmt)*G756/(SC_n*SC_b)</f>
        <v>0.78972</v>
      </c>
      <c r="I756" s="31" t="n">
        <f aca="false">SC_s*H756*SC_m*SC_n*SC_b*SQRT(2*g_)*G756^1.5</f>
        <v>161.981367830019</v>
      </c>
      <c r="J756" s="32" t="n">
        <f aca="false">F756+I756</f>
        <v>433.597487882518</v>
      </c>
      <c r="K756" s="32" t="n">
        <f aca="false">F756</f>
        <v>271.616120052499</v>
      </c>
      <c r="L756" s="32" t="n">
        <f aca="false">C756*1000000/dt_s+J756/2</f>
        <v>17968.6670772746</v>
      </c>
      <c r="M756" s="32" t="n">
        <f aca="false">C756*1000000/dt_s+K756/2</f>
        <v>17887.6763933596</v>
      </c>
    </row>
    <row r="757" customFormat="false" ht="15" hidden="false" customHeight="false" outlineLevel="0" collapsed="false">
      <c r="A757" s="24" t="n">
        <f aca="false">ROUND(A756+0.01,2)</f>
        <v>78.52</v>
      </c>
      <c r="B757" s="25" t="n">
        <f aca="false">INDEX(Bang_F,MATCH(A757,Bang_Z,1))+(A757-INDEX(Bang_Z,MATCH(A757,Bang_Z,1)))*(INDEX(Bang_F,MATCH(A757,Bang_Z,1)+1)-INDEX(Bang_F,MATCH(A757,Bang_Z,1)))</f>
        <v>8.1804</v>
      </c>
      <c r="C757" s="25" t="n">
        <f aca="false">INDEX(Bang_W,MATCH(A757,Bang_Z,1))+(A757-INDEX(Bang_Z,MATCH(A757,Bang_Z,1)))*(INDEX(Bang_F,MATCH(A757,Bang_Z,1))+B757)/2</f>
        <v>63.988504</v>
      </c>
      <c r="D757" s="26" t="n">
        <f aca="false">MAX(A757-TC_Z,0)</f>
        <v>3.81999999999999</v>
      </c>
      <c r="E757" s="27" t="n">
        <f aca="false">1-0.2*(TC_xmb+(TC_n-1)*TC_xmt)*D757/(TC_n*TC_b)</f>
        <v>0.847907407407408</v>
      </c>
      <c r="F757" s="28" t="n">
        <f aca="false">TC_s*E757*TC_m*TC_n*TC_b*SQRT(2*g_)*D757^1.5</f>
        <v>272.558192275258</v>
      </c>
      <c r="G757" s="29" t="n">
        <f aca="false">MAX(A757-SC_Z,0)</f>
        <v>7.52</v>
      </c>
      <c r="H757" s="30" t="n">
        <f aca="false">1-0.2*(SC_xmb+(SC_n-1)*SC_xmt)*G757/(SC_n*SC_b)</f>
        <v>0.78944</v>
      </c>
      <c r="I757" s="31" t="n">
        <f aca="false">SC_s*H757*SC_m*SC_n*SC_b*SQRT(2*g_)*G757^1.5</f>
        <v>162.247460645481</v>
      </c>
      <c r="J757" s="32" t="n">
        <f aca="false">F757+I757</f>
        <v>434.805652920739</v>
      </c>
      <c r="K757" s="32" t="n">
        <f aca="false">F757</f>
        <v>272.558192275258</v>
      </c>
      <c r="L757" s="32" t="n">
        <f aca="false">C757*1000000/dt_s+J757/2</f>
        <v>17991.9872709048</v>
      </c>
      <c r="M757" s="32" t="n">
        <f aca="false">C757*1000000/dt_s+K757/2</f>
        <v>17910.8635405821</v>
      </c>
    </row>
    <row r="758" customFormat="false" ht="15" hidden="false" customHeight="false" outlineLevel="0" collapsed="false">
      <c r="A758" s="24" t="n">
        <f aca="false">ROUND(A757+0.01,2)</f>
        <v>78.53</v>
      </c>
      <c r="B758" s="25" t="n">
        <f aca="false">INDEX(Bang_F,MATCH(A758,Bang_Z,1))+(A758-INDEX(Bang_Z,MATCH(A758,Bang_Z,1)))*(INDEX(Bang_F,MATCH(A758,Bang_Z,1)+1)-INDEX(Bang_F,MATCH(A758,Bang_Z,1)))</f>
        <v>8.1856</v>
      </c>
      <c r="C758" s="25" t="n">
        <f aca="false">INDEX(Bang_W,MATCH(A758,Bang_Z,1))+(A758-INDEX(Bang_Z,MATCH(A758,Bang_Z,1)))*(INDEX(Bang_F,MATCH(A758,Bang_Z,1))+B758)/2</f>
        <v>64.070334</v>
      </c>
      <c r="D758" s="26" t="n">
        <f aca="false">MAX(A758-TC_Z,0)</f>
        <v>3.83</v>
      </c>
      <c r="E758" s="27" t="n">
        <f aca="false">1-0.2*(TC_xmb+(TC_n-1)*TC_xmt)*D758/(TC_n*TC_b)</f>
        <v>0.847509259259259</v>
      </c>
      <c r="F758" s="28" t="n">
        <f aca="false">TC_s*E758*TC_m*TC_n*TC_b*SQRT(2*g_)*D758^1.5</f>
        <v>273.50066024626</v>
      </c>
      <c r="G758" s="29" t="n">
        <f aca="false">MAX(A758-SC_Z,0)</f>
        <v>7.53</v>
      </c>
      <c r="H758" s="30" t="n">
        <f aca="false">1-0.2*(SC_xmb+(SC_n-1)*SC_xmt)*G758/(SC_n*SC_b)</f>
        <v>0.78916</v>
      </c>
      <c r="I758" s="31" t="n">
        <f aca="false">SC_s*H758*SC_m*SC_n*SC_b*SQRT(2*g_)*G758^1.5</f>
        <v>162.513539069079</v>
      </c>
      <c r="J758" s="32" t="n">
        <f aca="false">F758+I758</f>
        <v>436.014199315339</v>
      </c>
      <c r="K758" s="32" t="n">
        <f aca="false">F758</f>
        <v>273.50066024626</v>
      </c>
      <c r="L758" s="32" t="n">
        <f aca="false">C758*1000000/dt_s+J758/2</f>
        <v>18015.3220996577</v>
      </c>
      <c r="M758" s="32" t="n">
        <f aca="false">C758*1000000/dt_s+K758/2</f>
        <v>17934.0653301231</v>
      </c>
    </row>
    <row r="759" customFormat="false" ht="15" hidden="false" customHeight="false" outlineLevel="0" collapsed="false">
      <c r="A759" s="24" t="n">
        <f aca="false">ROUND(A758+0.01,2)</f>
        <v>78.54</v>
      </c>
      <c r="B759" s="25" t="n">
        <f aca="false">INDEX(Bang_F,MATCH(A759,Bang_Z,1))+(A759-INDEX(Bang_Z,MATCH(A759,Bang_Z,1)))*(INDEX(Bang_F,MATCH(A759,Bang_Z,1)+1)-INDEX(Bang_F,MATCH(A759,Bang_Z,1)))</f>
        <v>8.1908</v>
      </c>
      <c r="C759" s="25" t="n">
        <f aca="false">INDEX(Bang_W,MATCH(A759,Bang_Z,1))+(A759-INDEX(Bang_Z,MATCH(A759,Bang_Z,1)))*(INDEX(Bang_F,MATCH(A759,Bang_Z,1))+B759)/2</f>
        <v>64.1522160000001</v>
      </c>
      <c r="D759" s="26" t="n">
        <f aca="false">MAX(A759-TC_Z,0)</f>
        <v>3.84</v>
      </c>
      <c r="E759" s="27" t="n">
        <f aca="false">1-0.2*(TC_xmb+(TC_n-1)*TC_xmt)*D759/(TC_n*TC_b)</f>
        <v>0.847111111111111</v>
      </c>
      <c r="F759" s="28" t="n">
        <f aca="false">TC_s*E759*TC_m*TC_n*TC_b*SQRT(2*g_)*D759^1.5</f>
        <v>274.443520163847</v>
      </c>
      <c r="G759" s="29" t="n">
        <f aca="false">MAX(A759-SC_Z,0)</f>
        <v>7.54000000000001</v>
      </c>
      <c r="H759" s="30" t="n">
        <f aca="false">1-0.2*(SC_xmb+(SC_n-1)*SC_xmt)*G759/(SC_n*SC_b)</f>
        <v>0.78888</v>
      </c>
      <c r="I759" s="31" t="n">
        <f aca="false">SC_s*H759*SC_m*SC_n*SC_b*SQRT(2*g_)*G759^1.5</f>
        <v>162.779602729022</v>
      </c>
      <c r="J759" s="32" t="n">
        <f aca="false">F759+I759</f>
        <v>437.223122892868</v>
      </c>
      <c r="K759" s="32" t="n">
        <f aca="false">F759</f>
        <v>274.443520163847</v>
      </c>
      <c r="L759" s="32" t="n">
        <f aca="false">C759*1000000/dt_s+J759/2</f>
        <v>18038.6715614465</v>
      </c>
      <c r="M759" s="32" t="n">
        <f aca="false">C759*1000000/dt_s+K759/2</f>
        <v>17957.2817600819</v>
      </c>
    </row>
    <row r="760" customFormat="false" ht="15" hidden="false" customHeight="false" outlineLevel="0" collapsed="false">
      <c r="A760" s="24" t="n">
        <f aca="false">ROUND(A759+0.01,2)</f>
        <v>78.55</v>
      </c>
      <c r="B760" s="25" t="n">
        <f aca="false">INDEX(Bang_F,MATCH(A760,Bang_Z,1))+(A760-INDEX(Bang_Z,MATCH(A760,Bang_Z,1)))*(INDEX(Bang_F,MATCH(A760,Bang_Z,1)+1)-INDEX(Bang_F,MATCH(A760,Bang_Z,1)))</f>
        <v>8.196</v>
      </c>
      <c r="C760" s="25" t="n">
        <f aca="false">INDEX(Bang_W,MATCH(A760,Bang_Z,1))+(A760-INDEX(Bang_Z,MATCH(A760,Bang_Z,1)))*(INDEX(Bang_F,MATCH(A760,Bang_Z,1))+B760)/2</f>
        <v>64.23415</v>
      </c>
      <c r="D760" s="26" t="n">
        <f aca="false">MAX(A760-TC_Z,0)</f>
        <v>3.84999999999999</v>
      </c>
      <c r="E760" s="27" t="n">
        <f aca="false">1-0.2*(TC_xmb+(TC_n-1)*TC_xmt)*D760/(TC_n*TC_b)</f>
        <v>0.846712962962963</v>
      </c>
      <c r="F760" s="28" t="n">
        <f aca="false">TC_s*E760*TC_m*TC_n*TC_b*SQRT(2*g_)*D760^1.5</f>
        <v>275.386768236937</v>
      </c>
      <c r="G760" s="29" t="n">
        <f aca="false">MAX(A760-SC_Z,0)</f>
        <v>7.55</v>
      </c>
      <c r="H760" s="30" t="n">
        <f aca="false">1-0.2*(SC_xmb+(SC_n-1)*SC_xmt)*G760/(SC_n*SC_b)</f>
        <v>0.7886</v>
      </c>
      <c r="I760" s="31" t="n">
        <f aca="false">SC_s*H760*SC_m*SC_n*SC_b*SQRT(2*g_)*G760^1.5</f>
        <v>163.045651254005</v>
      </c>
      <c r="J760" s="32" t="n">
        <f aca="false">F760+I760</f>
        <v>438.432419490942</v>
      </c>
      <c r="K760" s="32" t="n">
        <f aca="false">F760</f>
        <v>275.386768236937</v>
      </c>
      <c r="L760" s="32" t="n">
        <f aca="false">C760*1000000/dt_s+J760/2</f>
        <v>18062.0356541899</v>
      </c>
      <c r="M760" s="32" t="n">
        <f aca="false">C760*1000000/dt_s+K760/2</f>
        <v>17980.5128285629</v>
      </c>
    </row>
    <row r="761" customFormat="false" ht="15" hidden="false" customHeight="false" outlineLevel="0" collapsed="false">
      <c r="A761" s="24" t="n">
        <f aca="false">ROUND(A760+0.01,2)</f>
        <v>78.56</v>
      </c>
      <c r="B761" s="25" t="n">
        <f aca="false">INDEX(Bang_F,MATCH(A761,Bang_Z,1))+(A761-INDEX(Bang_Z,MATCH(A761,Bang_Z,1)))*(INDEX(Bang_F,MATCH(A761,Bang_Z,1)+1)-INDEX(Bang_F,MATCH(A761,Bang_Z,1)))</f>
        <v>8.2012</v>
      </c>
      <c r="C761" s="25" t="n">
        <f aca="false">INDEX(Bang_W,MATCH(A761,Bang_Z,1))+(A761-INDEX(Bang_Z,MATCH(A761,Bang_Z,1)))*(INDEX(Bang_F,MATCH(A761,Bang_Z,1))+B761)/2</f>
        <v>64.316136</v>
      </c>
      <c r="D761" s="26" t="n">
        <f aca="false">MAX(A761-TC_Z,0)</f>
        <v>3.86</v>
      </c>
      <c r="E761" s="27" t="n">
        <f aca="false">1-0.2*(TC_xmb+(TC_n-1)*TC_xmt)*D761/(TC_n*TC_b)</f>
        <v>0.846314814814815</v>
      </c>
      <c r="F761" s="28" t="n">
        <f aca="false">TC_s*E761*TC_m*TC_n*TC_b*SQRT(2*g_)*D761^1.5</f>
        <v>276.330400684971</v>
      </c>
      <c r="G761" s="29" t="n">
        <f aca="false">MAX(A761-SC_Z,0)</f>
        <v>7.56</v>
      </c>
      <c r="H761" s="30" t="n">
        <f aca="false">1-0.2*(SC_xmb+(SC_n-1)*SC_xmt)*G761/(SC_n*SC_b)</f>
        <v>0.78832</v>
      </c>
      <c r="I761" s="31" t="n">
        <f aca="false">SC_s*H761*SC_m*SC_n*SC_b*SQRT(2*g_)*G761^1.5</f>
        <v>163.311684273212</v>
      </c>
      <c r="J761" s="32" t="n">
        <f aca="false">F761+I761</f>
        <v>439.642084958183</v>
      </c>
      <c r="K761" s="32" t="n">
        <f aca="false">F761</f>
        <v>276.330400684971</v>
      </c>
      <c r="L761" s="32" t="n">
        <f aca="false">C761*1000000/dt_s+J761/2</f>
        <v>18085.4143758124</v>
      </c>
      <c r="M761" s="32" t="n">
        <f aca="false">C761*1000000/dt_s+K761/2</f>
        <v>18003.7585336758</v>
      </c>
    </row>
    <row r="762" customFormat="false" ht="15" hidden="false" customHeight="false" outlineLevel="0" collapsed="false">
      <c r="A762" s="24" t="n">
        <f aca="false">ROUND(A761+0.01,2)</f>
        <v>78.57</v>
      </c>
      <c r="B762" s="25" t="n">
        <f aca="false">INDEX(Bang_F,MATCH(A762,Bang_Z,1))+(A762-INDEX(Bang_Z,MATCH(A762,Bang_Z,1)))*(INDEX(Bang_F,MATCH(A762,Bang_Z,1)+1)-INDEX(Bang_F,MATCH(A762,Bang_Z,1)))</f>
        <v>8.2064</v>
      </c>
      <c r="C762" s="25" t="n">
        <f aca="false">INDEX(Bang_W,MATCH(A762,Bang_Z,1))+(A762-INDEX(Bang_Z,MATCH(A762,Bang_Z,1)))*(INDEX(Bang_F,MATCH(A762,Bang_Z,1))+B762)/2</f>
        <v>64.3981739999999</v>
      </c>
      <c r="D762" s="26" t="n">
        <f aca="false">MAX(A762-TC_Z,0)</f>
        <v>3.86999999999999</v>
      </c>
      <c r="E762" s="27" t="n">
        <f aca="false">1-0.2*(TC_xmb+(TC_n-1)*TC_xmt)*D762/(TC_n*TC_b)</f>
        <v>0.845916666666667</v>
      </c>
      <c r="F762" s="28" t="n">
        <f aca="false">TC_s*E762*TC_m*TC_n*TC_b*SQRT(2*g_)*D762^1.5</f>
        <v>277.27441373784</v>
      </c>
      <c r="G762" s="29" t="n">
        <f aca="false">MAX(A762-SC_Z,0)</f>
        <v>7.56999999999999</v>
      </c>
      <c r="H762" s="30" t="n">
        <f aca="false">1-0.2*(SC_xmb+(SC_n-1)*SC_xmt)*G762/(SC_n*SC_b)</f>
        <v>0.78804</v>
      </c>
      <c r="I762" s="31" t="n">
        <f aca="false">SC_s*H762*SC_m*SC_n*SC_b*SQRT(2*g_)*G762^1.5</f>
        <v>163.577701416308</v>
      </c>
      <c r="J762" s="32" t="n">
        <f aca="false">F762+I762</f>
        <v>440.852115154148</v>
      </c>
      <c r="K762" s="32" t="n">
        <f aca="false">F762</f>
        <v>277.27441373784</v>
      </c>
      <c r="L762" s="32" t="n">
        <f aca="false">C762*1000000/dt_s+J762/2</f>
        <v>18108.8077242437</v>
      </c>
      <c r="M762" s="32" t="n">
        <f aca="false">C762*1000000/dt_s+K762/2</f>
        <v>18027.0188735356</v>
      </c>
    </row>
    <row r="763" customFormat="false" ht="15" hidden="false" customHeight="false" outlineLevel="0" collapsed="false">
      <c r="A763" s="24" t="n">
        <f aca="false">ROUND(A762+0.01,2)</f>
        <v>78.58</v>
      </c>
      <c r="B763" s="25" t="n">
        <f aca="false">INDEX(Bang_F,MATCH(A763,Bang_Z,1))+(A763-INDEX(Bang_Z,MATCH(A763,Bang_Z,1)))*(INDEX(Bang_F,MATCH(A763,Bang_Z,1)+1)-INDEX(Bang_F,MATCH(A763,Bang_Z,1)))</f>
        <v>8.2116</v>
      </c>
      <c r="C763" s="25" t="n">
        <f aca="false">INDEX(Bang_W,MATCH(A763,Bang_Z,1))+(A763-INDEX(Bang_Z,MATCH(A763,Bang_Z,1)))*(INDEX(Bang_F,MATCH(A763,Bang_Z,1))+B763)/2</f>
        <v>64.480264</v>
      </c>
      <c r="D763" s="26" t="n">
        <f aca="false">MAX(A763-TC_Z,0)</f>
        <v>3.88</v>
      </c>
      <c r="E763" s="27" t="n">
        <f aca="false">1-0.2*(TC_xmb+(TC_n-1)*TC_xmt)*D763/(TC_n*TC_b)</f>
        <v>0.845518518518519</v>
      </c>
      <c r="F763" s="28" t="n">
        <f aca="false">TC_s*E763*TC_m*TC_n*TC_b*SQRT(2*g_)*D763^1.5</f>
        <v>278.218803635831</v>
      </c>
      <c r="G763" s="29" t="n">
        <f aca="false">MAX(A763-SC_Z,0)</f>
        <v>7.58</v>
      </c>
      <c r="H763" s="30" t="n">
        <f aca="false">1-0.2*(SC_xmb+(SC_n-1)*SC_xmt)*G763/(SC_n*SC_b)</f>
        <v>0.78776</v>
      </c>
      <c r="I763" s="31" t="n">
        <f aca="false">SC_s*H763*SC_m*SC_n*SC_b*SQRT(2*g_)*G763^1.5</f>
        <v>163.843702313441</v>
      </c>
      <c r="J763" s="32" t="n">
        <f aca="false">F763+I763</f>
        <v>442.062505949272</v>
      </c>
      <c r="K763" s="32" t="n">
        <f aca="false">F763</f>
        <v>278.218803635831</v>
      </c>
      <c r="L763" s="32" t="n">
        <f aca="false">C763*1000000/dt_s+J763/2</f>
        <v>18132.2156974191</v>
      </c>
      <c r="M763" s="32" t="n">
        <f aca="false">C763*1000000/dt_s+K763/2</f>
        <v>18050.2938462624</v>
      </c>
    </row>
    <row r="764" customFormat="false" ht="15" hidden="false" customHeight="false" outlineLevel="0" collapsed="false">
      <c r="A764" s="24" t="n">
        <f aca="false">ROUND(A763+0.01,2)</f>
        <v>78.59</v>
      </c>
      <c r="B764" s="25" t="n">
        <f aca="false">INDEX(Bang_F,MATCH(A764,Bang_Z,1))+(A764-INDEX(Bang_Z,MATCH(A764,Bang_Z,1)))*(INDEX(Bang_F,MATCH(A764,Bang_Z,1)+1)-INDEX(Bang_F,MATCH(A764,Bang_Z,1)))</f>
        <v>8.2168</v>
      </c>
      <c r="C764" s="25" t="n">
        <f aca="false">INDEX(Bang_W,MATCH(A764,Bang_Z,1))+(A764-INDEX(Bang_Z,MATCH(A764,Bang_Z,1)))*(INDEX(Bang_F,MATCH(A764,Bang_Z,1))+B764)/2</f>
        <v>64.562406</v>
      </c>
      <c r="D764" s="26" t="n">
        <f aca="false">MAX(A764-TC_Z,0)</f>
        <v>3.89</v>
      </c>
      <c r="E764" s="27" t="n">
        <f aca="false">1-0.2*(TC_xmb+(TC_n-1)*TC_xmt)*D764/(TC_n*TC_b)</f>
        <v>0.84512037037037</v>
      </c>
      <c r="F764" s="28" t="n">
        <f aca="false">TC_s*E764*TC_m*TC_n*TC_b*SQRT(2*g_)*D764^1.5</f>
        <v>279.163566629558</v>
      </c>
      <c r="G764" s="29" t="n">
        <f aca="false">MAX(A764-SC_Z,0)</f>
        <v>7.59</v>
      </c>
      <c r="H764" s="30" t="n">
        <f aca="false">1-0.2*(SC_xmb+(SC_n-1)*SC_xmt)*G764/(SC_n*SC_b)</f>
        <v>0.78748</v>
      </c>
      <c r="I764" s="31" t="n">
        <f aca="false">SC_s*H764*SC_m*SC_n*SC_b*SQRT(2*g_)*G764^1.5</f>
        <v>164.109686595241</v>
      </c>
      <c r="J764" s="32" t="n">
        <f aca="false">F764+I764</f>
        <v>443.273253224799</v>
      </c>
      <c r="K764" s="32" t="n">
        <f aca="false">F764</f>
        <v>279.163566629558</v>
      </c>
      <c r="L764" s="32" t="n">
        <f aca="false">C764*1000000/dt_s+J764/2</f>
        <v>18155.6382932791</v>
      </c>
      <c r="M764" s="32" t="n">
        <f aca="false">C764*1000000/dt_s+K764/2</f>
        <v>18073.5834499815</v>
      </c>
    </row>
    <row r="765" customFormat="false" ht="15" hidden="false" customHeight="false" outlineLevel="0" collapsed="false">
      <c r="A765" s="24" t="n">
        <f aca="false">ROUND(A764+0.01,2)</f>
        <v>78.6</v>
      </c>
      <c r="B765" s="25" t="n">
        <f aca="false">INDEX(Bang_F,MATCH(A765,Bang_Z,1))+(A765-INDEX(Bang_Z,MATCH(A765,Bang_Z,1)))*(INDEX(Bang_F,MATCH(A765,Bang_Z,1)+1)-INDEX(Bang_F,MATCH(A765,Bang_Z,1)))</f>
        <v>8.222</v>
      </c>
      <c r="C765" s="25" t="n">
        <f aca="false">INDEX(Bang_W,MATCH(A765,Bang_Z,1))+(A765-INDEX(Bang_Z,MATCH(A765,Bang_Z,1)))*(INDEX(Bang_F,MATCH(A765,Bang_Z,1))+B765)/2</f>
        <v>64.6446</v>
      </c>
      <c r="D765" s="26" t="n">
        <f aca="false">MAX(A765-TC_Z,0)</f>
        <v>3.89999999999999</v>
      </c>
      <c r="E765" s="27" t="n">
        <f aca="false">1-0.2*(TC_xmb+(TC_n-1)*TC_xmt)*D765/(TC_n*TC_b)</f>
        <v>0.844722222222223</v>
      </c>
      <c r="F765" s="28" t="n">
        <f aca="false">TC_s*E765*TC_m*TC_n*TC_b*SQRT(2*g_)*D765^1.5</f>
        <v>280.108698979907</v>
      </c>
      <c r="G765" s="29" t="n">
        <f aca="false">MAX(A765-SC_Z,0)</f>
        <v>7.59999999999999</v>
      </c>
      <c r="H765" s="30" t="n">
        <f aca="false">1-0.2*(SC_xmb+(SC_n-1)*SC_xmt)*G765/(SC_n*SC_b)</f>
        <v>0.7872</v>
      </c>
      <c r="I765" s="31" t="n">
        <f aca="false">SC_s*H765*SC_m*SC_n*SC_b*SQRT(2*g_)*G765^1.5</f>
        <v>164.375653892816</v>
      </c>
      <c r="J765" s="32" t="n">
        <f aca="false">F765+I765</f>
        <v>444.484352872723</v>
      </c>
      <c r="K765" s="32" t="n">
        <f aca="false">F765</f>
        <v>280.108698979907</v>
      </c>
      <c r="L765" s="32" t="n">
        <f aca="false">C765*1000000/dt_s+J765/2</f>
        <v>18179.0755097697</v>
      </c>
      <c r="M765" s="32" t="n">
        <f aca="false">C765*1000000/dt_s+K765/2</f>
        <v>18096.8876828233</v>
      </c>
    </row>
    <row r="766" customFormat="false" ht="15" hidden="false" customHeight="false" outlineLevel="0" collapsed="false">
      <c r="A766" s="24" t="n">
        <f aca="false">ROUND(A765+0.01,2)</f>
        <v>78.61</v>
      </c>
      <c r="B766" s="25" t="n">
        <f aca="false">INDEX(Bang_F,MATCH(A766,Bang_Z,1))+(A766-INDEX(Bang_Z,MATCH(A766,Bang_Z,1)))*(INDEX(Bang_F,MATCH(A766,Bang_Z,1)+1)-INDEX(Bang_F,MATCH(A766,Bang_Z,1)))</f>
        <v>8.2272</v>
      </c>
      <c r="C766" s="25" t="n">
        <f aca="false">INDEX(Bang_W,MATCH(A766,Bang_Z,1))+(A766-INDEX(Bang_Z,MATCH(A766,Bang_Z,1)))*(INDEX(Bang_F,MATCH(A766,Bang_Z,1))+B766)/2</f>
        <v>64.726846</v>
      </c>
      <c r="D766" s="26" t="n">
        <f aca="false">MAX(A766-TC_Z,0)</f>
        <v>3.91</v>
      </c>
      <c r="E766" s="27" t="n">
        <f aca="false">1-0.2*(TC_xmb+(TC_n-1)*TC_xmt)*D766/(TC_n*TC_b)</f>
        <v>0.844324074074074</v>
      </c>
      <c r="F766" s="28" t="n">
        <f aca="false">TC_s*E766*TC_m*TC_n*TC_b*SQRT(2*g_)*D766^1.5</f>
        <v>281.054196957973</v>
      </c>
      <c r="G766" s="29" t="n">
        <f aca="false">MAX(A766-SC_Z,0)</f>
        <v>7.61</v>
      </c>
      <c r="H766" s="30" t="n">
        <f aca="false">1-0.2*(SC_xmb+(SC_n-1)*SC_xmt)*G766/(SC_n*SC_b)</f>
        <v>0.78692</v>
      </c>
      <c r="I766" s="31" t="n">
        <f aca="false">SC_s*H766*SC_m*SC_n*SC_b*SQRT(2*g_)*G766^1.5</f>
        <v>164.641603837755</v>
      </c>
      <c r="J766" s="32" t="n">
        <f aca="false">F766+I766</f>
        <v>445.695800795728</v>
      </c>
      <c r="K766" s="32" t="n">
        <f aca="false">F766</f>
        <v>281.054196957973</v>
      </c>
      <c r="L766" s="32" t="n">
        <f aca="false">C766*1000000/dt_s+J766/2</f>
        <v>18202.5273448423</v>
      </c>
      <c r="M766" s="32" t="n">
        <f aca="false">C766*1000000/dt_s+K766/2</f>
        <v>18120.2065429234</v>
      </c>
    </row>
    <row r="767" customFormat="false" ht="15" hidden="false" customHeight="false" outlineLevel="0" collapsed="false">
      <c r="A767" s="24" t="n">
        <f aca="false">ROUND(A766+0.01,2)</f>
        <v>78.62</v>
      </c>
      <c r="B767" s="25" t="n">
        <f aca="false">INDEX(Bang_F,MATCH(A767,Bang_Z,1))+(A767-INDEX(Bang_Z,MATCH(A767,Bang_Z,1)))*(INDEX(Bang_F,MATCH(A767,Bang_Z,1)+1)-INDEX(Bang_F,MATCH(A767,Bang_Z,1)))</f>
        <v>8.2324</v>
      </c>
      <c r="C767" s="25" t="n">
        <f aca="false">INDEX(Bang_W,MATCH(A767,Bang_Z,1))+(A767-INDEX(Bang_Z,MATCH(A767,Bang_Z,1)))*(INDEX(Bang_F,MATCH(A767,Bang_Z,1))+B767)/2</f>
        <v>64.809144</v>
      </c>
      <c r="D767" s="26" t="n">
        <f aca="false">MAX(A767-TC_Z,0)</f>
        <v>3.92</v>
      </c>
      <c r="E767" s="27" t="n">
        <f aca="false">1-0.2*(TC_xmb+(TC_n-1)*TC_xmt)*D767/(TC_n*TC_b)</f>
        <v>0.843925925925926</v>
      </c>
      <c r="F767" s="28" t="n">
        <f aca="false">TC_s*E767*TC_m*TC_n*TC_b*SQRT(2*g_)*D767^1.5</f>
        <v>282.000056845</v>
      </c>
      <c r="G767" s="29" t="n">
        <f aca="false">MAX(A767-SC_Z,0)</f>
        <v>7.62</v>
      </c>
      <c r="H767" s="30" t="n">
        <f aca="false">1-0.2*(SC_xmb+(SC_n-1)*SC_xmt)*G767/(SC_n*SC_b)</f>
        <v>0.78664</v>
      </c>
      <c r="I767" s="31" t="n">
        <f aca="false">SC_s*H767*SC_m*SC_n*SC_b*SQRT(2*g_)*G767^1.5</f>
        <v>164.907536062123</v>
      </c>
      <c r="J767" s="32" t="n">
        <f aca="false">F767+I767</f>
        <v>446.907592907123</v>
      </c>
      <c r="K767" s="32" t="n">
        <f aca="false">F767</f>
        <v>282.000056845</v>
      </c>
      <c r="L767" s="32" t="n">
        <f aca="false">C767*1000000/dt_s+J767/2</f>
        <v>18225.9937964536</v>
      </c>
      <c r="M767" s="32" t="n">
        <f aca="false">C767*1000000/dt_s+K767/2</f>
        <v>18143.5400284225</v>
      </c>
    </row>
    <row r="768" customFormat="false" ht="15" hidden="false" customHeight="false" outlineLevel="0" collapsed="false">
      <c r="A768" s="24" t="n">
        <f aca="false">ROUND(A767+0.01,2)</f>
        <v>78.63</v>
      </c>
      <c r="B768" s="25" t="n">
        <f aca="false">INDEX(Bang_F,MATCH(A768,Bang_Z,1))+(A768-INDEX(Bang_Z,MATCH(A768,Bang_Z,1)))*(INDEX(Bang_F,MATCH(A768,Bang_Z,1)+1)-INDEX(Bang_F,MATCH(A768,Bang_Z,1)))</f>
        <v>8.2376</v>
      </c>
      <c r="C768" s="25" t="n">
        <f aca="false">INDEX(Bang_W,MATCH(A768,Bang_Z,1))+(A768-INDEX(Bang_Z,MATCH(A768,Bang_Z,1)))*(INDEX(Bang_F,MATCH(A768,Bang_Z,1))+B768)/2</f>
        <v>64.891494</v>
      </c>
      <c r="D768" s="26" t="n">
        <f aca="false">MAX(A768-TC_Z,0)</f>
        <v>3.92999999999999</v>
      </c>
      <c r="E768" s="27" t="n">
        <f aca="false">1-0.2*(TC_xmb+(TC_n-1)*TC_xmt)*D768/(TC_n*TC_b)</f>
        <v>0.843527777777778</v>
      </c>
      <c r="F768" s="28" t="n">
        <f aca="false">TC_s*E768*TC_m*TC_n*TC_b*SQRT(2*g_)*D768^1.5</f>
        <v>282.946274932321</v>
      </c>
      <c r="G768" s="29" t="n">
        <f aca="false">MAX(A768-SC_Z,0)</f>
        <v>7.63</v>
      </c>
      <c r="H768" s="30" t="n">
        <f aca="false">1-0.2*(SC_xmb+(SC_n-1)*SC_xmt)*G768/(SC_n*SC_b)</f>
        <v>0.78636</v>
      </c>
      <c r="I768" s="31" t="n">
        <f aca="false">SC_s*H768*SC_m*SC_n*SC_b*SQRT(2*g_)*G768^1.5</f>
        <v>165.173450198458</v>
      </c>
      <c r="J768" s="32" t="n">
        <f aca="false">F768+I768</f>
        <v>448.11972513078</v>
      </c>
      <c r="K768" s="32" t="n">
        <f aca="false">F768</f>
        <v>282.946274932321</v>
      </c>
      <c r="L768" s="32" t="n">
        <f aca="false">C768*1000000/dt_s+J768/2</f>
        <v>18249.4748625654</v>
      </c>
      <c r="M768" s="32" t="n">
        <f aca="false">C768*1000000/dt_s+K768/2</f>
        <v>18166.8881374662</v>
      </c>
    </row>
    <row r="769" customFormat="false" ht="15" hidden="false" customHeight="false" outlineLevel="0" collapsed="false">
      <c r="A769" s="24" t="n">
        <f aca="false">ROUND(A768+0.01,2)</f>
        <v>78.64</v>
      </c>
      <c r="B769" s="25" t="n">
        <f aca="false">INDEX(Bang_F,MATCH(A769,Bang_Z,1))+(A769-INDEX(Bang_Z,MATCH(A769,Bang_Z,1)))*(INDEX(Bang_F,MATCH(A769,Bang_Z,1)+1)-INDEX(Bang_F,MATCH(A769,Bang_Z,1)))</f>
        <v>8.2428</v>
      </c>
      <c r="C769" s="25" t="n">
        <f aca="false">INDEX(Bang_W,MATCH(A769,Bang_Z,1))+(A769-INDEX(Bang_Z,MATCH(A769,Bang_Z,1)))*(INDEX(Bang_F,MATCH(A769,Bang_Z,1))+B769)/2</f>
        <v>64.973896</v>
      </c>
      <c r="D769" s="26" t="n">
        <f aca="false">MAX(A769-TC_Z,0)</f>
        <v>3.94</v>
      </c>
      <c r="E769" s="27" t="n">
        <f aca="false">1-0.2*(TC_xmb+(TC_n-1)*TC_xmt)*D769/(TC_n*TC_b)</f>
        <v>0.84312962962963</v>
      </c>
      <c r="F769" s="28" t="n">
        <f aca="false">TC_s*E769*TC_m*TC_n*TC_b*SQRT(2*g_)*D769^1.5</f>
        <v>283.892847521303</v>
      </c>
      <c r="G769" s="29" t="n">
        <f aca="false">MAX(A769-SC_Z,0)</f>
        <v>7.64</v>
      </c>
      <c r="H769" s="30" t="n">
        <f aca="false">1-0.2*(SC_xmb+(SC_n-1)*SC_xmt)*G769/(SC_n*SC_b)</f>
        <v>0.78608</v>
      </c>
      <c r="I769" s="31" t="n">
        <f aca="false">SC_s*H769*SC_m*SC_n*SC_b*SQRT(2*g_)*G769^1.5</f>
        <v>165.439345879777</v>
      </c>
      <c r="J769" s="32" t="n">
        <f aca="false">F769+I769</f>
        <v>449.33219340108</v>
      </c>
      <c r="K769" s="32" t="n">
        <f aca="false">F769</f>
        <v>283.892847521303</v>
      </c>
      <c r="L769" s="32" t="n">
        <f aca="false">C769*1000000/dt_s+J769/2</f>
        <v>18272.970541145</v>
      </c>
      <c r="M769" s="32" t="n">
        <f aca="false">C769*1000000/dt_s+K769/2</f>
        <v>18190.2508682051</v>
      </c>
    </row>
    <row r="770" customFormat="false" ht="15" hidden="false" customHeight="false" outlineLevel="0" collapsed="false">
      <c r="A770" s="24" t="n">
        <f aca="false">ROUND(A769+0.01,2)</f>
        <v>78.65</v>
      </c>
      <c r="B770" s="25" t="n">
        <f aca="false">INDEX(Bang_F,MATCH(A770,Bang_Z,1))+(A770-INDEX(Bang_Z,MATCH(A770,Bang_Z,1)))*(INDEX(Bang_F,MATCH(A770,Bang_Z,1)+1)-INDEX(Bang_F,MATCH(A770,Bang_Z,1)))</f>
        <v>8.248</v>
      </c>
      <c r="C770" s="25" t="n">
        <f aca="false">INDEX(Bang_W,MATCH(A770,Bang_Z,1))+(A770-INDEX(Bang_Z,MATCH(A770,Bang_Z,1)))*(INDEX(Bang_F,MATCH(A770,Bang_Z,1))+B770)/2</f>
        <v>65.0563500000001</v>
      </c>
      <c r="D770" s="26" t="n">
        <f aca="false">MAX(A770-TC_Z,0)</f>
        <v>3.95</v>
      </c>
      <c r="E770" s="27" t="n">
        <f aca="false">1-0.2*(TC_xmb+(TC_n-1)*TC_xmt)*D770/(TC_n*TC_b)</f>
        <v>0.842731481481481</v>
      </c>
      <c r="F770" s="28" t="n">
        <f aca="false">TC_s*E770*TC_m*TC_n*TC_b*SQRT(2*g_)*D770^1.5</f>
        <v>284.839770923282</v>
      </c>
      <c r="G770" s="29" t="n">
        <f aca="false">MAX(A770-SC_Z,0)</f>
        <v>7.65000000000001</v>
      </c>
      <c r="H770" s="30" t="n">
        <f aca="false">1-0.2*(SC_xmb+(SC_n-1)*SC_xmt)*G770/(SC_n*SC_b)</f>
        <v>0.7858</v>
      </c>
      <c r="I770" s="31" t="n">
        <f aca="false">SC_s*H770*SC_m*SC_n*SC_b*SQRT(2*g_)*G770^1.5</f>
        <v>165.705222739564</v>
      </c>
      <c r="J770" s="32" t="n">
        <f aca="false">F770+I770</f>
        <v>450.544993662846</v>
      </c>
      <c r="K770" s="32" t="n">
        <f aca="false">F770</f>
        <v>284.839770923282</v>
      </c>
      <c r="L770" s="32" t="n">
        <f aca="false">C770*1000000/dt_s+J770/2</f>
        <v>18296.4808301648</v>
      </c>
      <c r="M770" s="32" t="n">
        <f aca="false">C770*1000000/dt_s+K770/2</f>
        <v>18213.628218795</v>
      </c>
    </row>
    <row r="771" customFormat="false" ht="15" hidden="false" customHeight="false" outlineLevel="0" collapsed="false">
      <c r="A771" s="24" t="n">
        <f aca="false">ROUND(A770+0.01,2)</f>
        <v>78.66</v>
      </c>
      <c r="B771" s="25" t="n">
        <f aca="false">INDEX(Bang_F,MATCH(A771,Bang_Z,1))+(A771-INDEX(Bang_Z,MATCH(A771,Bang_Z,1)))*(INDEX(Bang_F,MATCH(A771,Bang_Z,1)+1)-INDEX(Bang_F,MATCH(A771,Bang_Z,1)))</f>
        <v>8.2532</v>
      </c>
      <c r="C771" s="25" t="n">
        <f aca="false">INDEX(Bang_W,MATCH(A771,Bang_Z,1))+(A771-INDEX(Bang_Z,MATCH(A771,Bang_Z,1)))*(INDEX(Bang_F,MATCH(A771,Bang_Z,1))+B771)/2</f>
        <v>65.138856</v>
      </c>
      <c r="D771" s="26" t="n">
        <f aca="false">MAX(A771-TC_Z,0)</f>
        <v>3.95999999999999</v>
      </c>
      <c r="E771" s="27" t="n">
        <f aca="false">1-0.2*(TC_xmb+(TC_n-1)*TC_xmt)*D771/(TC_n*TC_b)</f>
        <v>0.842333333333334</v>
      </c>
      <c r="F771" s="28" t="n">
        <f aca="false">TC_s*E771*TC_m*TC_n*TC_b*SQRT(2*g_)*D771^1.5</f>
        <v>285.787041459508</v>
      </c>
      <c r="G771" s="29" t="n">
        <f aca="false">MAX(A771-SC_Z,0)</f>
        <v>7.66</v>
      </c>
      <c r="H771" s="30" t="n">
        <f aca="false">1-0.2*(SC_xmb+(SC_n-1)*SC_xmt)*G771/(SC_n*SC_b)</f>
        <v>0.78552</v>
      </c>
      <c r="I771" s="31" t="n">
        <f aca="false">SC_s*H771*SC_m*SC_n*SC_b*SQRT(2*g_)*G771^1.5</f>
        <v>165.97108041178</v>
      </c>
      <c r="J771" s="32" t="n">
        <f aca="false">F771+I771</f>
        <v>451.758121871288</v>
      </c>
      <c r="K771" s="32" t="n">
        <f aca="false">F771</f>
        <v>285.787041459508</v>
      </c>
      <c r="L771" s="32" t="n">
        <f aca="false">C771*1000000/dt_s+J771/2</f>
        <v>18320.0057276023</v>
      </c>
      <c r="M771" s="32" t="n">
        <f aca="false">C771*1000000/dt_s+K771/2</f>
        <v>18237.0201873964</v>
      </c>
    </row>
    <row r="772" customFormat="false" ht="15" hidden="false" customHeight="false" outlineLevel="0" collapsed="false">
      <c r="A772" s="24" t="n">
        <f aca="false">ROUND(A771+0.01,2)</f>
        <v>78.67</v>
      </c>
      <c r="B772" s="25" t="n">
        <f aca="false">INDEX(Bang_F,MATCH(A772,Bang_Z,1))+(A772-INDEX(Bang_Z,MATCH(A772,Bang_Z,1)))*(INDEX(Bang_F,MATCH(A772,Bang_Z,1)+1)-INDEX(Bang_F,MATCH(A772,Bang_Z,1)))</f>
        <v>8.2584</v>
      </c>
      <c r="C772" s="25" t="n">
        <f aca="false">INDEX(Bang_W,MATCH(A772,Bang_Z,1))+(A772-INDEX(Bang_Z,MATCH(A772,Bang_Z,1)))*(INDEX(Bang_F,MATCH(A772,Bang_Z,1))+B772)/2</f>
        <v>65.221414</v>
      </c>
      <c r="D772" s="26" t="n">
        <f aca="false">MAX(A772-TC_Z,0)</f>
        <v>3.97</v>
      </c>
      <c r="E772" s="27" t="n">
        <f aca="false">1-0.2*(TC_xmb+(TC_n-1)*TC_xmt)*D772/(TC_n*TC_b)</f>
        <v>0.841935185185185</v>
      </c>
      <c r="F772" s="28" t="n">
        <f aca="false">TC_s*E772*TC_m*TC_n*TC_b*SQRT(2*g_)*D772^1.5</f>
        <v>286.734655461094</v>
      </c>
      <c r="G772" s="29" t="n">
        <f aca="false">MAX(A772-SC_Z,0)</f>
        <v>7.67</v>
      </c>
      <c r="H772" s="30" t="n">
        <f aca="false">1-0.2*(SC_xmb+(SC_n-1)*SC_xmt)*G772/(SC_n*SC_b)</f>
        <v>0.78524</v>
      </c>
      <c r="I772" s="31" t="n">
        <f aca="false">SC_s*H772*SC_m*SC_n*SC_b*SQRT(2*g_)*G772^1.5</f>
        <v>166.236918530851</v>
      </c>
      <c r="J772" s="32" t="n">
        <f aca="false">F772+I772</f>
        <v>452.971573991945</v>
      </c>
      <c r="K772" s="32" t="n">
        <f aca="false">F772</f>
        <v>286.734655461094</v>
      </c>
      <c r="L772" s="32" t="n">
        <f aca="false">C772*1000000/dt_s+J772/2</f>
        <v>18343.5452314404</v>
      </c>
      <c r="M772" s="32" t="n">
        <f aca="false">C772*1000000/dt_s+K772/2</f>
        <v>18260.426772175</v>
      </c>
    </row>
    <row r="773" customFormat="false" ht="15" hidden="false" customHeight="false" outlineLevel="0" collapsed="false">
      <c r="A773" s="24" t="n">
        <f aca="false">ROUND(A772+0.01,2)</f>
        <v>78.68</v>
      </c>
      <c r="B773" s="25" t="n">
        <f aca="false">INDEX(Bang_F,MATCH(A773,Bang_Z,1))+(A773-INDEX(Bang_Z,MATCH(A773,Bang_Z,1)))*(INDEX(Bang_F,MATCH(A773,Bang_Z,1)+1)-INDEX(Bang_F,MATCH(A773,Bang_Z,1)))</f>
        <v>8.2636</v>
      </c>
      <c r="C773" s="25" t="n">
        <f aca="false">INDEX(Bang_W,MATCH(A773,Bang_Z,1))+(A773-INDEX(Bang_Z,MATCH(A773,Bang_Z,1)))*(INDEX(Bang_F,MATCH(A773,Bang_Z,1))+B773)/2</f>
        <v>65.3040240000001</v>
      </c>
      <c r="D773" s="26" t="n">
        <f aca="false">MAX(A773-TC_Z,0)</f>
        <v>3.98</v>
      </c>
      <c r="E773" s="27" t="n">
        <f aca="false">1-0.2*(TC_xmb+(TC_n-1)*TC_xmt)*D773/(TC_n*TC_b)</f>
        <v>0.841537037037037</v>
      </c>
      <c r="F773" s="28" t="n">
        <f aca="false">TC_s*E773*TC_m*TC_n*TC_b*SQRT(2*g_)*D773^1.5</f>
        <v>287.682609268945</v>
      </c>
      <c r="G773" s="29" t="n">
        <f aca="false">MAX(A773-SC_Z,0)</f>
        <v>7.68000000000001</v>
      </c>
      <c r="H773" s="30" t="n">
        <f aca="false">1-0.2*(SC_xmb+(SC_n-1)*SC_xmt)*G773/(SC_n*SC_b)</f>
        <v>0.78496</v>
      </c>
      <c r="I773" s="31" t="n">
        <f aca="false">SC_s*H773*SC_m*SC_n*SC_b*SQRT(2*g_)*G773^1.5</f>
        <v>166.502736731676</v>
      </c>
      <c r="J773" s="32" t="n">
        <f aca="false">F773+I773</f>
        <v>454.185346000621</v>
      </c>
      <c r="K773" s="32" t="n">
        <f aca="false">F773</f>
        <v>287.682609268945</v>
      </c>
      <c r="L773" s="32" t="n">
        <f aca="false">C773*1000000/dt_s+J773/2</f>
        <v>18367.099339667</v>
      </c>
      <c r="M773" s="32" t="n">
        <f aca="false">C773*1000000/dt_s+K773/2</f>
        <v>18283.8479713012</v>
      </c>
    </row>
    <row r="774" customFormat="false" ht="15" hidden="false" customHeight="false" outlineLevel="0" collapsed="false">
      <c r="A774" s="24" t="n">
        <f aca="false">ROUND(A773+0.01,2)</f>
        <v>78.69</v>
      </c>
      <c r="B774" s="25" t="n">
        <f aca="false">INDEX(Bang_F,MATCH(A774,Bang_Z,1))+(A774-INDEX(Bang_Z,MATCH(A774,Bang_Z,1)))*(INDEX(Bang_F,MATCH(A774,Bang_Z,1)+1)-INDEX(Bang_F,MATCH(A774,Bang_Z,1)))</f>
        <v>8.2688</v>
      </c>
      <c r="C774" s="25" t="n">
        <f aca="false">INDEX(Bang_W,MATCH(A774,Bang_Z,1))+(A774-INDEX(Bang_Z,MATCH(A774,Bang_Z,1)))*(INDEX(Bang_F,MATCH(A774,Bang_Z,1))+B774)/2</f>
        <v>65.386686</v>
      </c>
      <c r="D774" s="26" t="n">
        <f aca="false">MAX(A774-TC_Z,0)</f>
        <v>3.99</v>
      </c>
      <c r="E774" s="27" t="n">
        <f aca="false">1-0.2*(TC_xmb+(TC_n-1)*TC_xmt)*D774/(TC_n*TC_b)</f>
        <v>0.841138888888889</v>
      </c>
      <c r="F774" s="28" t="n">
        <f aca="false">TC_s*E774*TC_m*TC_n*TC_b*SQRT(2*g_)*D774^1.5</f>
        <v>288.630899233715</v>
      </c>
      <c r="G774" s="29" t="n">
        <f aca="false">MAX(A774-SC_Z,0)</f>
        <v>7.69</v>
      </c>
      <c r="H774" s="30" t="n">
        <f aca="false">1-0.2*(SC_xmb+(SC_n-1)*SC_xmt)*G774/(SC_n*SC_b)</f>
        <v>0.78468</v>
      </c>
      <c r="I774" s="31" t="n">
        <f aca="false">SC_s*H774*SC_m*SC_n*SC_b*SQRT(2*g_)*G774^1.5</f>
        <v>166.768534649617</v>
      </c>
      <c r="J774" s="32" t="n">
        <f aca="false">F774+I774</f>
        <v>455.399433883332</v>
      </c>
      <c r="K774" s="32" t="n">
        <f aca="false">F774</f>
        <v>288.630899233715</v>
      </c>
      <c r="L774" s="32" t="n">
        <f aca="false">C774*1000000/dt_s+J774/2</f>
        <v>18390.668050275</v>
      </c>
      <c r="M774" s="32" t="n">
        <f aca="false">C774*1000000/dt_s+K774/2</f>
        <v>18307.2837829502</v>
      </c>
    </row>
    <row r="775" customFormat="false" ht="15" hidden="false" customHeight="false" outlineLevel="0" collapsed="false">
      <c r="A775" s="24" t="n">
        <f aca="false">ROUND(A774+0.01,2)</f>
        <v>78.7</v>
      </c>
      <c r="B775" s="25" t="n">
        <f aca="false">INDEX(Bang_F,MATCH(A775,Bang_Z,1))+(A775-INDEX(Bang_Z,MATCH(A775,Bang_Z,1)))*(INDEX(Bang_F,MATCH(A775,Bang_Z,1)+1)-INDEX(Bang_F,MATCH(A775,Bang_Z,1)))</f>
        <v>8.274</v>
      </c>
      <c r="C775" s="25" t="n">
        <f aca="false">INDEX(Bang_W,MATCH(A775,Bang_Z,1))+(A775-INDEX(Bang_Z,MATCH(A775,Bang_Z,1)))*(INDEX(Bang_F,MATCH(A775,Bang_Z,1))+B775)/2</f>
        <v>65.4694</v>
      </c>
      <c r="D775" s="26" t="n">
        <f aca="false">MAX(A775-TC_Z,0)</f>
        <v>4</v>
      </c>
      <c r="E775" s="27" t="n">
        <f aca="false">1-0.2*(TC_xmb+(TC_n-1)*TC_xmt)*D775/(TC_n*TC_b)</f>
        <v>0.840740740740741</v>
      </c>
      <c r="F775" s="28" t="n">
        <f aca="false">TC_s*E775*TC_m*TC_n*TC_b*SQRT(2*g_)*D775^1.5</f>
        <v>289.579521715746</v>
      </c>
      <c r="G775" s="29" t="n">
        <f aca="false">MAX(A775-SC_Z,0)</f>
        <v>7.7</v>
      </c>
      <c r="H775" s="30" t="n">
        <f aca="false">1-0.2*(SC_xmb+(SC_n-1)*SC_xmt)*G775/(SC_n*SC_b)</f>
        <v>0.7844</v>
      </c>
      <c r="I775" s="31" t="n">
        <f aca="false">SC_s*H775*SC_m*SC_n*SC_b*SQRT(2*g_)*G775^1.5</f>
        <v>167.034311920506</v>
      </c>
      <c r="J775" s="32" t="n">
        <f aca="false">F775+I775</f>
        <v>456.613833636252</v>
      </c>
      <c r="K775" s="32" t="n">
        <f aca="false">F775</f>
        <v>289.579521715746</v>
      </c>
      <c r="L775" s="32" t="n">
        <f aca="false">C775*1000000/dt_s+J775/2</f>
        <v>18414.2513612626</v>
      </c>
      <c r="M775" s="32" t="n">
        <f aca="false">C775*1000000/dt_s+K775/2</f>
        <v>18330.7342053023</v>
      </c>
    </row>
    <row r="776" customFormat="false" ht="15" hidden="false" customHeight="false" outlineLevel="0" collapsed="false">
      <c r="A776" s="24" t="n">
        <f aca="false">ROUND(A775+0.01,2)</f>
        <v>78.71</v>
      </c>
      <c r="B776" s="25" t="n">
        <f aca="false">INDEX(Bang_F,MATCH(A776,Bang_Z,1))+(A776-INDEX(Bang_Z,MATCH(A776,Bang_Z,1)))*(INDEX(Bang_F,MATCH(A776,Bang_Z,1)+1)-INDEX(Bang_F,MATCH(A776,Bang_Z,1)))</f>
        <v>8.2792</v>
      </c>
      <c r="C776" s="25" t="n">
        <f aca="false">INDEX(Bang_W,MATCH(A776,Bang_Z,1))+(A776-INDEX(Bang_Z,MATCH(A776,Bang_Z,1)))*(INDEX(Bang_F,MATCH(A776,Bang_Z,1))+B776)/2</f>
        <v>65.5521659999999</v>
      </c>
      <c r="D776" s="26" t="n">
        <f aca="false">MAX(A776-TC_Z,0)</f>
        <v>4.00999999999999</v>
      </c>
      <c r="E776" s="27" t="n">
        <f aca="false">1-0.2*(TC_xmb+(TC_n-1)*TC_xmt)*D776/(TC_n*TC_b)</f>
        <v>0.840342592592593</v>
      </c>
      <c r="F776" s="28" t="n">
        <f aca="false">TC_s*E776*TC_m*TC_n*TC_b*SQRT(2*g_)*D776^1.5</f>
        <v>290.528473085007</v>
      </c>
      <c r="G776" s="29" t="n">
        <f aca="false">MAX(A776-SC_Z,0)</f>
        <v>7.70999999999999</v>
      </c>
      <c r="H776" s="30" t="n">
        <f aca="false">1-0.2*(SC_xmb+(SC_n-1)*SC_xmt)*G776/(SC_n*SC_b)</f>
        <v>0.78412</v>
      </c>
      <c r="I776" s="31" t="n">
        <f aca="false">SC_s*H776*SC_m*SC_n*SC_b*SQRT(2*g_)*G776^1.5</f>
        <v>167.300068180636</v>
      </c>
      <c r="J776" s="32" t="n">
        <f aca="false">F776+I776</f>
        <v>457.828541265643</v>
      </c>
      <c r="K776" s="32" t="n">
        <f aca="false">F776</f>
        <v>290.528473085007</v>
      </c>
      <c r="L776" s="32" t="n">
        <f aca="false">C776*1000000/dt_s+J776/2</f>
        <v>18437.8492706328</v>
      </c>
      <c r="M776" s="32" t="n">
        <f aca="false">C776*1000000/dt_s+K776/2</f>
        <v>18354.1992365425</v>
      </c>
    </row>
    <row r="777" customFormat="false" ht="15" hidden="false" customHeight="false" outlineLevel="0" collapsed="false">
      <c r="A777" s="24" t="n">
        <f aca="false">ROUND(A776+0.01,2)</f>
        <v>78.72</v>
      </c>
      <c r="B777" s="25" t="n">
        <f aca="false">INDEX(Bang_F,MATCH(A777,Bang_Z,1))+(A777-INDEX(Bang_Z,MATCH(A777,Bang_Z,1)))*(INDEX(Bang_F,MATCH(A777,Bang_Z,1)+1)-INDEX(Bang_F,MATCH(A777,Bang_Z,1)))</f>
        <v>8.2844</v>
      </c>
      <c r="C777" s="25" t="n">
        <f aca="false">INDEX(Bang_W,MATCH(A777,Bang_Z,1))+(A777-INDEX(Bang_Z,MATCH(A777,Bang_Z,1)))*(INDEX(Bang_F,MATCH(A777,Bang_Z,1))+B777)/2</f>
        <v>65.634984</v>
      </c>
      <c r="D777" s="26" t="n">
        <f aca="false">MAX(A777-TC_Z,0)</f>
        <v>4.02</v>
      </c>
      <c r="E777" s="27" t="n">
        <f aca="false">1-0.2*(TC_xmb+(TC_n-1)*TC_xmt)*D777/(TC_n*TC_b)</f>
        <v>0.839944444444445</v>
      </c>
      <c r="F777" s="28" t="n">
        <f aca="false">TC_s*E777*TC_m*TC_n*TC_b*SQRT(2*g_)*D777^1.5</f>
        <v>291.47774972105</v>
      </c>
      <c r="G777" s="29" t="n">
        <f aca="false">MAX(A777-SC_Z,0)</f>
        <v>7.72</v>
      </c>
      <c r="H777" s="30" t="n">
        <f aca="false">1-0.2*(SC_xmb+(SC_n-1)*SC_xmt)*G777/(SC_n*SC_b)</f>
        <v>0.78384</v>
      </c>
      <c r="I777" s="31" t="n">
        <f aca="false">SC_s*H777*SC_m*SC_n*SC_b*SQRT(2*g_)*G777^1.5</f>
        <v>167.565803066767</v>
      </c>
      <c r="J777" s="32" t="n">
        <f aca="false">F777+I777</f>
        <v>459.043552787817</v>
      </c>
      <c r="K777" s="32" t="n">
        <f aca="false">F777</f>
        <v>291.47774972105</v>
      </c>
      <c r="L777" s="32" t="n">
        <f aca="false">C777*1000000/dt_s+J777/2</f>
        <v>18461.4617763939</v>
      </c>
      <c r="M777" s="32" t="n">
        <f aca="false">C777*1000000/dt_s+K777/2</f>
        <v>18377.6788748605</v>
      </c>
    </row>
    <row r="778" customFormat="false" ht="15" hidden="false" customHeight="false" outlineLevel="0" collapsed="false">
      <c r="A778" s="24" t="n">
        <f aca="false">ROUND(A777+0.01,2)</f>
        <v>78.73</v>
      </c>
      <c r="B778" s="25" t="n">
        <f aca="false">INDEX(Bang_F,MATCH(A778,Bang_Z,1))+(A778-INDEX(Bang_Z,MATCH(A778,Bang_Z,1)))*(INDEX(Bang_F,MATCH(A778,Bang_Z,1)+1)-INDEX(Bang_F,MATCH(A778,Bang_Z,1)))</f>
        <v>8.2896</v>
      </c>
      <c r="C778" s="25" t="n">
        <f aca="false">INDEX(Bang_W,MATCH(A778,Bang_Z,1))+(A778-INDEX(Bang_Z,MATCH(A778,Bang_Z,1)))*(INDEX(Bang_F,MATCH(A778,Bang_Z,1))+B778)/2</f>
        <v>65.717854</v>
      </c>
      <c r="D778" s="26" t="n">
        <f aca="false">MAX(A778-TC_Z,0)</f>
        <v>4.03</v>
      </c>
      <c r="E778" s="27" t="n">
        <f aca="false">1-0.2*(TC_xmb+(TC_n-1)*TC_xmt)*D778/(TC_n*TC_b)</f>
        <v>0.839546296296296</v>
      </c>
      <c r="F778" s="28" t="n">
        <f aca="false">TC_s*E778*TC_m*TC_n*TC_b*SQRT(2*g_)*D778^1.5</f>
        <v>292.427348012946</v>
      </c>
      <c r="G778" s="29" t="n">
        <f aca="false">MAX(A778-SC_Z,0)</f>
        <v>7.73</v>
      </c>
      <c r="H778" s="30" t="n">
        <f aca="false">1-0.2*(SC_xmb+(SC_n-1)*SC_xmt)*G778/(SC_n*SC_b)</f>
        <v>0.78356</v>
      </c>
      <c r="I778" s="31" t="n">
        <f aca="false">SC_s*H778*SC_m*SC_n*SC_b*SQRT(2*g_)*G778^1.5</f>
        <v>167.831516216116</v>
      </c>
      <c r="J778" s="32" t="n">
        <f aca="false">F778+I778</f>
        <v>460.258864229062</v>
      </c>
      <c r="K778" s="32" t="n">
        <f aca="false">F778</f>
        <v>292.427348012946</v>
      </c>
      <c r="L778" s="32" t="n">
        <f aca="false">C778*1000000/dt_s+J778/2</f>
        <v>18485.088876559</v>
      </c>
      <c r="M778" s="32" t="n">
        <f aca="false">C778*1000000/dt_s+K778/2</f>
        <v>18401.1731184509</v>
      </c>
    </row>
    <row r="779" customFormat="false" ht="15" hidden="false" customHeight="false" outlineLevel="0" collapsed="false">
      <c r="A779" s="24" t="n">
        <f aca="false">ROUND(A778+0.01,2)</f>
        <v>78.74</v>
      </c>
      <c r="B779" s="25" t="n">
        <f aca="false">INDEX(Bang_F,MATCH(A779,Bang_Z,1))+(A779-INDEX(Bang_Z,MATCH(A779,Bang_Z,1)))*(INDEX(Bang_F,MATCH(A779,Bang_Z,1)+1)-INDEX(Bang_F,MATCH(A779,Bang_Z,1)))</f>
        <v>8.2948</v>
      </c>
      <c r="C779" s="25" t="n">
        <f aca="false">INDEX(Bang_W,MATCH(A779,Bang_Z,1))+(A779-INDEX(Bang_Z,MATCH(A779,Bang_Z,1)))*(INDEX(Bang_F,MATCH(A779,Bang_Z,1))+B779)/2</f>
        <v>65.800776</v>
      </c>
      <c r="D779" s="26" t="n">
        <f aca="false">MAX(A779-TC_Z,0)</f>
        <v>4.03999999999999</v>
      </c>
      <c r="E779" s="27" t="n">
        <f aca="false">1-0.2*(TC_xmb+(TC_n-1)*TC_xmt)*D779/(TC_n*TC_b)</f>
        <v>0.839148148148148</v>
      </c>
      <c r="F779" s="28" t="n">
        <f aca="false">TC_s*E779*TC_m*TC_n*TC_b*SQRT(2*g_)*D779^1.5</f>
        <v>293.377264359234</v>
      </c>
      <c r="G779" s="29" t="n">
        <f aca="false">MAX(A779-SC_Z,0)</f>
        <v>7.74</v>
      </c>
      <c r="H779" s="30" t="n">
        <f aca="false">1-0.2*(SC_xmb+(SC_n-1)*SC_xmt)*G779/(SC_n*SC_b)</f>
        <v>0.78328</v>
      </c>
      <c r="I779" s="31" t="n">
        <f aca="false">SC_s*H779*SC_m*SC_n*SC_b*SQRT(2*g_)*G779^1.5</f>
        <v>168.097207266364</v>
      </c>
      <c r="J779" s="32" t="n">
        <f aca="false">F779+I779</f>
        <v>461.474471625598</v>
      </c>
      <c r="K779" s="32" t="n">
        <f aca="false">F779</f>
        <v>293.377264359234</v>
      </c>
      <c r="L779" s="32" t="n">
        <f aca="false">C779*1000000/dt_s+J779/2</f>
        <v>18508.7305691461</v>
      </c>
      <c r="M779" s="32" t="n">
        <f aca="false">C779*1000000/dt_s+K779/2</f>
        <v>18424.6819655129</v>
      </c>
    </row>
    <row r="780" customFormat="false" ht="15" hidden="false" customHeight="false" outlineLevel="0" collapsed="false">
      <c r="A780" s="24" t="n">
        <f aca="false">ROUND(A779+0.01,2)</f>
        <v>78.75</v>
      </c>
      <c r="B780" s="25" t="n">
        <f aca="false">INDEX(Bang_F,MATCH(A780,Bang_Z,1))+(A780-INDEX(Bang_Z,MATCH(A780,Bang_Z,1)))*(INDEX(Bang_F,MATCH(A780,Bang_Z,1)+1)-INDEX(Bang_F,MATCH(A780,Bang_Z,1)))</f>
        <v>8.3</v>
      </c>
      <c r="C780" s="25" t="n">
        <f aca="false">INDEX(Bang_W,MATCH(A780,Bang_Z,1))+(A780-INDEX(Bang_Z,MATCH(A780,Bang_Z,1)))*(INDEX(Bang_F,MATCH(A780,Bang_Z,1))+B780)/2</f>
        <v>65.88375</v>
      </c>
      <c r="D780" s="26" t="n">
        <f aca="false">MAX(A780-TC_Z,0)</f>
        <v>4.05</v>
      </c>
      <c r="E780" s="27" t="n">
        <f aca="false">1-0.2*(TC_xmb+(TC_n-1)*TC_xmt)*D780/(TC_n*TC_b)</f>
        <v>0.83875</v>
      </c>
      <c r="F780" s="28" t="n">
        <f aca="false">TC_s*E780*TC_m*TC_n*TC_b*SQRT(2*g_)*D780^1.5</f>
        <v>294.32749516787</v>
      </c>
      <c r="G780" s="29" t="n">
        <f aca="false">MAX(A780-SC_Z,0)</f>
        <v>7.75</v>
      </c>
      <c r="H780" s="30" t="n">
        <f aca="false">1-0.2*(SC_xmb+(SC_n-1)*SC_xmt)*G780/(SC_n*SC_b)</f>
        <v>0.783</v>
      </c>
      <c r="I780" s="31" t="n">
        <f aca="false">SC_s*H780*SC_m*SC_n*SC_b*SQRT(2*g_)*G780^1.5</f>
        <v>168.362875855652</v>
      </c>
      <c r="J780" s="32" t="n">
        <f aca="false">F780+I780</f>
        <v>462.690371023522</v>
      </c>
      <c r="K780" s="32" t="n">
        <f aca="false">F780</f>
        <v>294.32749516787</v>
      </c>
      <c r="L780" s="32" t="n">
        <f aca="false">C780*1000000/dt_s+J780/2</f>
        <v>18532.3868521784</v>
      </c>
      <c r="M780" s="32" t="n">
        <f aca="false">C780*1000000/dt_s+K780/2</f>
        <v>18448.2054142506</v>
      </c>
    </row>
    <row r="781" customFormat="false" ht="15" hidden="false" customHeight="false" outlineLevel="0" collapsed="false">
      <c r="A781" s="24" t="n">
        <f aca="false">ROUND(A780+0.01,2)</f>
        <v>78.76</v>
      </c>
      <c r="B781" s="25" t="n">
        <f aca="false">INDEX(Bang_F,MATCH(A781,Bang_Z,1))+(A781-INDEX(Bang_Z,MATCH(A781,Bang_Z,1)))*(INDEX(Bang_F,MATCH(A781,Bang_Z,1)+1)-INDEX(Bang_F,MATCH(A781,Bang_Z,1)))</f>
        <v>8.3052</v>
      </c>
      <c r="C781" s="25" t="n">
        <f aca="false">INDEX(Bang_W,MATCH(A781,Bang_Z,1))+(A781-INDEX(Bang_Z,MATCH(A781,Bang_Z,1)))*(INDEX(Bang_F,MATCH(A781,Bang_Z,1))+B781)/2</f>
        <v>65.966776</v>
      </c>
      <c r="D781" s="26" t="n">
        <f aca="false">MAX(A781-TC_Z,0)</f>
        <v>4.06</v>
      </c>
      <c r="E781" s="27" t="n">
        <f aca="false">1-0.2*(TC_xmb+(TC_n-1)*TC_xmt)*D781/(TC_n*TC_b)</f>
        <v>0.838351851851852</v>
      </c>
      <c r="F781" s="28" t="n">
        <f aca="false">TC_s*E781*TC_m*TC_n*TC_b*SQRT(2*g_)*D781^1.5</f>
        <v>295.27803685617</v>
      </c>
      <c r="G781" s="29" t="n">
        <f aca="false">MAX(A781-SC_Z,0)</f>
        <v>7.76000000000001</v>
      </c>
      <c r="H781" s="30" t="n">
        <f aca="false">1-0.2*(SC_xmb+(SC_n-1)*SC_xmt)*G781/(SC_n*SC_b)</f>
        <v>0.78272</v>
      </c>
      <c r="I781" s="31" t="n">
        <f aca="false">SC_s*H781*SC_m*SC_n*SC_b*SQRT(2*g_)*G781^1.5</f>
        <v>168.628521622574</v>
      </c>
      <c r="J781" s="32" t="n">
        <f aca="false">F781+I781</f>
        <v>463.906558478745</v>
      </c>
      <c r="K781" s="32" t="n">
        <f aca="false">F781</f>
        <v>295.27803685617</v>
      </c>
      <c r="L781" s="32" t="n">
        <f aca="false">C781*1000000/dt_s+J781/2</f>
        <v>18556.0577236838</v>
      </c>
      <c r="M781" s="32" t="n">
        <f aca="false">C781*1000000/dt_s+K781/2</f>
        <v>18471.7434628725</v>
      </c>
    </row>
    <row r="782" customFormat="false" ht="15" hidden="false" customHeight="false" outlineLevel="0" collapsed="false">
      <c r="A782" s="24" t="n">
        <f aca="false">ROUND(A781+0.01,2)</f>
        <v>78.77</v>
      </c>
      <c r="B782" s="25" t="n">
        <f aca="false">INDEX(Bang_F,MATCH(A782,Bang_Z,1))+(A782-INDEX(Bang_Z,MATCH(A782,Bang_Z,1)))*(INDEX(Bang_F,MATCH(A782,Bang_Z,1)+1)-INDEX(Bang_F,MATCH(A782,Bang_Z,1)))</f>
        <v>8.3104</v>
      </c>
      <c r="C782" s="25" t="n">
        <f aca="false">INDEX(Bang_W,MATCH(A782,Bang_Z,1))+(A782-INDEX(Bang_Z,MATCH(A782,Bang_Z,1)))*(INDEX(Bang_F,MATCH(A782,Bang_Z,1))+B782)/2</f>
        <v>66.049854</v>
      </c>
      <c r="D782" s="26" t="n">
        <f aca="false">MAX(A782-TC_Z,0)</f>
        <v>4.06999999999999</v>
      </c>
      <c r="E782" s="27" t="n">
        <f aca="false">1-0.2*(TC_xmb+(TC_n-1)*TC_xmt)*D782/(TC_n*TC_b)</f>
        <v>0.837953703703704</v>
      </c>
      <c r="F782" s="28" t="n">
        <f aca="false">TC_s*E782*TC_m*TC_n*TC_b*SQRT(2*g_)*D782^1.5</f>
        <v>296.228885850757</v>
      </c>
      <c r="G782" s="29" t="n">
        <f aca="false">MAX(A782-SC_Z,0)</f>
        <v>7.77</v>
      </c>
      <c r="H782" s="30" t="n">
        <f aca="false">1-0.2*(SC_xmb+(SC_n-1)*SC_xmt)*G782/(SC_n*SC_b)</f>
        <v>0.78244</v>
      </c>
      <c r="I782" s="31" t="n">
        <f aca="false">SC_s*H782*SC_m*SC_n*SC_b*SQRT(2*g_)*G782^1.5</f>
        <v>168.894144206186</v>
      </c>
      <c r="J782" s="32" t="n">
        <f aca="false">F782+I782</f>
        <v>465.123030056943</v>
      </c>
      <c r="K782" s="32" t="n">
        <f aca="false">F782</f>
        <v>296.228885850757</v>
      </c>
      <c r="L782" s="32" t="n">
        <f aca="false">C782*1000000/dt_s+J782/2</f>
        <v>18579.7431816951</v>
      </c>
      <c r="M782" s="32" t="n">
        <f aca="false">C782*1000000/dt_s+K782/2</f>
        <v>18495.296109592</v>
      </c>
    </row>
    <row r="783" customFormat="false" ht="15" hidden="false" customHeight="false" outlineLevel="0" collapsed="false">
      <c r="A783" s="24" t="n">
        <f aca="false">ROUND(A782+0.01,2)</f>
        <v>78.78</v>
      </c>
      <c r="B783" s="25" t="n">
        <f aca="false">INDEX(Bang_F,MATCH(A783,Bang_Z,1))+(A783-INDEX(Bang_Z,MATCH(A783,Bang_Z,1)))*(INDEX(Bang_F,MATCH(A783,Bang_Z,1)+1)-INDEX(Bang_F,MATCH(A783,Bang_Z,1)))</f>
        <v>8.3156</v>
      </c>
      <c r="C783" s="25" t="n">
        <f aca="false">INDEX(Bang_W,MATCH(A783,Bang_Z,1))+(A783-INDEX(Bang_Z,MATCH(A783,Bang_Z,1)))*(INDEX(Bang_F,MATCH(A783,Bang_Z,1))+B783)/2</f>
        <v>66.132984</v>
      </c>
      <c r="D783" s="26" t="n">
        <f aca="false">MAX(A783-TC_Z,0)</f>
        <v>4.08</v>
      </c>
      <c r="E783" s="27" t="n">
        <f aca="false">1-0.2*(TC_xmb+(TC_n-1)*TC_xmt)*D783/(TC_n*TC_b)</f>
        <v>0.837555555555556</v>
      </c>
      <c r="F783" s="28" t="n">
        <f aca="false">TC_s*E783*TC_m*TC_n*TC_b*SQRT(2*g_)*D783^1.5</f>
        <v>297.180038587513</v>
      </c>
      <c r="G783" s="29" t="n">
        <f aca="false">MAX(A783-SC_Z,0)</f>
        <v>7.78</v>
      </c>
      <c r="H783" s="30" t="n">
        <f aca="false">1-0.2*(SC_xmb+(SC_n-1)*SC_xmt)*G783/(SC_n*SC_b)</f>
        <v>0.78216</v>
      </c>
      <c r="I783" s="31" t="n">
        <f aca="false">SC_s*H783*SC_m*SC_n*SC_b*SQRT(2*g_)*G783^1.5</f>
        <v>169.159743245997</v>
      </c>
      <c r="J783" s="32" t="n">
        <f aca="false">F783+I783</f>
        <v>466.33978183351</v>
      </c>
      <c r="K783" s="32" t="n">
        <f aca="false">F783</f>
        <v>297.180038587513</v>
      </c>
      <c r="L783" s="32" t="n">
        <f aca="false">C783*1000000/dt_s+J783/2</f>
        <v>18603.4432242501</v>
      </c>
      <c r="M783" s="32" t="n">
        <f aca="false">C783*1000000/dt_s+K783/2</f>
        <v>18518.8633526271</v>
      </c>
    </row>
    <row r="784" customFormat="false" ht="15" hidden="false" customHeight="false" outlineLevel="0" collapsed="false">
      <c r="A784" s="24" t="n">
        <f aca="false">ROUND(A783+0.01,2)</f>
        <v>78.79</v>
      </c>
      <c r="B784" s="25" t="n">
        <f aca="false">INDEX(Bang_F,MATCH(A784,Bang_Z,1))+(A784-INDEX(Bang_Z,MATCH(A784,Bang_Z,1)))*(INDEX(Bang_F,MATCH(A784,Bang_Z,1)+1)-INDEX(Bang_F,MATCH(A784,Bang_Z,1)))</f>
        <v>8.3208</v>
      </c>
      <c r="C784" s="25" t="n">
        <f aca="false">INDEX(Bang_W,MATCH(A784,Bang_Z,1))+(A784-INDEX(Bang_Z,MATCH(A784,Bang_Z,1)))*(INDEX(Bang_F,MATCH(A784,Bang_Z,1))+B784)/2</f>
        <v>66.216166</v>
      </c>
      <c r="D784" s="26" t="n">
        <f aca="false">MAX(A784-TC_Z,0)</f>
        <v>4.09</v>
      </c>
      <c r="E784" s="27" t="n">
        <f aca="false">1-0.2*(TC_xmb+(TC_n-1)*TC_xmt)*D784/(TC_n*TC_b)</f>
        <v>0.837157407407407</v>
      </c>
      <c r="F784" s="28" t="n">
        <f aca="false">TC_s*E784*TC_m*TC_n*TC_b*SQRT(2*g_)*D784^1.5</f>
        <v>298.131491511523</v>
      </c>
      <c r="G784" s="29" t="n">
        <f aca="false">MAX(A784-SC_Z,0)</f>
        <v>7.79000000000001</v>
      </c>
      <c r="H784" s="30" t="n">
        <f aca="false">1-0.2*(SC_xmb+(SC_n-1)*SC_xmt)*G784/(SC_n*SC_b)</f>
        <v>0.78188</v>
      </c>
      <c r="I784" s="31" t="n">
        <f aca="false">SC_s*H784*SC_m*SC_n*SC_b*SQRT(2*g_)*G784^1.5</f>
        <v>169.425318381969</v>
      </c>
      <c r="J784" s="32" t="n">
        <f aca="false">F784+I784</f>
        <v>467.556809893491</v>
      </c>
      <c r="K784" s="32" t="n">
        <f aca="false">F784</f>
        <v>298.131491511523</v>
      </c>
      <c r="L784" s="32" t="n">
        <f aca="false">C784*1000000/dt_s+J784/2</f>
        <v>18627.1578493912</v>
      </c>
      <c r="M784" s="32" t="n">
        <f aca="false">C784*1000000/dt_s+K784/2</f>
        <v>18542.4451902002</v>
      </c>
    </row>
    <row r="785" customFormat="false" ht="15" hidden="false" customHeight="false" outlineLevel="0" collapsed="false">
      <c r="A785" s="24" t="n">
        <f aca="false">ROUND(A784+0.01,2)</f>
        <v>78.8</v>
      </c>
      <c r="B785" s="25" t="n">
        <f aca="false">INDEX(Bang_F,MATCH(A785,Bang_Z,1))+(A785-INDEX(Bang_Z,MATCH(A785,Bang_Z,1)))*(INDEX(Bang_F,MATCH(A785,Bang_Z,1)+1)-INDEX(Bang_F,MATCH(A785,Bang_Z,1)))</f>
        <v>8.326</v>
      </c>
      <c r="C785" s="25" t="n">
        <f aca="false">INDEX(Bang_W,MATCH(A785,Bang_Z,1))+(A785-INDEX(Bang_Z,MATCH(A785,Bang_Z,1)))*(INDEX(Bang_F,MATCH(A785,Bang_Z,1))+B785)/2</f>
        <v>66.2994</v>
      </c>
      <c r="D785" s="26" t="n">
        <f aca="false">MAX(A785-TC_Z,0)</f>
        <v>4.09999999999999</v>
      </c>
      <c r="E785" s="27" t="n">
        <f aca="false">1-0.2*(TC_xmb+(TC_n-1)*TC_xmt)*D785/(TC_n*TC_b)</f>
        <v>0.836759259259259</v>
      </c>
      <c r="F785" s="28" t="n">
        <f aca="false">TC_s*E785*TC_m*TC_n*TC_b*SQRT(2*g_)*D785^1.5</f>
        <v>299.083241077021</v>
      </c>
      <c r="G785" s="29" t="n">
        <f aca="false">MAX(A785-SC_Z,0)</f>
        <v>7.8</v>
      </c>
      <c r="H785" s="30" t="n">
        <f aca="false">1-0.2*(SC_xmb+(SC_n-1)*SC_xmt)*G785/(SC_n*SC_b)</f>
        <v>0.7816</v>
      </c>
      <c r="I785" s="31" t="n">
        <f aca="false">SC_s*H785*SC_m*SC_n*SC_b*SQRT(2*g_)*G785^1.5</f>
        <v>169.690869254516</v>
      </c>
      <c r="J785" s="32" t="n">
        <f aca="false">F785+I785</f>
        <v>468.774110331538</v>
      </c>
      <c r="K785" s="32" t="n">
        <f aca="false">F785</f>
        <v>299.083241077021</v>
      </c>
      <c r="L785" s="32" t="n">
        <f aca="false">C785*1000000/dt_s+J785/2</f>
        <v>18650.8870551658</v>
      </c>
      <c r="M785" s="32" t="n">
        <f aca="false">C785*1000000/dt_s+K785/2</f>
        <v>18566.0416205385</v>
      </c>
    </row>
    <row r="786" customFormat="false" ht="15" hidden="false" customHeight="false" outlineLevel="0" collapsed="false">
      <c r="A786" s="24" t="n">
        <f aca="false">ROUND(A785+0.01,2)</f>
        <v>78.81</v>
      </c>
      <c r="B786" s="25" t="n">
        <f aca="false">INDEX(Bang_F,MATCH(A786,Bang_Z,1))+(A786-INDEX(Bang_Z,MATCH(A786,Bang_Z,1)))*(INDEX(Bang_F,MATCH(A786,Bang_Z,1)+1)-INDEX(Bang_F,MATCH(A786,Bang_Z,1)))</f>
        <v>8.3312</v>
      </c>
      <c r="C786" s="25" t="n">
        <f aca="false">INDEX(Bang_W,MATCH(A786,Bang_Z,1))+(A786-INDEX(Bang_Z,MATCH(A786,Bang_Z,1)))*(INDEX(Bang_F,MATCH(A786,Bang_Z,1))+B786)/2</f>
        <v>66.382686</v>
      </c>
      <c r="D786" s="26" t="n">
        <f aca="false">MAX(A786-TC_Z,0)</f>
        <v>4.11</v>
      </c>
      <c r="E786" s="27" t="n">
        <f aca="false">1-0.2*(TC_xmb+(TC_n-1)*TC_xmt)*D786/(TC_n*TC_b)</f>
        <v>0.836361111111111</v>
      </c>
      <c r="F786" s="28" t="n">
        <f aca="false">TC_s*E786*TC_m*TC_n*TC_b*SQRT(2*g_)*D786^1.5</f>
        <v>300.035283747351</v>
      </c>
      <c r="G786" s="29" t="n">
        <f aca="false">MAX(A786-SC_Z,0)</f>
        <v>7.81</v>
      </c>
      <c r="H786" s="30" t="n">
        <f aca="false">1-0.2*(SC_xmb+(SC_n-1)*SC_xmt)*G786/(SC_n*SC_b)</f>
        <v>0.78132</v>
      </c>
      <c r="I786" s="31" t="n">
        <f aca="false">SC_s*H786*SC_m*SC_n*SC_b*SQRT(2*g_)*G786^1.5</f>
        <v>169.956395504508</v>
      </c>
      <c r="J786" s="32" t="n">
        <f aca="false">F786+I786</f>
        <v>469.991679251859</v>
      </c>
      <c r="K786" s="32" t="n">
        <f aca="false">F786</f>
        <v>300.035283747351</v>
      </c>
      <c r="L786" s="32" t="n">
        <f aca="false">C786*1000000/dt_s+J786/2</f>
        <v>18674.6308396259</v>
      </c>
      <c r="M786" s="32" t="n">
        <f aca="false">C786*1000000/dt_s+K786/2</f>
        <v>18589.6526418737</v>
      </c>
    </row>
    <row r="787" customFormat="false" ht="15" hidden="false" customHeight="false" outlineLevel="0" collapsed="false">
      <c r="A787" s="24" t="n">
        <f aca="false">ROUND(A786+0.01,2)</f>
        <v>78.82</v>
      </c>
      <c r="B787" s="25" t="n">
        <f aca="false">INDEX(Bang_F,MATCH(A787,Bang_Z,1))+(A787-INDEX(Bang_Z,MATCH(A787,Bang_Z,1)))*(INDEX(Bang_F,MATCH(A787,Bang_Z,1)+1)-INDEX(Bang_F,MATCH(A787,Bang_Z,1)))</f>
        <v>8.3364</v>
      </c>
      <c r="C787" s="25" t="n">
        <f aca="false">INDEX(Bang_W,MATCH(A787,Bang_Z,1))+(A787-INDEX(Bang_Z,MATCH(A787,Bang_Z,1)))*(INDEX(Bang_F,MATCH(A787,Bang_Z,1))+B787)/2</f>
        <v>66.466024</v>
      </c>
      <c r="D787" s="26" t="n">
        <f aca="false">MAX(A787-TC_Z,0)</f>
        <v>4.11999999999999</v>
      </c>
      <c r="E787" s="27" t="n">
        <f aca="false">1-0.2*(TC_xmb+(TC_n-1)*TC_xmt)*D787/(TC_n*TC_b)</f>
        <v>0.835962962962963</v>
      </c>
      <c r="F787" s="28" t="n">
        <f aca="false">TC_s*E787*TC_m*TC_n*TC_b*SQRT(2*g_)*D787^1.5</f>
        <v>300.987615994899</v>
      </c>
      <c r="G787" s="29" t="n">
        <f aca="false">MAX(A787-SC_Z,0)</f>
        <v>7.81999999999999</v>
      </c>
      <c r="H787" s="30" t="n">
        <f aca="false">1-0.2*(SC_xmb+(SC_n-1)*SC_xmt)*G787/(SC_n*SC_b)</f>
        <v>0.78104</v>
      </c>
      <c r="I787" s="31" t="n">
        <f aca="false">SC_s*H787*SC_m*SC_n*SC_b*SQRT(2*g_)*G787^1.5</f>
        <v>170.221896773259</v>
      </c>
      <c r="J787" s="32" t="n">
        <f aca="false">F787+I787</f>
        <v>471.209512768158</v>
      </c>
      <c r="K787" s="32" t="n">
        <f aca="false">F787</f>
        <v>300.987615994899</v>
      </c>
      <c r="L787" s="32" t="n">
        <f aca="false">C787*1000000/dt_s+J787/2</f>
        <v>18698.3892008285</v>
      </c>
      <c r="M787" s="32" t="n">
        <f aca="false">C787*1000000/dt_s+K787/2</f>
        <v>18613.2782524419</v>
      </c>
    </row>
    <row r="788" customFormat="false" ht="15" hidden="false" customHeight="false" outlineLevel="0" collapsed="false">
      <c r="A788" s="24" t="n">
        <f aca="false">ROUND(A787+0.01,2)</f>
        <v>78.83</v>
      </c>
      <c r="B788" s="25" t="n">
        <f aca="false">INDEX(Bang_F,MATCH(A788,Bang_Z,1))+(A788-INDEX(Bang_Z,MATCH(A788,Bang_Z,1)))*(INDEX(Bang_F,MATCH(A788,Bang_Z,1)+1)-INDEX(Bang_F,MATCH(A788,Bang_Z,1)))</f>
        <v>8.3416</v>
      </c>
      <c r="C788" s="25" t="n">
        <f aca="false">INDEX(Bang_W,MATCH(A788,Bang_Z,1))+(A788-INDEX(Bang_Z,MATCH(A788,Bang_Z,1)))*(INDEX(Bang_F,MATCH(A788,Bang_Z,1))+B788)/2</f>
        <v>66.549414</v>
      </c>
      <c r="D788" s="26" t="n">
        <f aca="false">MAX(A788-TC_Z,0)</f>
        <v>4.13</v>
      </c>
      <c r="E788" s="27" t="n">
        <f aca="false">1-0.2*(TC_xmb+(TC_n-1)*TC_xmt)*D788/(TC_n*TC_b)</f>
        <v>0.835564814814815</v>
      </c>
      <c r="F788" s="28" t="n">
        <f aca="false">TC_s*E788*TC_m*TC_n*TC_b*SQRT(2*g_)*D788^1.5</f>
        <v>301.940234301059</v>
      </c>
      <c r="G788" s="29" t="n">
        <f aca="false">MAX(A788-SC_Z,0)</f>
        <v>7.83</v>
      </c>
      <c r="H788" s="30" t="n">
        <f aca="false">1-0.2*(SC_xmb+(SC_n-1)*SC_xmt)*G788/(SC_n*SC_b)</f>
        <v>0.78076</v>
      </c>
      <c r="I788" s="31" t="n">
        <f aca="false">SC_s*H788*SC_m*SC_n*SC_b*SQRT(2*g_)*G788^1.5</f>
        <v>170.487372702535</v>
      </c>
      <c r="J788" s="32" t="n">
        <f aca="false">F788+I788</f>
        <v>472.427607003594</v>
      </c>
      <c r="K788" s="32" t="n">
        <f aca="false">F788</f>
        <v>301.940234301059</v>
      </c>
      <c r="L788" s="32" t="n">
        <f aca="false">C788*1000000/dt_s+J788/2</f>
        <v>18722.1621368351</v>
      </c>
      <c r="M788" s="32" t="n">
        <f aca="false">C788*1000000/dt_s+K788/2</f>
        <v>18636.9184504839</v>
      </c>
    </row>
    <row r="789" customFormat="false" ht="15" hidden="false" customHeight="false" outlineLevel="0" collapsed="false">
      <c r="A789" s="24" t="n">
        <f aca="false">ROUND(A788+0.01,2)</f>
        <v>78.84</v>
      </c>
      <c r="B789" s="25" t="n">
        <f aca="false">INDEX(Bang_F,MATCH(A789,Bang_Z,1))+(A789-INDEX(Bang_Z,MATCH(A789,Bang_Z,1)))*(INDEX(Bang_F,MATCH(A789,Bang_Z,1)+1)-INDEX(Bang_F,MATCH(A789,Bang_Z,1)))</f>
        <v>8.3468</v>
      </c>
      <c r="C789" s="25" t="n">
        <f aca="false">INDEX(Bang_W,MATCH(A789,Bang_Z,1))+(A789-INDEX(Bang_Z,MATCH(A789,Bang_Z,1)))*(INDEX(Bang_F,MATCH(A789,Bang_Z,1))+B789)/2</f>
        <v>66.632856</v>
      </c>
      <c r="D789" s="26" t="n">
        <f aca="false">MAX(A789-TC_Z,0)</f>
        <v>4.14</v>
      </c>
      <c r="E789" s="27" t="n">
        <f aca="false">1-0.2*(TC_xmb+(TC_n-1)*TC_xmt)*D789/(TC_n*TC_b)</f>
        <v>0.835166666666667</v>
      </c>
      <c r="F789" s="28" t="n">
        <f aca="false">TC_s*E789*TC_m*TC_n*TC_b*SQRT(2*g_)*D789^1.5</f>
        <v>302.89313515617</v>
      </c>
      <c r="G789" s="29" t="n">
        <f aca="false">MAX(A789-SC_Z,0)</f>
        <v>7.84</v>
      </c>
      <c r="H789" s="30" t="n">
        <f aca="false">1-0.2*(SC_xmb+(SC_n-1)*SC_xmt)*G789/(SC_n*SC_b)</f>
        <v>0.78048</v>
      </c>
      <c r="I789" s="31" t="n">
        <f aca="false">SC_s*H789*SC_m*SC_n*SC_b*SQRT(2*g_)*G789^1.5</f>
        <v>170.752822934551</v>
      </c>
      <c r="J789" s="32" t="n">
        <f aca="false">F789+I789</f>
        <v>473.645958090721</v>
      </c>
      <c r="K789" s="32" t="n">
        <f aca="false">F789</f>
        <v>302.89313515617</v>
      </c>
      <c r="L789" s="32" t="n">
        <f aca="false">C789*1000000/dt_s+J789/2</f>
        <v>18745.949645712</v>
      </c>
      <c r="M789" s="32" t="n">
        <f aca="false">C789*1000000/dt_s+K789/2</f>
        <v>18660.5732342448</v>
      </c>
    </row>
    <row r="790" customFormat="false" ht="15" hidden="false" customHeight="false" outlineLevel="0" collapsed="false">
      <c r="A790" s="24" t="n">
        <f aca="false">ROUND(A789+0.01,2)</f>
        <v>78.85</v>
      </c>
      <c r="B790" s="25" t="n">
        <f aca="false">INDEX(Bang_F,MATCH(A790,Bang_Z,1))+(A790-INDEX(Bang_Z,MATCH(A790,Bang_Z,1)))*(INDEX(Bang_F,MATCH(A790,Bang_Z,1)+1)-INDEX(Bang_F,MATCH(A790,Bang_Z,1)))</f>
        <v>8.352</v>
      </c>
      <c r="C790" s="25" t="n">
        <f aca="false">INDEX(Bang_W,MATCH(A790,Bang_Z,1))+(A790-INDEX(Bang_Z,MATCH(A790,Bang_Z,1)))*(INDEX(Bang_F,MATCH(A790,Bang_Z,1))+B790)/2</f>
        <v>66.71635</v>
      </c>
      <c r="D790" s="26" t="n">
        <f aca="false">MAX(A790-TC_Z,0)</f>
        <v>4.14999999999999</v>
      </c>
      <c r="E790" s="27" t="n">
        <f aca="false">1-0.2*(TC_xmb+(TC_n-1)*TC_xmt)*D790/(TC_n*TC_b)</f>
        <v>0.834768518518519</v>
      </c>
      <c r="F790" s="28" t="n">
        <f aca="false">TC_s*E790*TC_m*TC_n*TC_b*SQRT(2*g_)*D790^1.5</f>
        <v>303.846315059475</v>
      </c>
      <c r="G790" s="29" t="n">
        <f aca="false">MAX(A790-SC_Z,0)</f>
        <v>7.84999999999999</v>
      </c>
      <c r="H790" s="30" t="n">
        <f aca="false">1-0.2*(SC_xmb+(SC_n-1)*SC_xmt)*G790/(SC_n*SC_b)</f>
        <v>0.7802</v>
      </c>
      <c r="I790" s="31" t="n">
        <f aca="false">SC_s*H790*SC_m*SC_n*SC_b*SQRT(2*g_)*G790^1.5</f>
        <v>171.018247111963</v>
      </c>
      <c r="J790" s="32" t="n">
        <f aca="false">F790+I790</f>
        <v>474.864562171437</v>
      </c>
      <c r="K790" s="32" t="n">
        <f aca="false">F790</f>
        <v>303.846315059475</v>
      </c>
      <c r="L790" s="32" t="n">
        <f aca="false">C790*1000000/dt_s+J790/2</f>
        <v>18769.7517255302</v>
      </c>
      <c r="M790" s="32" t="n">
        <f aca="false">C790*1000000/dt_s+K790/2</f>
        <v>18684.2426019742</v>
      </c>
    </row>
    <row r="791" customFormat="false" ht="15" hidden="false" customHeight="false" outlineLevel="0" collapsed="false">
      <c r="A791" s="24" t="n">
        <f aca="false">ROUND(A790+0.01,2)</f>
        <v>78.86</v>
      </c>
      <c r="B791" s="25" t="n">
        <f aca="false">INDEX(Bang_F,MATCH(A791,Bang_Z,1))+(A791-INDEX(Bang_Z,MATCH(A791,Bang_Z,1)))*(INDEX(Bang_F,MATCH(A791,Bang_Z,1)+1)-INDEX(Bang_F,MATCH(A791,Bang_Z,1)))</f>
        <v>8.3572</v>
      </c>
      <c r="C791" s="25" t="n">
        <f aca="false">INDEX(Bang_W,MATCH(A791,Bang_Z,1))+(A791-INDEX(Bang_Z,MATCH(A791,Bang_Z,1)))*(INDEX(Bang_F,MATCH(A791,Bang_Z,1))+B791)/2</f>
        <v>66.799896</v>
      </c>
      <c r="D791" s="26" t="n">
        <f aca="false">MAX(A791-TC_Z,0)</f>
        <v>4.16</v>
      </c>
      <c r="E791" s="27" t="n">
        <f aca="false">1-0.2*(TC_xmb+(TC_n-1)*TC_xmt)*D791/(TC_n*TC_b)</f>
        <v>0.83437037037037</v>
      </c>
      <c r="F791" s="28" t="n">
        <f aca="false">TC_s*E791*TC_m*TC_n*TC_b*SQRT(2*g_)*D791^1.5</f>
        <v>304.79977051907</v>
      </c>
      <c r="G791" s="29" t="n">
        <f aca="false">MAX(A791-SC_Z,0)</f>
        <v>7.86</v>
      </c>
      <c r="H791" s="30" t="n">
        <f aca="false">1-0.2*(SC_xmb+(SC_n-1)*SC_xmt)*G791/(SC_n*SC_b)</f>
        <v>0.77992</v>
      </c>
      <c r="I791" s="31" t="n">
        <f aca="false">SC_s*H791*SC_m*SC_n*SC_b*SQRT(2*g_)*G791^1.5</f>
        <v>171.283644877877</v>
      </c>
      <c r="J791" s="32" t="n">
        <f aca="false">F791+I791</f>
        <v>476.083415396947</v>
      </c>
      <c r="K791" s="32" t="n">
        <f aca="false">F791</f>
        <v>304.79977051907</v>
      </c>
      <c r="L791" s="32" t="n">
        <f aca="false">C791*1000000/dt_s+J791/2</f>
        <v>18793.5683743651</v>
      </c>
      <c r="M791" s="32" t="n">
        <f aca="false">C791*1000000/dt_s+K791/2</f>
        <v>18707.9265519262</v>
      </c>
    </row>
    <row r="792" customFormat="false" ht="15" hidden="false" customHeight="false" outlineLevel="0" collapsed="false">
      <c r="A792" s="24" t="n">
        <f aca="false">ROUND(A791+0.01,2)</f>
        <v>78.87</v>
      </c>
      <c r="B792" s="25" t="n">
        <f aca="false">INDEX(Bang_F,MATCH(A792,Bang_Z,1))+(A792-INDEX(Bang_Z,MATCH(A792,Bang_Z,1)))*(INDEX(Bang_F,MATCH(A792,Bang_Z,1)+1)-INDEX(Bang_F,MATCH(A792,Bang_Z,1)))</f>
        <v>8.3624</v>
      </c>
      <c r="C792" s="25" t="n">
        <f aca="false">INDEX(Bang_W,MATCH(A792,Bang_Z,1))+(A792-INDEX(Bang_Z,MATCH(A792,Bang_Z,1)))*(INDEX(Bang_F,MATCH(A792,Bang_Z,1))+B792)/2</f>
        <v>66.883494</v>
      </c>
      <c r="D792" s="26" t="n">
        <f aca="false">MAX(A792-TC_Z,0)</f>
        <v>4.17</v>
      </c>
      <c r="E792" s="27" t="n">
        <f aca="false">1-0.2*(TC_xmb+(TC_n-1)*TC_xmt)*D792/(TC_n*TC_b)</f>
        <v>0.833972222222222</v>
      </c>
      <c r="F792" s="28" t="n">
        <f aca="false">TC_s*E792*TC_m*TC_n*TC_b*SQRT(2*g_)*D792^1.5</f>
        <v>305.753498051852</v>
      </c>
      <c r="G792" s="29" t="n">
        <f aca="false">MAX(A792-SC_Z,0)</f>
        <v>7.87</v>
      </c>
      <c r="H792" s="30" t="n">
        <f aca="false">1-0.2*(SC_xmb+(SC_n-1)*SC_xmt)*G792/(SC_n*SC_b)</f>
        <v>0.77964</v>
      </c>
      <c r="I792" s="31" t="n">
        <f aca="false">SC_s*H792*SC_m*SC_n*SC_b*SQRT(2*g_)*G792^1.5</f>
        <v>171.549015875841</v>
      </c>
      <c r="J792" s="32" t="n">
        <f aca="false">F792+I792</f>
        <v>477.302513927693</v>
      </c>
      <c r="K792" s="32" t="n">
        <f aca="false">F792</f>
        <v>305.753498051852</v>
      </c>
      <c r="L792" s="32" t="n">
        <f aca="false">C792*1000000/dt_s+J792/2</f>
        <v>18817.3995902972</v>
      </c>
      <c r="M792" s="32" t="n">
        <f aca="false">C792*1000000/dt_s+K792/2</f>
        <v>18731.6250823593</v>
      </c>
    </row>
    <row r="793" customFormat="false" ht="15" hidden="false" customHeight="false" outlineLevel="0" collapsed="false">
      <c r="A793" s="24" t="n">
        <f aca="false">ROUND(A792+0.01,2)</f>
        <v>78.88</v>
      </c>
      <c r="B793" s="25" t="n">
        <f aca="false">INDEX(Bang_F,MATCH(A793,Bang_Z,1))+(A793-INDEX(Bang_Z,MATCH(A793,Bang_Z,1)))*(INDEX(Bang_F,MATCH(A793,Bang_Z,1)+1)-INDEX(Bang_F,MATCH(A793,Bang_Z,1)))</f>
        <v>8.3676</v>
      </c>
      <c r="C793" s="25" t="n">
        <f aca="false">INDEX(Bang_W,MATCH(A793,Bang_Z,1))+(A793-INDEX(Bang_Z,MATCH(A793,Bang_Z,1)))*(INDEX(Bang_F,MATCH(A793,Bang_Z,1))+B793)/2</f>
        <v>66.967144</v>
      </c>
      <c r="D793" s="26" t="n">
        <f aca="false">MAX(A793-TC_Z,0)</f>
        <v>4.17999999999999</v>
      </c>
      <c r="E793" s="27" t="n">
        <f aca="false">1-0.2*(TC_xmb+(TC_n-1)*TC_xmt)*D793/(TC_n*TC_b)</f>
        <v>0.833574074074074</v>
      </c>
      <c r="F793" s="28" t="n">
        <f aca="false">TC_s*E793*TC_m*TC_n*TC_b*SQRT(2*g_)*D793^1.5</f>
        <v>306.707494183476</v>
      </c>
      <c r="G793" s="29" t="n">
        <f aca="false">MAX(A793-SC_Z,0)</f>
        <v>7.88</v>
      </c>
      <c r="H793" s="30" t="n">
        <f aca="false">1-0.2*(SC_xmb+(SC_n-1)*SC_xmt)*G793/(SC_n*SC_b)</f>
        <v>0.77936</v>
      </c>
      <c r="I793" s="31" t="n">
        <f aca="false">SC_s*H793*SC_m*SC_n*SC_b*SQRT(2*g_)*G793^1.5</f>
        <v>171.814359749843</v>
      </c>
      <c r="J793" s="32" t="n">
        <f aca="false">F793+I793</f>
        <v>478.521853933319</v>
      </c>
      <c r="K793" s="32" t="n">
        <f aca="false">F793</f>
        <v>306.707494183476</v>
      </c>
      <c r="L793" s="32" t="n">
        <f aca="false">C793*1000000/dt_s+J793/2</f>
        <v>18841.2453714111</v>
      </c>
      <c r="M793" s="32" t="n">
        <f aca="false">C793*1000000/dt_s+K793/2</f>
        <v>18755.3381915362</v>
      </c>
    </row>
    <row r="794" customFormat="false" ht="15" hidden="false" customHeight="false" outlineLevel="0" collapsed="false">
      <c r="A794" s="24" t="n">
        <f aca="false">ROUND(A793+0.01,2)</f>
        <v>78.89</v>
      </c>
      <c r="B794" s="25" t="n">
        <f aca="false">INDEX(Bang_F,MATCH(A794,Bang_Z,1))+(A794-INDEX(Bang_Z,MATCH(A794,Bang_Z,1)))*(INDEX(Bang_F,MATCH(A794,Bang_Z,1)+1)-INDEX(Bang_F,MATCH(A794,Bang_Z,1)))</f>
        <v>8.3728</v>
      </c>
      <c r="C794" s="25" t="n">
        <f aca="false">INDEX(Bang_W,MATCH(A794,Bang_Z,1))+(A794-INDEX(Bang_Z,MATCH(A794,Bang_Z,1)))*(INDEX(Bang_F,MATCH(A794,Bang_Z,1))+B794)/2</f>
        <v>67.050846</v>
      </c>
      <c r="D794" s="26" t="n">
        <f aca="false">MAX(A794-TC_Z,0)</f>
        <v>4.19</v>
      </c>
      <c r="E794" s="27" t="n">
        <f aca="false">1-0.2*(TC_xmb+(TC_n-1)*TC_xmt)*D794/(TC_n*TC_b)</f>
        <v>0.833175925925926</v>
      </c>
      <c r="F794" s="28" t="n">
        <f aca="false">TC_s*E794*TC_m*TC_n*TC_b*SQRT(2*g_)*D794^1.5</f>
        <v>307.661755448305</v>
      </c>
      <c r="G794" s="29" t="n">
        <f aca="false">MAX(A794-SC_Z,0)</f>
        <v>7.89</v>
      </c>
      <c r="H794" s="30" t="n">
        <f aca="false">1-0.2*(SC_xmb+(SC_n-1)*SC_xmt)*G794/(SC_n*SC_b)</f>
        <v>0.77908</v>
      </c>
      <c r="I794" s="31" t="n">
        <f aca="false">SC_s*H794*SC_m*SC_n*SC_b*SQRT(2*g_)*G794^1.5</f>
        <v>172.079676144316</v>
      </c>
      <c r="J794" s="32" t="n">
        <f aca="false">F794+I794</f>
        <v>479.741431592622</v>
      </c>
      <c r="K794" s="32" t="n">
        <f aca="false">F794</f>
        <v>307.661755448305</v>
      </c>
      <c r="L794" s="32" t="n">
        <f aca="false">C794*1000000/dt_s+J794/2</f>
        <v>18865.1057157963</v>
      </c>
      <c r="M794" s="32" t="n">
        <f aca="false">C794*1000000/dt_s+K794/2</f>
        <v>18779.0658777242</v>
      </c>
    </row>
    <row r="795" customFormat="false" ht="15" hidden="false" customHeight="false" outlineLevel="0" collapsed="false">
      <c r="A795" s="24" t="n">
        <f aca="false">ROUND(A794+0.01,2)</f>
        <v>78.9</v>
      </c>
      <c r="B795" s="25" t="n">
        <f aca="false">INDEX(Bang_F,MATCH(A795,Bang_Z,1))+(A795-INDEX(Bang_Z,MATCH(A795,Bang_Z,1)))*(INDEX(Bang_F,MATCH(A795,Bang_Z,1)+1)-INDEX(Bang_F,MATCH(A795,Bang_Z,1)))</f>
        <v>8.378</v>
      </c>
      <c r="C795" s="25" t="n">
        <f aca="false">INDEX(Bang_W,MATCH(A795,Bang_Z,1))+(A795-INDEX(Bang_Z,MATCH(A795,Bang_Z,1)))*(INDEX(Bang_F,MATCH(A795,Bang_Z,1))+B795)/2</f>
        <v>67.1346000000001</v>
      </c>
      <c r="D795" s="26" t="n">
        <f aca="false">MAX(A795-TC_Z,0)</f>
        <v>4.2</v>
      </c>
      <c r="E795" s="27" t="n">
        <f aca="false">1-0.2*(TC_xmb+(TC_n-1)*TC_xmt)*D795/(TC_n*TC_b)</f>
        <v>0.832777777777778</v>
      </c>
      <c r="F795" s="28" t="n">
        <f aca="false">TC_s*E795*TC_m*TC_n*TC_b*SQRT(2*g_)*D795^1.5</f>
        <v>308.61627838936</v>
      </c>
      <c r="G795" s="29" t="n">
        <f aca="false">MAX(A795-SC_Z,0)</f>
        <v>7.90000000000001</v>
      </c>
      <c r="H795" s="30" t="n">
        <f aca="false">1-0.2*(SC_xmb+(SC_n-1)*SC_xmt)*G795/(SC_n*SC_b)</f>
        <v>0.7788</v>
      </c>
      <c r="I795" s="31" t="n">
        <f aca="false">SC_s*H795*SC_m*SC_n*SC_b*SQRT(2*g_)*G795^1.5</f>
        <v>172.344964704131</v>
      </c>
      <c r="J795" s="32" t="n">
        <f aca="false">F795+I795</f>
        <v>480.961243093491</v>
      </c>
      <c r="K795" s="32" t="n">
        <f aca="false">F795</f>
        <v>308.61627838936</v>
      </c>
      <c r="L795" s="32" t="n">
        <f aca="false">C795*1000000/dt_s+J795/2</f>
        <v>18888.9806215468</v>
      </c>
      <c r="M795" s="32" t="n">
        <f aca="false">C795*1000000/dt_s+K795/2</f>
        <v>18802.8081391947</v>
      </c>
    </row>
    <row r="796" customFormat="false" ht="15" hidden="false" customHeight="false" outlineLevel="0" collapsed="false">
      <c r="A796" s="24" t="n">
        <f aca="false">ROUND(A795+0.01,2)</f>
        <v>78.91</v>
      </c>
      <c r="B796" s="25" t="n">
        <f aca="false">INDEX(Bang_F,MATCH(A796,Bang_Z,1))+(A796-INDEX(Bang_Z,MATCH(A796,Bang_Z,1)))*(INDEX(Bang_F,MATCH(A796,Bang_Z,1)+1)-INDEX(Bang_F,MATCH(A796,Bang_Z,1)))</f>
        <v>8.3832</v>
      </c>
      <c r="C796" s="25" t="n">
        <f aca="false">INDEX(Bang_W,MATCH(A796,Bang_Z,1))+(A796-INDEX(Bang_Z,MATCH(A796,Bang_Z,1)))*(INDEX(Bang_F,MATCH(A796,Bang_Z,1))+B796)/2</f>
        <v>67.218406</v>
      </c>
      <c r="D796" s="26" t="n">
        <f aca="false">MAX(A796-TC_Z,0)</f>
        <v>4.20999999999999</v>
      </c>
      <c r="E796" s="27" t="n">
        <f aca="false">1-0.2*(TC_xmb+(TC_n-1)*TC_xmt)*D796/(TC_n*TC_b)</f>
        <v>0.83237962962963</v>
      </c>
      <c r="F796" s="28" t="n">
        <f aca="false">TC_s*E796*TC_m*TC_n*TC_b*SQRT(2*g_)*D796^1.5</f>
        <v>309.571059558272</v>
      </c>
      <c r="G796" s="29" t="n">
        <f aca="false">MAX(A796-SC_Z,0)</f>
        <v>7.91</v>
      </c>
      <c r="H796" s="30" t="n">
        <f aca="false">1-0.2*(SC_xmb+(SC_n-1)*SC_xmt)*G796/(SC_n*SC_b)</f>
        <v>0.77852</v>
      </c>
      <c r="I796" s="31" t="n">
        <f aca="false">SC_s*H796*SC_m*SC_n*SC_b*SQRT(2*g_)*G796^1.5</f>
        <v>172.610225074597</v>
      </c>
      <c r="J796" s="32" t="n">
        <f aca="false">F796+I796</f>
        <v>482.18128463287</v>
      </c>
      <c r="K796" s="32" t="n">
        <f aca="false">F796</f>
        <v>309.571059558272</v>
      </c>
      <c r="L796" s="32" t="n">
        <f aca="false">C796*1000000/dt_s+J796/2</f>
        <v>18912.8700867609</v>
      </c>
      <c r="M796" s="32" t="n">
        <f aca="false">C796*1000000/dt_s+K796/2</f>
        <v>18826.5649742236</v>
      </c>
    </row>
    <row r="797" customFormat="false" ht="15" hidden="false" customHeight="false" outlineLevel="0" collapsed="false">
      <c r="A797" s="24" t="n">
        <f aca="false">ROUND(A796+0.01,2)</f>
        <v>78.92</v>
      </c>
      <c r="B797" s="25" t="n">
        <f aca="false">INDEX(Bang_F,MATCH(A797,Bang_Z,1))+(A797-INDEX(Bang_Z,MATCH(A797,Bang_Z,1)))*(INDEX(Bang_F,MATCH(A797,Bang_Z,1)+1)-INDEX(Bang_F,MATCH(A797,Bang_Z,1)))</f>
        <v>8.3884</v>
      </c>
      <c r="C797" s="25" t="n">
        <f aca="false">INDEX(Bang_W,MATCH(A797,Bang_Z,1))+(A797-INDEX(Bang_Z,MATCH(A797,Bang_Z,1)))*(INDEX(Bang_F,MATCH(A797,Bang_Z,1))+B797)/2</f>
        <v>67.302264</v>
      </c>
      <c r="D797" s="26" t="n">
        <f aca="false">MAX(A797-TC_Z,0)</f>
        <v>4.22</v>
      </c>
      <c r="E797" s="27" t="n">
        <f aca="false">1-0.2*(TC_xmb+(TC_n-1)*TC_xmt)*D797/(TC_n*TC_b)</f>
        <v>0.831981481481482</v>
      </c>
      <c r="F797" s="28" t="n">
        <f aca="false">TC_s*E797*TC_m*TC_n*TC_b*SQRT(2*g_)*D797^1.5</f>
        <v>310.526095515247</v>
      </c>
      <c r="G797" s="29" t="n">
        <f aca="false">MAX(A797-SC_Z,0)</f>
        <v>7.92</v>
      </c>
      <c r="H797" s="30" t="n">
        <f aca="false">1-0.2*(SC_xmb+(SC_n-1)*SC_xmt)*G797/(SC_n*SC_b)</f>
        <v>0.77824</v>
      </c>
      <c r="I797" s="31" t="n">
        <f aca="false">SC_s*H797*SC_m*SC_n*SC_b*SQRT(2*g_)*G797^1.5</f>
        <v>172.875456901462</v>
      </c>
      <c r="J797" s="32" t="n">
        <f aca="false">F797+I797</f>
        <v>483.401552416709</v>
      </c>
      <c r="K797" s="32" t="n">
        <f aca="false">F797</f>
        <v>310.526095515247</v>
      </c>
      <c r="L797" s="32" t="n">
        <f aca="false">C797*1000000/dt_s+J797/2</f>
        <v>18936.7741095417</v>
      </c>
      <c r="M797" s="32" t="n">
        <f aca="false">C797*1000000/dt_s+K797/2</f>
        <v>18850.336381091</v>
      </c>
    </row>
    <row r="798" customFormat="false" ht="15" hidden="false" customHeight="false" outlineLevel="0" collapsed="false">
      <c r="A798" s="24" t="n">
        <f aca="false">ROUND(A797+0.01,2)</f>
        <v>78.93</v>
      </c>
      <c r="B798" s="25" t="n">
        <f aca="false">INDEX(Bang_F,MATCH(A798,Bang_Z,1))+(A798-INDEX(Bang_Z,MATCH(A798,Bang_Z,1)))*(INDEX(Bang_F,MATCH(A798,Bang_Z,1)+1)-INDEX(Bang_F,MATCH(A798,Bang_Z,1)))</f>
        <v>8.3936</v>
      </c>
      <c r="C798" s="25" t="n">
        <f aca="false">INDEX(Bang_W,MATCH(A798,Bang_Z,1))+(A798-INDEX(Bang_Z,MATCH(A798,Bang_Z,1)))*(INDEX(Bang_F,MATCH(A798,Bang_Z,1))+B798)/2</f>
        <v>67.3861740000001</v>
      </c>
      <c r="D798" s="26" t="n">
        <f aca="false">MAX(A798-TC_Z,0)</f>
        <v>4.23</v>
      </c>
      <c r="E798" s="27" t="n">
        <f aca="false">1-0.2*(TC_xmb+(TC_n-1)*TC_xmt)*D798/(TC_n*TC_b)</f>
        <v>0.831583333333333</v>
      </c>
      <c r="F798" s="28" t="n">
        <f aca="false">TC_s*E798*TC_m*TC_n*TC_b*SQRT(2*g_)*D798^1.5</f>
        <v>311.481382829004</v>
      </c>
      <c r="G798" s="29" t="n">
        <f aca="false">MAX(A798-SC_Z,0)</f>
        <v>7.93000000000001</v>
      </c>
      <c r="H798" s="30" t="n">
        <f aca="false">1-0.2*(SC_xmb+(SC_n-1)*SC_xmt)*G798/(SC_n*SC_b)</f>
        <v>0.77796</v>
      </c>
      <c r="I798" s="31" t="n">
        <f aca="false">SC_s*H798*SC_m*SC_n*SC_b*SQRT(2*g_)*G798^1.5</f>
        <v>173.140659830909</v>
      </c>
      <c r="J798" s="32" t="n">
        <f aca="false">F798+I798</f>
        <v>484.622042659912</v>
      </c>
      <c r="K798" s="32" t="n">
        <f aca="false">F798</f>
        <v>311.481382829004</v>
      </c>
      <c r="L798" s="32" t="n">
        <f aca="false">C798*1000000/dt_s+J798/2</f>
        <v>18960.6926879966</v>
      </c>
      <c r="M798" s="32" t="n">
        <f aca="false">C798*1000000/dt_s+K798/2</f>
        <v>18874.1223580812</v>
      </c>
    </row>
    <row r="799" customFormat="false" ht="15" hidden="false" customHeight="false" outlineLevel="0" collapsed="false">
      <c r="A799" s="24" t="n">
        <f aca="false">ROUND(A798+0.01,2)</f>
        <v>78.94</v>
      </c>
      <c r="B799" s="25" t="n">
        <f aca="false">INDEX(Bang_F,MATCH(A799,Bang_Z,1))+(A799-INDEX(Bang_Z,MATCH(A799,Bang_Z,1)))*(INDEX(Bang_F,MATCH(A799,Bang_Z,1)+1)-INDEX(Bang_F,MATCH(A799,Bang_Z,1)))</f>
        <v>8.3988</v>
      </c>
      <c r="C799" s="25" t="n">
        <f aca="false">INDEX(Bang_W,MATCH(A799,Bang_Z,1))+(A799-INDEX(Bang_Z,MATCH(A799,Bang_Z,1)))*(INDEX(Bang_F,MATCH(A799,Bang_Z,1))+B799)/2</f>
        <v>67.470136</v>
      </c>
      <c r="D799" s="26" t="n">
        <f aca="false">MAX(A799-TC_Z,0)</f>
        <v>4.24</v>
      </c>
      <c r="E799" s="27" t="n">
        <f aca="false">1-0.2*(TC_xmb+(TC_n-1)*TC_xmt)*D799/(TC_n*TC_b)</f>
        <v>0.831185185185185</v>
      </c>
      <c r="F799" s="28" t="n">
        <f aca="false">TC_s*E799*TC_m*TC_n*TC_b*SQRT(2*g_)*D799^1.5</f>
        <v>312.436918076735</v>
      </c>
      <c r="G799" s="29" t="n">
        <f aca="false">MAX(A799-SC_Z,0)</f>
        <v>7.94</v>
      </c>
      <c r="H799" s="30" t="n">
        <f aca="false">1-0.2*(SC_xmb+(SC_n-1)*SC_xmt)*G799/(SC_n*SC_b)</f>
        <v>0.77768</v>
      </c>
      <c r="I799" s="31" t="n">
        <f aca="false">SC_s*H799*SC_m*SC_n*SC_b*SQRT(2*g_)*G799^1.5</f>
        <v>173.405833509555</v>
      </c>
      <c r="J799" s="32" t="n">
        <f aca="false">F799+I799</f>
        <v>485.842751586289</v>
      </c>
      <c r="K799" s="32" t="n">
        <f aca="false">F799</f>
        <v>312.436918076735</v>
      </c>
      <c r="L799" s="32" t="n">
        <f aca="false">C799*1000000/dt_s+J799/2</f>
        <v>18984.6258202376</v>
      </c>
      <c r="M799" s="32" t="n">
        <f aca="false">C799*1000000/dt_s+K799/2</f>
        <v>18897.9229034828</v>
      </c>
    </row>
    <row r="800" customFormat="false" ht="15" hidden="false" customHeight="false" outlineLevel="0" collapsed="false">
      <c r="A800" s="24" t="n">
        <f aca="false">ROUND(A799+0.01,2)</f>
        <v>78.95</v>
      </c>
      <c r="B800" s="25" t="n">
        <f aca="false">INDEX(Bang_F,MATCH(A800,Bang_Z,1))+(A800-INDEX(Bang_Z,MATCH(A800,Bang_Z,1)))*(INDEX(Bang_F,MATCH(A800,Bang_Z,1)+1)-INDEX(Bang_F,MATCH(A800,Bang_Z,1)))</f>
        <v>8.404</v>
      </c>
      <c r="C800" s="25" t="n">
        <f aca="false">INDEX(Bang_W,MATCH(A800,Bang_Z,1))+(A800-INDEX(Bang_Z,MATCH(A800,Bang_Z,1)))*(INDEX(Bang_F,MATCH(A800,Bang_Z,1))+B800)/2</f>
        <v>67.55415</v>
      </c>
      <c r="D800" s="26" t="n">
        <f aca="false">MAX(A800-TC_Z,0)</f>
        <v>4.25</v>
      </c>
      <c r="E800" s="27" t="n">
        <f aca="false">1-0.2*(TC_xmb+(TC_n-1)*TC_xmt)*D800/(TC_n*TC_b)</f>
        <v>0.830787037037037</v>
      </c>
      <c r="F800" s="28" t="n">
        <f aca="false">TC_s*E800*TC_m*TC_n*TC_b*SQRT(2*g_)*D800^1.5</f>
        <v>313.392697844065</v>
      </c>
      <c r="G800" s="29" t="n">
        <f aca="false">MAX(A800-SC_Z,0)</f>
        <v>7.95</v>
      </c>
      <c r="H800" s="30" t="n">
        <f aca="false">1-0.2*(SC_xmb+(SC_n-1)*SC_xmt)*G800/(SC_n*SC_b)</f>
        <v>0.7774</v>
      </c>
      <c r="I800" s="31" t="n">
        <f aca="false">SC_s*H800*SC_m*SC_n*SC_b*SQRT(2*g_)*G800^1.5</f>
        <v>173.670977584454</v>
      </c>
      <c r="J800" s="32" t="n">
        <f aca="false">F800+I800</f>
        <v>487.063675428519</v>
      </c>
      <c r="K800" s="32" t="n">
        <f aca="false">F800</f>
        <v>313.392697844065</v>
      </c>
      <c r="L800" s="32" t="n">
        <f aca="false">C800*1000000/dt_s+J800/2</f>
        <v>19008.5735043809</v>
      </c>
      <c r="M800" s="32" t="n">
        <f aca="false">C800*1000000/dt_s+K800/2</f>
        <v>18921.7380155887</v>
      </c>
    </row>
    <row r="801" customFormat="false" ht="15" hidden="false" customHeight="false" outlineLevel="0" collapsed="false">
      <c r="A801" s="24" t="n">
        <f aca="false">ROUND(A800+0.01,2)</f>
        <v>78.96</v>
      </c>
      <c r="B801" s="25" t="n">
        <f aca="false">INDEX(Bang_F,MATCH(A801,Bang_Z,1))+(A801-INDEX(Bang_Z,MATCH(A801,Bang_Z,1)))*(INDEX(Bang_F,MATCH(A801,Bang_Z,1)+1)-INDEX(Bang_F,MATCH(A801,Bang_Z,1)))</f>
        <v>8.4092</v>
      </c>
      <c r="C801" s="25" t="n">
        <f aca="false">INDEX(Bang_W,MATCH(A801,Bang_Z,1))+(A801-INDEX(Bang_Z,MATCH(A801,Bang_Z,1)))*(INDEX(Bang_F,MATCH(A801,Bang_Z,1))+B801)/2</f>
        <v>67.6382159999999</v>
      </c>
      <c r="D801" s="26" t="n">
        <f aca="false">MAX(A801-TC_Z,0)</f>
        <v>4.25999999999999</v>
      </c>
      <c r="E801" s="27" t="n">
        <f aca="false">1-0.2*(TC_xmb+(TC_n-1)*TC_xmt)*D801/(TC_n*TC_b)</f>
        <v>0.830388888888889</v>
      </c>
      <c r="F801" s="28" t="n">
        <f aca="false">TC_s*E801*TC_m*TC_n*TC_b*SQRT(2*g_)*D801^1.5</f>
        <v>314.348718724999</v>
      </c>
      <c r="G801" s="29" t="n">
        <f aca="false">MAX(A801-SC_Z,0)</f>
        <v>7.95999999999999</v>
      </c>
      <c r="H801" s="30" t="n">
        <f aca="false">1-0.2*(SC_xmb+(SC_n-1)*SC_xmt)*G801/(SC_n*SC_b)</f>
        <v>0.77712</v>
      </c>
      <c r="I801" s="31" t="n">
        <f aca="false">SC_s*H801*SC_m*SC_n*SC_b*SQRT(2*g_)*G801^1.5</f>
        <v>173.936091703089</v>
      </c>
      <c r="J801" s="32" t="n">
        <f aca="false">F801+I801</f>
        <v>488.284810428087</v>
      </c>
      <c r="K801" s="32" t="n">
        <f aca="false">F801</f>
        <v>314.348718724999</v>
      </c>
      <c r="L801" s="32" t="n">
        <f aca="false">C801*1000000/dt_s+J801/2</f>
        <v>19032.5357385474</v>
      </c>
      <c r="M801" s="32" t="n">
        <f aca="false">C801*1000000/dt_s+K801/2</f>
        <v>18945.5676926958</v>
      </c>
    </row>
    <row r="802" customFormat="false" ht="15" hidden="false" customHeight="false" outlineLevel="0" collapsed="false">
      <c r="A802" s="24" t="n">
        <f aca="false">ROUND(A801+0.01,2)</f>
        <v>78.97</v>
      </c>
      <c r="B802" s="25" t="n">
        <f aca="false">INDEX(Bang_F,MATCH(A802,Bang_Z,1))+(A802-INDEX(Bang_Z,MATCH(A802,Bang_Z,1)))*(INDEX(Bang_F,MATCH(A802,Bang_Z,1)+1)-INDEX(Bang_F,MATCH(A802,Bang_Z,1)))</f>
        <v>8.4144</v>
      </c>
      <c r="C802" s="25" t="n">
        <f aca="false">INDEX(Bang_W,MATCH(A802,Bang_Z,1))+(A802-INDEX(Bang_Z,MATCH(A802,Bang_Z,1)))*(INDEX(Bang_F,MATCH(A802,Bang_Z,1))+B802)/2</f>
        <v>67.722334</v>
      </c>
      <c r="D802" s="26" t="n">
        <f aca="false">MAX(A802-TC_Z,0)</f>
        <v>4.27</v>
      </c>
      <c r="E802" s="27" t="n">
        <f aca="false">1-0.2*(TC_xmb+(TC_n-1)*TC_xmt)*D802/(TC_n*TC_b)</f>
        <v>0.829990740740741</v>
      </c>
      <c r="F802" s="28" t="n">
        <f aca="false">TC_s*E802*TC_m*TC_n*TC_b*SQRT(2*g_)*D802^1.5</f>
        <v>315.304977321881</v>
      </c>
      <c r="G802" s="29" t="n">
        <f aca="false">MAX(A802-SC_Z,0)</f>
        <v>7.97</v>
      </c>
      <c r="H802" s="30" t="n">
        <f aca="false">1-0.2*(SC_xmb+(SC_n-1)*SC_xmt)*G802/(SC_n*SC_b)</f>
        <v>0.77684</v>
      </c>
      <c r="I802" s="31" t="n">
        <f aca="false">SC_s*H802*SC_m*SC_n*SC_b*SQRT(2*g_)*G802^1.5</f>
        <v>174.201175513376</v>
      </c>
      <c r="J802" s="32" t="n">
        <f aca="false">F802+I802</f>
        <v>489.506152835257</v>
      </c>
      <c r="K802" s="32" t="n">
        <f aca="false">F802</f>
        <v>315.304977321881</v>
      </c>
      <c r="L802" s="32" t="n">
        <f aca="false">C802*1000000/dt_s+J802/2</f>
        <v>19056.5125208621</v>
      </c>
      <c r="M802" s="32" t="n">
        <f aca="false">C802*1000000/dt_s+K802/2</f>
        <v>18969.4119331054</v>
      </c>
    </row>
    <row r="803" customFormat="false" ht="15" hidden="false" customHeight="false" outlineLevel="0" collapsed="false">
      <c r="A803" s="24" t="n">
        <f aca="false">ROUND(A802+0.01,2)</f>
        <v>78.98</v>
      </c>
      <c r="B803" s="25" t="n">
        <f aca="false">INDEX(Bang_F,MATCH(A803,Bang_Z,1))+(A803-INDEX(Bang_Z,MATCH(A803,Bang_Z,1)))*(INDEX(Bang_F,MATCH(A803,Bang_Z,1)+1)-INDEX(Bang_F,MATCH(A803,Bang_Z,1)))</f>
        <v>8.4196</v>
      </c>
      <c r="C803" s="25" t="n">
        <f aca="false">INDEX(Bang_W,MATCH(A803,Bang_Z,1))+(A803-INDEX(Bang_Z,MATCH(A803,Bang_Z,1)))*(INDEX(Bang_F,MATCH(A803,Bang_Z,1))+B803)/2</f>
        <v>67.806504</v>
      </c>
      <c r="D803" s="26" t="n">
        <f aca="false">MAX(A803-TC_Z,0)</f>
        <v>4.28</v>
      </c>
      <c r="E803" s="27" t="n">
        <f aca="false">1-0.2*(TC_xmb+(TC_n-1)*TC_xmt)*D803/(TC_n*TC_b)</f>
        <v>0.829592592592593</v>
      </c>
      <c r="F803" s="28" t="n">
        <f aca="false">TC_s*E803*TC_m*TC_n*TC_b*SQRT(2*g_)*D803^1.5</f>
        <v>316.261470245349</v>
      </c>
      <c r="G803" s="29" t="n">
        <f aca="false">MAX(A803-SC_Z,0)</f>
        <v>7.98</v>
      </c>
      <c r="H803" s="30" t="n">
        <f aca="false">1-0.2*(SC_xmb+(SC_n-1)*SC_xmt)*G803/(SC_n*SC_b)</f>
        <v>0.77656</v>
      </c>
      <c r="I803" s="31" t="n">
        <f aca="false">SC_s*H803*SC_m*SC_n*SC_b*SQRT(2*g_)*G803^1.5</f>
        <v>174.466228663662</v>
      </c>
      <c r="J803" s="32" t="n">
        <f aca="false">F803+I803</f>
        <v>490.727698909011</v>
      </c>
      <c r="K803" s="32" t="n">
        <f aca="false">F803</f>
        <v>316.261470245349</v>
      </c>
      <c r="L803" s="32" t="n">
        <f aca="false">C803*1000000/dt_s+J803/2</f>
        <v>19080.5038494545</v>
      </c>
      <c r="M803" s="32" t="n">
        <f aca="false">C803*1000000/dt_s+K803/2</f>
        <v>18993.2707351227</v>
      </c>
    </row>
    <row r="804" customFormat="false" ht="15" hidden="false" customHeight="false" outlineLevel="0" collapsed="false">
      <c r="A804" s="24" t="n">
        <f aca="false">ROUND(A803+0.01,2)</f>
        <v>78.99</v>
      </c>
      <c r="B804" s="25" t="n">
        <f aca="false">INDEX(Bang_F,MATCH(A804,Bang_Z,1))+(A804-INDEX(Bang_Z,MATCH(A804,Bang_Z,1)))*(INDEX(Bang_F,MATCH(A804,Bang_Z,1)+1)-INDEX(Bang_F,MATCH(A804,Bang_Z,1)))</f>
        <v>8.4248</v>
      </c>
      <c r="C804" s="25" t="n">
        <f aca="false">INDEX(Bang_W,MATCH(A804,Bang_Z,1))+(A804-INDEX(Bang_Z,MATCH(A804,Bang_Z,1)))*(INDEX(Bang_F,MATCH(A804,Bang_Z,1))+B804)/2</f>
        <v>67.890726</v>
      </c>
      <c r="D804" s="26" t="n">
        <f aca="false">MAX(A804-TC_Z,0)</f>
        <v>4.28999999999999</v>
      </c>
      <c r="E804" s="27" t="n">
        <f aca="false">1-0.2*(TC_xmb+(TC_n-1)*TC_xmt)*D804/(TC_n*TC_b)</f>
        <v>0.829194444444445</v>
      </c>
      <c r="F804" s="28" t="n">
        <f aca="false">TC_s*E804*TC_m*TC_n*TC_b*SQRT(2*g_)*D804^1.5</f>
        <v>317.218194114286</v>
      </c>
      <c r="G804" s="29" t="n">
        <f aca="false">MAX(A804-SC_Z,0)</f>
        <v>7.99</v>
      </c>
      <c r="H804" s="30" t="n">
        <f aca="false">1-0.2*(SC_xmb+(SC_n-1)*SC_xmt)*G804/(SC_n*SC_b)</f>
        <v>0.77628</v>
      </c>
      <c r="I804" s="31" t="n">
        <f aca="false">SC_s*H804*SC_m*SC_n*SC_b*SQRT(2*g_)*G804^1.5</f>
        <v>174.731250802721</v>
      </c>
      <c r="J804" s="32" t="n">
        <f aca="false">F804+I804</f>
        <v>491.949444917007</v>
      </c>
      <c r="K804" s="32" t="n">
        <f aca="false">F804</f>
        <v>317.218194114286</v>
      </c>
      <c r="L804" s="32" t="n">
        <f aca="false">C804*1000000/dt_s+J804/2</f>
        <v>19104.5097224585</v>
      </c>
      <c r="M804" s="32" t="n">
        <f aca="false">C804*1000000/dt_s+K804/2</f>
        <v>19017.1440970571</v>
      </c>
    </row>
    <row r="805" customFormat="false" ht="15" hidden="false" customHeight="false" outlineLevel="0" collapsed="false">
      <c r="A805" s="24" t="n">
        <f aca="false">ROUND(A804+0.01,2)</f>
        <v>79</v>
      </c>
      <c r="B805" s="25" t="n">
        <f aca="false">INDEX(Bang_F,MATCH(A805,Bang_Z,1))+(A805-INDEX(Bang_Z,MATCH(A805,Bang_Z,1)))*(INDEX(Bang_F,MATCH(A805,Bang_Z,1)+1)-INDEX(Bang_F,MATCH(A805,Bang_Z,1)))</f>
        <v>8.43</v>
      </c>
      <c r="C805" s="25" t="n">
        <f aca="false">INDEX(Bang_W,MATCH(A805,Bang_Z,1))+(A805-INDEX(Bang_Z,MATCH(A805,Bang_Z,1)))*(INDEX(Bang_F,MATCH(A805,Bang_Z,1))+B805)/2</f>
        <v>67.975</v>
      </c>
      <c r="D805" s="26" t="n">
        <f aca="false">MAX(A805-TC_Z,0)</f>
        <v>4.3</v>
      </c>
      <c r="E805" s="27" t="n">
        <f aca="false">1-0.2*(TC_xmb+(TC_n-1)*TC_xmt)*D805/(TC_n*TC_b)</f>
        <v>0.828796296296296</v>
      </c>
      <c r="F805" s="28" t="n">
        <f aca="false">TC_s*E805*TC_m*TC_n*TC_b*SQRT(2*g_)*D805^1.5</f>
        <v>318.175145555788</v>
      </c>
      <c r="G805" s="29" t="n">
        <f aca="false">MAX(A805-SC_Z,0)</f>
        <v>8</v>
      </c>
      <c r="H805" s="30" t="n">
        <f aca="false">1-0.2*(SC_xmb+(SC_n-1)*SC_xmt)*G805/(SC_n*SC_b)</f>
        <v>0.776</v>
      </c>
      <c r="I805" s="31" t="n">
        <f aca="false">SC_s*H805*SC_m*SC_n*SC_b*SQRT(2*g_)*G805^1.5</f>
        <v>174.996241579755</v>
      </c>
      <c r="J805" s="32" t="n">
        <f aca="false">F805+I805</f>
        <v>493.171387135544</v>
      </c>
      <c r="K805" s="32" t="n">
        <f aca="false">F805</f>
        <v>318.175145555788</v>
      </c>
      <c r="L805" s="32" t="n">
        <f aca="false">C805*1000000/dt_s+J805/2</f>
        <v>19128.5301380122</v>
      </c>
      <c r="M805" s="32" t="n">
        <f aca="false">C805*1000000/dt_s+K805/2</f>
        <v>19041.0320172223</v>
      </c>
    </row>
    <row r="806" customFormat="false" ht="15" hidden="false" customHeight="false" outlineLevel="0" collapsed="false">
      <c r="A806" s="24" t="n">
        <f aca="false">ROUND(A805+0.01,2)</f>
        <v>79.01</v>
      </c>
      <c r="B806" s="25" t="n">
        <f aca="false">INDEX(Bang_F,MATCH(A806,Bang_Z,1))+(A806-INDEX(Bang_Z,MATCH(A806,Bang_Z,1)))*(INDEX(Bang_F,MATCH(A806,Bang_Z,1)+1)-INDEX(Bang_F,MATCH(A806,Bang_Z,1)))</f>
        <v>8.437</v>
      </c>
      <c r="C806" s="25" t="n">
        <f aca="false">INDEX(Bang_W,MATCH(A806,Bang_Z,1))+(A806-INDEX(Bang_Z,MATCH(A806,Bang_Z,1)))*(INDEX(Bang_F,MATCH(A806,Bang_Z,1))+B806)/2</f>
        <v>68.059335</v>
      </c>
      <c r="D806" s="26" t="n">
        <f aca="false">MAX(A806-TC_Z,0)</f>
        <v>4.31</v>
      </c>
      <c r="E806" s="27" t="n">
        <f aca="false">1-0.2*(TC_xmb+(TC_n-1)*TC_xmt)*D806/(TC_n*TC_b)</f>
        <v>0.828398148148148</v>
      </c>
      <c r="F806" s="28" t="n">
        <f aca="false">TC_s*E806*TC_m*TC_n*TC_b*SQRT(2*g_)*D806^1.5</f>
        <v>319.132321205108</v>
      </c>
      <c r="G806" s="29" t="n">
        <f aca="false">MAX(A806-SC_Z,0)</f>
        <v>8.01000000000001</v>
      </c>
      <c r="H806" s="30" t="n">
        <f aca="false">1-0.2*(SC_xmb+(SC_n-1)*SC_xmt)*G806/(SC_n*SC_b)</f>
        <v>0.77572</v>
      </c>
      <c r="I806" s="31" t="n">
        <f aca="false">SC_s*H806*SC_m*SC_n*SC_b*SQRT(2*g_)*G806^1.5</f>
        <v>175.261200644394</v>
      </c>
      <c r="J806" s="32" t="n">
        <f aca="false">F806+I806</f>
        <v>494.393521849502</v>
      </c>
      <c r="K806" s="32" t="n">
        <f aca="false">F806</f>
        <v>319.132321205108</v>
      </c>
      <c r="L806" s="32" t="n">
        <f aca="false">C806*1000000/dt_s+J806/2</f>
        <v>19152.5675942581</v>
      </c>
      <c r="M806" s="32" t="n">
        <f aca="false">C806*1000000/dt_s+K806/2</f>
        <v>19064.9369939359</v>
      </c>
    </row>
    <row r="807" customFormat="false" ht="15" hidden="false" customHeight="false" outlineLevel="0" collapsed="false">
      <c r="A807" s="24" t="n">
        <f aca="false">ROUND(A806+0.01,2)</f>
        <v>79.02</v>
      </c>
      <c r="B807" s="25" t="n">
        <f aca="false">INDEX(Bang_F,MATCH(A807,Bang_Z,1))+(A807-INDEX(Bang_Z,MATCH(A807,Bang_Z,1)))*(INDEX(Bang_F,MATCH(A807,Bang_Z,1)+1)-INDEX(Bang_F,MATCH(A807,Bang_Z,1)))</f>
        <v>8.444</v>
      </c>
      <c r="C807" s="25" t="n">
        <f aca="false">INDEX(Bang_W,MATCH(A807,Bang_Z,1))+(A807-INDEX(Bang_Z,MATCH(A807,Bang_Z,1)))*(INDEX(Bang_F,MATCH(A807,Bang_Z,1))+B807)/2</f>
        <v>68.14374</v>
      </c>
      <c r="D807" s="26" t="n">
        <f aca="false">MAX(A807-TC_Z,0)</f>
        <v>4.31999999999999</v>
      </c>
      <c r="E807" s="27" t="n">
        <f aca="false">1-0.2*(TC_xmb+(TC_n-1)*TC_xmt)*D807/(TC_n*TC_b)</f>
        <v>0.828</v>
      </c>
      <c r="F807" s="28" t="n">
        <f aca="false">TC_s*E807*TC_m*TC_n*TC_b*SQRT(2*g_)*D807^1.5</f>
        <v>320.089717705616</v>
      </c>
      <c r="G807" s="29" t="n">
        <f aca="false">MAX(A807-SC_Z,0)</f>
        <v>8.02</v>
      </c>
      <c r="H807" s="30" t="n">
        <f aca="false">1-0.2*(SC_xmb+(SC_n-1)*SC_xmt)*G807/(SC_n*SC_b)</f>
        <v>0.77544</v>
      </c>
      <c r="I807" s="31" t="n">
        <f aca="false">SC_s*H807*SC_m*SC_n*SC_b*SQRT(2*g_)*G807^1.5</f>
        <v>175.526127646691</v>
      </c>
      <c r="J807" s="32" t="n">
        <f aca="false">F807+I807</f>
        <v>495.615845352307</v>
      </c>
      <c r="K807" s="32" t="n">
        <f aca="false">F807</f>
        <v>320.089717705616</v>
      </c>
      <c r="L807" s="32" t="n">
        <f aca="false">C807*1000000/dt_s+J807/2</f>
        <v>19176.6245893428</v>
      </c>
      <c r="M807" s="32" t="n">
        <f aca="false">C807*1000000/dt_s+K807/2</f>
        <v>19088.8615255195</v>
      </c>
    </row>
    <row r="808" customFormat="false" ht="15" hidden="false" customHeight="false" outlineLevel="0" collapsed="false">
      <c r="A808" s="24" t="n">
        <f aca="false">ROUND(A807+0.01,2)</f>
        <v>79.03</v>
      </c>
      <c r="B808" s="25" t="n">
        <f aca="false">INDEX(Bang_F,MATCH(A808,Bang_Z,1))+(A808-INDEX(Bang_Z,MATCH(A808,Bang_Z,1)))*(INDEX(Bang_F,MATCH(A808,Bang_Z,1)+1)-INDEX(Bang_F,MATCH(A808,Bang_Z,1)))</f>
        <v>8.451</v>
      </c>
      <c r="C808" s="25" t="n">
        <f aca="false">INDEX(Bang_W,MATCH(A808,Bang_Z,1))+(A808-INDEX(Bang_Z,MATCH(A808,Bang_Z,1)))*(INDEX(Bang_F,MATCH(A808,Bang_Z,1))+B808)/2</f>
        <v>68.228215</v>
      </c>
      <c r="D808" s="26" t="n">
        <f aca="false">MAX(A808-TC_Z,0)</f>
        <v>4.33</v>
      </c>
      <c r="E808" s="27" t="n">
        <f aca="false">1-0.2*(TC_xmb+(TC_n-1)*TC_xmt)*D808/(TC_n*TC_b)</f>
        <v>0.827601851851852</v>
      </c>
      <c r="F808" s="28" t="n">
        <f aca="false">TC_s*E808*TC_m*TC_n*TC_b*SQRT(2*g_)*D808^1.5</f>
        <v>321.047331708763</v>
      </c>
      <c r="G808" s="29" t="n">
        <f aca="false">MAX(A808-SC_Z,0)</f>
        <v>8.03</v>
      </c>
      <c r="H808" s="30" t="n">
        <f aca="false">1-0.2*(SC_xmb+(SC_n-1)*SC_xmt)*G808/(SC_n*SC_b)</f>
        <v>0.77516</v>
      </c>
      <c r="I808" s="31" t="n">
        <f aca="false">SC_s*H808*SC_m*SC_n*SC_b*SQRT(2*g_)*G808^1.5</f>
        <v>175.791022237126</v>
      </c>
      <c r="J808" s="32" t="n">
        <f aca="false">F808+I808</f>
        <v>496.838353945888</v>
      </c>
      <c r="K808" s="32" t="n">
        <f aca="false">F808</f>
        <v>321.047331708763</v>
      </c>
      <c r="L808" s="32" t="n">
        <f aca="false">C808*1000000/dt_s+J808/2</f>
        <v>19200.7011214174</v>
      </c>
      <c r="M808" s="32" t="n">
        <f aca="false">C808*1000000/dt_s+K808/2</f>
        <v>19112.8056102988</v>
      </c>
    </row>
    <row r="809" customFormat="false" ht="15" hidden="false" customHeight="false" outlineLevel="0" collapsed="false">
      <c r="A809" s="24" t="n">
        <f aca="false">ROUND(A808+0.01,2)</f>
        <v>79.04</v>
      </c>
      <c r="B809" s="25" t="n">
        <f aca="false">INDEX(Bang_F,MATCH(A809,Bang_Z,1))+(A809-INDEX(Bang_Z,MATCH(A809,Bang_Z,1)))*(INDEX(Bang_F,MATCH(A809,Bang_Z,1)+1)-INDEX(Bang_F,MATCH(A809,Bang_Z,1)))</f>
        <v>8.458</v>
      </c>
      <c r="C809" s="25" t="n">
        <f aca="false">INDEX(Bang_W,MATCH(A809,Bang_Z,1))+(A809-INDEX(Bang_Z,MATCH(A809,Bang_Z,1)))*(INDEX(Bang_F,MATCH(A809,Bang_Z,1))+B809)/2</f>
        <v>68.3127600000001</v>
      </c>
      <c r="D809" s="26" t="n">
        <f aca="false">MAX(A809-TC_Z,0)</f>
        <v>4.34</v>
      </c>
      <c r="E809" s="27" t="n">
        <f aca="false">1-0.2*(TC_xmb+(TC_n-1)*TC_xmt)*D809/(TC_n*TC_b)</f>
        <v>0.827203703703704</v>
      </c>
      <c r="F809" s="28" t="n">
        <f aca="false">TC_s*E809*TC_m*TC_n*TC_b*SQRT(2*g_)*D809^1.5</f>
        <v>322.00515987403</v>
      </c>
      <c r="G809" s="29" t="n">
        <f aca="false">MAX(A809-SC_Z,0)</f>
        <v>8.04000000000001</v>
      </c>
      <c r="H809" s="30" t="n">
        <f aca="false">1-0.2*(SC_xmb+(SC_n-1)*SC_xmt)*G809/(SC_n*SC_b)</f>
        <v>0.77488</v>
      </c>
      <c r="I809" s="31" t="n">
        <f aca="false">SC_s*H809*SC_m*SC_n*SC_b*SQRT(2*g_)*G809^1.5</f>
        <v>176.055884066599</v>
      </c>
      <c r="J809" s="32" t="n">
        <f aca="false">F809+I809</f>
        <v>498.061043940628</v>
      </c>
      <c r="K809" s="32" t="n">
        <f aca="false">F809</f>
        <v>322.00515987403</v>
      </c>
      <c r="L809" s="32" t="n">
        <f aca="false">C809*1000000/dt_s+J809/2</f>
        <v>19224.797188637</v>
      </c>
      <c r="M809" s="32" t="n">
        <f aca="false">C809*1000000/dt_s+K809/2</f>
        <v>19136.7692466037</v>
      </c>
    </row>
    <row r="810" customFormat="false" ht="15" hidden="false" customHeight="false" outlineLevel="0" collapsed="false">
      <c r="A810" s="24" t="n">
        <f aca="false">ROUND(A809+0.01,2)</f>
        <v>79.05</v>
      </c>
      <c r="B810" s="25" t="n">
        <f aca="false">INDEX(Bang_F,MATCH(A810,Bang_Z,1))+(A810-INDEX(Bang_Z,MATCH(A810,Bang_Z,1)))*(INDEX(Bang_F,MATCH(A810,Bang_Z,1)+1)-INDEX(Bang_F,MATCH(A810,Bang_Z,1)))</f>
        <v>8.465</v>
      </c>
      <c r="C810" s="25" t="n">
        <f aca="false">INDEX(Bang_W,MATCH(A810,Bang_Z,1))+(A810-INDEX(Bang_Z,MATCH(A810,Bang_Z,1)))*(INDEX(Bang_F,MATCH(A810,Bang_Z,1))+B810)/2</f>
        <v>68.397375</v>
      </c>
      <c r="D810" s="26" t="n">
        <f aca="false">MAX(A810-TC_Z,0)</f>
        <v>4.34999999999999</v>
      </c>
      <c r="E810" s="27" t="n">
        <f aca="false">1-0.2*(TC_xmb+(TC_n-1)*TC_xmt)*D810/(TC_n*TC_b)</f>
        <v>0.826805555555556</v>
      </c>
      <c r="F810" s="28" t="n">
        <f aca="false">TC_s*E810*TC_m*TC_n*TC_b*SQRT(2*g_)*D810^1.5</f>
        <v>322.963198868888</v>
      </c>
      <c r="G810" s="29" t="n">
        <f aca="false">MAX(A810-SC_Z,0)</f>
        <v>8.05</v>
      </c>
      <c r="H810" s="30" t="n">
        <f aca="false">1-0.2*(SC_xmb+(SC_n-1)*SC_xmt)*G810/(SC_n*SC_b)</f>
        <v>0.7746</v>
      </c>
      <c r="I810" s="31" t="n">
        <f aca="false">SC_s*H810*SC_m*SC_n*SC_b*SQRT(2*g_)*G810^1.5</f>
        <v>176.320712786433</v>
      </c>
      <c r="J810" s="32" t="n">
        <f aca="false">F810+I810</f>
        <v>499.283911655321</v>
      </c>
      <c r="K810" s="32" t="n">
        <f aca="false">F810</f>
        <v>322.963198868888</v>
      </c>
      <c r="L810" s="32" t="n">
        <f aca="false">C810*1000000/dt_s+J810/2</f>
        <v>19248.912789161</v>
      </c>
      <c r="M810" s="32" t="n">
        <f aca="false">C810*1000000/dt_s+K810/2</f>
        <v>19160.7524327678</v>
      </c>
    </row>
    <row r="811" customFormat="false" ht="15" hidden="false" customHeight="false" outlineLevel="0" collapsed="false">
      <c r="A811" s="24" t="n">
        <f aca="false">ROUND(A810+0.01,2)</f>
        <v>79.06</v>
      </c>
      <c r="B811" s="25" t="n">
        <f aca="false">INDEX(Bang_F,MATCH(A811,Bang_Z,1))+(A811-INDEX(Bang_Z,MATCH(A811,Bang_Z,1)))*(INDEX(Bang_F,MATCH(A811,Bang_Z,1)+1)-INDEX(Bang_F,MATCH(A811,Bang_Z,1)))</f>
        <v>8.472</v>
      </c>
      <c r="C811" s="25" t="n">
        <f aca="false">INDEX(Bang_W,MATCH(A811,Bang_Z,1))+(A811-INDEX(Bang_Z,MATCH(A811,Bang_Z,1)))*(INDEX(Bang_F,MATCH(A811,Bang_Z,1))+B811)/2</f>
        <v>68.48206</v>
      </c>
      <c r="D811" s="26" t="n">
        <f aca="false">MAX(A811-TC_Z,0)</f>
        <v>4.36</v>
      </c>
      <c r="E811" s="27" t="n">
        <f aca="false">1-0.2*(TC_xmb+(TC_n-1)*TC_xmt)*D811/(TC_n*TC_b)</f>
        <v>0.826407407407407</v>
      </c>
      <c r="F811" s="28" t="n">
        <f aca="false">TC_s*E811*TC_m*TC_n*TC_b*SQRT(2*g_)*D811^1.5</f>
        <v>323.921445368763</v>
      </c>
      <c r="G811" s="29" t="n">
        <f aca="false">MAX(A811-SC_Z,0)</f>
        <v>8.06</v>
      </c>
      <c r="H811" s="30" t="n">
        <f aca="false">1-0.2*(SC_xmb+(SC_n-1)*SC_xmt)*G811/(SC_n*SC_b)</f>
        <v>0.77432</v>
      </c>
      <c r="I811" s="31" t="n">
        <f aca="false">SC_s*H811*SC_m*SC_n*SC_b*SQRT(2*g_)*G811^1.5</f>
        <v>176.585508048373</v>
      </c>
      <c r="J811" s="32" t="n">
        <f aca="false">F811+I811</f>
        <v>500.506953417136</v>
      </c>
      <c r="K811" s="32" t="n">
        <f aca="false">F811</f>
        <v>323.921445368763</v>
      </c>
      <c r="L811" s="32" t="n">
        <f aca="false">C811*1000000/dt_s+J811/2</f>
        <v>19273.047921153</v>
      </c>
      <c r="M811" s="32" t="n">
        <f aca="false">C811*1000000/dt_s+K811/2</f>
        <v>19184.7551671288</v>
      </c>
    </row>
    <row r="812" customFormat="false" ht="15" hidden="false" customHeight="false" outlineLevel="0" collapsed="false">
      <c r="A812" s="24" t="n">
        <f aca="false">ROUND(A811+0.01,2)</f>
        <v>79.07</v>
      </c>
      <c r="B812" s="25" t="n">
        <f aca="false">INDEX(Bang_F,MATCH(A812,Bang_Z,1))+(A812-INDEX(Bang_Z,MATCH(A812,Bang_Z,1)))*(INDEX(Bang_F,MATCH(A812,Bang_Z,1)+1)-INDEX(Bang_F,MATCH(A812,Bang_Z,1)))</f>
        <v>8.479</v>
      </c>
      <c r="C812" s="25" t="n">
        <f aca="false">INDEX(Bang_W,MATCH(A812,Bang_Z,1))+(A812-INDEX(Bang_Z,MATCH(A812,Bang_Z,1)))*(INDEX(Bang_F,MATCH(A812,Bang_Z,1))+B812)/2</f>
        <v>68.5668149999999</v>
      </c>
      <c r="D812" s="26" t="n">
        <f aca="false">MAX(A812-TC_Z,0)</f>
        <v>4.36999999999999</v>
      </c>
      <c r="E812" s="27" t="n">
        <f aca="false">1-0.2*(TC_xmb+(TC_n-1)*TC_xmt)*D812/(TC_n*TC_b)</f>
        <v>0.82600925925926</v>
      </c>
      <c r="F812" s="28" t="n">
        <f aca="false">TC_s*E812*TC_m*TC_n*TC_b*SQRT(2*g_)*D812^1.5</f>
        <v>324.879896056982</v>
      </c>
      <c r="G812" s="29" t="n">
        <f aca="false">MAX(A812-SC_Z,0)</f>
        <v>8.06999999999999</v>
      </c>
      <c r="H812" s="30" t="n">
        <f aca="false">1-0.2*(SC_xmb+(SC_n-1)*SC_xmt)*G812/(SC_n*SC_b)</f>
        <v>0.77404</v>
      </c>
      <c r="I812" s="31" t="n">
        <f aca="false">SC_s*H812*SC_m*SC_n*SC_b*SQRT(2*g_)*G812^1.5</f>
        <v>176.850269504581</v>
      </c>
      <c r="J812" s="32" t="n">
        <f aca="false">F812+I812</f>
        <v>501.730165561562</v>
      </c>
      <c r="K812" s="32" t="n">
        <f aca="false">F812</f>
        <v>324.879896056982</v>
      </c>
      <c r="L812" s="32" t="n">
        <f aca="false">C812*1000000/dt_s+J812/2</f>
        <v>19297.2025827808</v>
      </c>
      <c r="M812" s="32" t="n">
        <f aca="false">C812*1000000/dt_s+K812/2</f>
        <v>19208.7774480285</v>
      </c>
    </row>
    <row r="813" customFormat="false" ht="15" hidden="false" customHeight="false" outlineLevel="0" collapsed="false">
      <c r="A813" s="24" t="n">
        <f aca="false">ROUND(A812+0.01,2)</f>
        <v>79.08</v>
      </c>
      <c r="B813" s="25" t="n">
        <f aca="false">INDEX(Bang_F,MATCH(A813,Bang_Z,1))+(A813-INDEX(Bang_Z,MATCH(A813,Bang_Z,1)))*(INDEX(Bang_F,MATCH(A813,Bang_Z,1)+1)-INDEX(Bang_F,MATCH(A813,Bang_Z,1)))</f>
        <v>8.486</v>
      </c>
      <c r="C813" s="25" t="n">
        <f aca="false">INDEX(Bang_W,MATCH(A813,Bang_Z,1))+(A813-INDEX(Bang_Z,MATCH(A813,Bang_Z,1)))*(INDEX(Bang_F,MATCH(A813,Bang_Z,1))+B813)/2</f>
        <v>68.65164</v>
      </c>
      <c r="D813" s="26" t="n">
        <f aca="false">MAX(A813-TC_Z,0)</f>
        <v>4.38</v>
      </c>
      <c r="E813" s="27" t="n">
        <f aca="false">1-0.2*(TC_xmb+(TC_n-1)*TC_xmt)*D813/(TC_n*TC_b)</f>
        <v>0.825611111111111</v>
      </c>
      <c r="F813" s="28" t="n">
        <f aca="false">TC_s*E813*TC_m*TC_n*TC_b*SQRT(2*g_)*D813^1.5</f>
        <v>325.838547624744</v>
      </c>
      <c r="G813" s="29" t="n">
        <f aca="false">MAX(A813-SC_Z,0)</f>
        <v>8.08</v>
      </c>
      <c r="H813" s="30" t="n">
        <f aca="false">1-0.2*(SC_xmb+(SC_n-1)*SC_xmt)*G813/(SC_n*SC_b)</f>
        <v>0.77376</v>
      </c>
      <c r="I813" s="31" t="n">
        <f aca="false">SC_s*H813*SC_m*SC_n*SC_b*SQRT(2*g_)*G813^1.5</f>
        <v>177.114996807639</v>
      </c>
      <c r="J813" s="32" t="n">
        <f aca="false">F813+I813</f>
        <v>502.953544432383</v>
      </c>
      <c r="K813" s="32" t="n">
        <f aca="false">F813</f>
        <v>325.838547624744</v>
      </c>
      <c r="L813" s="32" t="n">
        <f aca="false">C813*1000000/dt_s+J813/2</f>
        <v>19321.3767722162</v>
      </c>
      <c r="M813" s="32" t="n">
        <f aca="false">C813*1000000/dt_s+K813/2</f>
        <v>19232.8192738124</v>
      </c>
    </row>
    <row r="814" customFormat="false" ht="15" hidden="false" customHeight="false" outlineLevel="0" collapsed="false">
      <c r="A814" s="24" t="n">
        <f aca="false">ROUND(A813+0.01,2)</f>
        <v>79.09</v>
      </c>
      <c r="B814" s="25" t="n">
        <f aca="false">INDEX(Bang_F,MATCH(A814,Bang_Z,1))+(A814-INDEX(Bang_Z,MATCH(A814,Bang_Z,1)))*(INDEX(Bang_F,MATCH(A814,Bang_Z,1)+1)-INDEX(Bang_F,MATCH(A814,Bang_Z,1)))</f>
        <v>8.493</v>
      </c>
      <c r="C814" s="25" t="n">
        <f aca="false">INDEX(Bang_W,MATCH(A814,Bang_Z,1))+(A814-INDEX(Bang_Z,MATCH(A814,Bang_Z,1)))*(INDEX(Bang_F,MATCH(A814,Bang_Z,1))+B814)/2</f>
        <v>68.736535</v>
      </c>
      <c r="D814" s="26" t="n">
        <f aca="false">MAX(A814-TC_Z,0)</f>
        <v>4.39</v>
      </c>
      <c r="E814" s="27" t="n">
        <f aca="false">1-0.2*(TC_xmb+(TC_n-1)*TC_xmt)*D814/(TC_n*TC_b)</f>
        <v>0.825212962962963</v>
      </c>
      <c r="F814" s="28" t="n">
        <f aca="false">TC_s*E814*TC_m*TC_n*TC_b*SQRT(2*g_)*D814^1.5</f>
        <v>326.79739677107</v>
      </c>
      <c r="G814" s="29" t="n">
        <f aca="false">MAX(A814-SC_Z,0)</f>
        <v>8.09</v>
      </c>
      <c r="H814" s="30" t="n">
        <f aca="false">1-0.2*(SC_xmb+(SC_n-1)*SC_xmt)*G814/(SC_n*SC_b)</f>
        <v>0.77348</v>
      </c>
      <c r="I814" s="31" t="n">
        <f aca="false">SC_s*H814*SC_m*SC_n*SC_b*SQRT(2*g_)*G814^1.5</f>
        <v>177.379689610546</v>
      </c>
      <c r="J814" s="32" t="n">
        <f aca="false">F814+I814</f>
        <v>504.177086381616</v>
      </c>
      <c r="K814" s="32" t="n">
        <f aca="false">F814</f>
        <v>326.79739677107</v>
      </c>
      <c r="L814" s="32" t="n">
        <f aca="false">C814*1000000/dt_s+J814/2</f>
        <v>19345.5704876353</v>
      </c>
      <c r="M814" s="32" t="n">
        <f aca="false">C814*1000000/dt_s+K814/2</f>
        <v>19256.88064283</v>
      </c>
    </row>
    <row r="815" customFormat="false" ht="15" hidden="false" customHeight="false" outlineLevel="0" collapsed="false">
      <c r="A815" s="24" t="n">
        <f aca="false">ROUND(A814+0.01,2)</f>
        <v>79.1</v>
      </c>
      <c r="B815" s="25" t="n">
        <f aca="false">INDEX(Bang_F,MATCH(A815,Bang_Z,1))+(A815-INDEX(Bang_Z,MATCH(A815,Bang_Z,1)))*(INDEX(Bang_F,MATCH(A815,Bang_Z,1)+1)-INDEX(Bang_F,MATCH(A815,Bang_Z,1)))</f>
        <v>8.5</v>
      </c>
      <c r="C815" s="25" t="n">
        <f aca="false">INDEX(Bang_W,MATCH(A815,Bang_Z,1))+(A815-INDEX(Bang_Z,MATCH(A815,Bang_Z,1)))*(INDEX(Bang_F,MATCH(A815,Bang_Z,1))+B815)/2</f>
        <v>68.8214999999999</v>
      </c>
      <c r="D815" s="26" t="n">
        <f aca="false">MAX(A815-TC_Z,0)</f>
        <v>4.39999999999999</v>
      </c>
      <c r="E815" s="27" t="n">
        <f aca="false">1-0.2*(TC_xmb+(TC_n-1)*TC_xmt)*D815/(TC_n*TC_b)</f>
        <v>0.824814814814815</v>
      </c>
      <c r="F815" s="28" t="n">
        <f aca="false">TC_s*E815*TC_m*TC_n*TC_b*SQRT(2*g_)*D815^1.5</f>
        <v>327.756440202766</v>
      </c>
      <c r="G815" s="29" t="n">
        <f aca="false">MAX(A815-SC_Z,0)</f>
        <v>8.09999999999999</v>
      </c>
      <c r="H815" s="30" t="n">
        <f aca="false">1-0.2*(SC_xmb+(SC_n-1)*SC_xmt)*G815/(SC_n*SC_b)</f>
        <v>0.7732</v>
      </c>
      <c r="I815" s="31" t="n">
        <f aca="false">SC_s*H815*SC_m*SC_n*SC_b*SQRT(2*g_)*G815^1.5</f>
        <v>177.644347566715</v>
      </c>
      <c r="J815" s="32" t="n">
        <f aca="false">F815+I815</f>
        <v>505.400787769482</v>
      </c>
      <c r="K815" s="32" t="n">
        <f aca="false">F815</f>
        <v>327.756440202766</v>
      </c>
      <c r="L815" s="32" t="n">
        <f aca="false">C815*1000000/dt_s+J815/2</f>
        <v>19369.7837272181</v>
      </c>
      <c r="M815" s="32" t="n">
        <f aca="false">C815*1000000/dt_s+K815/2</f>
        <v>19280.9615534347</v>
      </c>
    </row>
    <row r="816" customFormat="false" ht="15" hidden="false" customHeight="false" outlineLevel="0" collapsed="false">
      <c r="A816" s="24" t="n">
        <f aca="false">ROUND(A815+0.01,2)</f>
        <v>79.11</v>
      </c>
      <c r="B816" s="25" t="n">
        <f aca="false">INDEX(Bang_F,MATCH(A816,Bang_Z,1))+(A816-INDEX(Bang_Z,MATCH(A816,Bang_Z,1)))*(INDEX(Bang_F,MATCH(A816,Bang_Z,1)+1)-INDEX(Bang_F,MATCH(A816,Bang_Z,1)))</f>
        <v>8.507</v>
      </c>
      <c r="C816" s="25" t="n">
        <f aca="false">INDEX(Bang_W,MATCH(A816,Bang_Z,1))+(A816-INDEX(Bang_Z,MATCH(A816,Bang_Z,1)))*(INDEX(Bang_F,MATCH(A816,Bang_Z,1))+B816)/2</f>
        <v>68.906535</v>
      </c>
      <c r="D816" s="26" t="n">
        <f aca="false">MAX(A816-TC_Z,0)</f>
        <v>4.41</v>
      </c>
      <c r="E816" s="27" t="n">
        <f aca="false">1-0.2*(TC_xmb+(TC_n-1)*TC_xmt)*D816/(TC_n*TC_b)</f>
        <v>0.824416666666667</v>
      </c>
      <c r="F816" s="28" t="n">
        <f aca="false">TC_s*E816*TC_m*TC_n*TC_b*SQRT(2*g_)*D816^1.5</f>
        <v>328.715674634388</v>
      </c>
      <c r="G816" s="29" t="n">
        <f aca="false">MAX(A816-SC_Z,0)</f>
        <v>8.11</v>
      </c>
      <c r="H816" s="30" t="n">
        <f aca="false">1-0.2*(SC_xmb+(SC_n-1)*SC_xmt)*G816/(SC_n*SC_b)</f>
        <v>0.77292</v>
      </c>
      <c r="I816" s="31" t="n">
        <f aca="false">SC_s*H816*SC_m*SC_n*SC_b*SQRT(2*g_)*G816^1.5</f>
        <v>177.908970329978</v>
      </c>
      <c r="J816" s="32" t="n">
        <f aca="false">F816+I816</f>
        <v>506.624644964366</v>
      </c>
      <c r="K816" s="32" t="n">
        <f aca="false">F816</f>
        <v>328.715674634388</v>
      </c>
      <c r="L816" s="32" t="n">
        <f aca="false">C816*1000000/dt_s+J816/2</f>
        <v>19394.0164891488</v>
      </c>
      <c r="M816" s="32" t="n">
        <f aca="false">C816*1000000/dt_s+K816/2</f>
        <v>19305.0620039839</v>
      </c>
    </row>
    <row r="817" customFormat="false" ht="15" hidden="false" customHeight="false" outlineLevel="0" collapsed="false">
      <c r="A817" s="24" t="n">
        <f aca="false">ROUND(A816+0.01,2)</f>
        <v>79.12</v>
      </c>
      <c r="B817" s="25" t="n">
        <f aca="false">INDEX(Bang_F,MATCH(A817,Bang_Z,1))+(A817-INDEX(Bang_Z,MATCH(A817,Bang_Z,1)))*(INDEX(Bang_F,MATCH(A817,Bang_Z,1)+1)-INDEX(Bang_F,MATCH(A817,Bang_Z,1)))</f>
        <v>8.514</v>
      </c>
      <c r="C817" s="25" t="n">
        <f aca="false">INDEX(Bang_W,MATCH(A817,Bang_Z,1))+(A817-INDEX(Bang_Z,MATCH(A817,Bang_Z,1)))*(INDEX(Bang_F,MATCH(A817,Bang_Z,1))+B817)/2</f>
        <v>68.99164</v>
      </c>
      <c r="D817" s="26" t="n">
        <f aca="false">MAX(A817-TC_Z,0)</f>
        <v>4.42</v>
      </c>
      <c r="E817" s="27" t="n">
        <f aca="false">1-0.2*(TC_xmb+(TC_n-1)*TC_xmt)*D817/(TC_n*TC_b)</f>
        <v>0.824018518518519</v>
      </c>
      <c r="F817" s="28" t="n">
        <f aca="false">TC_s*E817*TC_m*TC_n*TC_b*SQRT(2*g_)*D817^1.5</f>
        <v>329.675096788191</v>
      </c>
      <c r="G817" s="29" t="n">
        <f aca="false">MAX(A817-SC_Z,0)</f>
        <v>8.12000000000001</v>
      </c>
      <c r="H817" s="30" t="n">
        <f aca="false">1-0.2*(SC_xmb+(SC_n-1)*SC_xmt)*G817/(SC_n*SC_b)</f>
        <v>0.77264</v>
      </c>
      <c r="I817" s="31" t="n">
        <f aca="false">SC_s*H817*SC_m*SC_n*SC_b*SQRT(2*g_)*G817^1.5</f>
        <v>178.173557554577</v>
      </c>
      <c r="J817" s="32" t="n">
        <f aca="false">F817+I817</f>
        <v>507.848654342768</v>
      </c>
      <c r="K817" s="32" t="n">
        <f aca="false">F817</f>
        <v>329.675096788191</v>
      </c>
      <c r="L817" s="32" t="n">
        <f aca="false">C817*1000000/dt_s+J817/2</f>
        <v>19418.2687716158</v>
      </c>
      <c r="M817" s="32" t="n">
        <f aca="false">C817*1000000/dt_s+K817/2</f>
        <v>19329.1819928386</v>
      </c>
    </row>
    <row r="818" customFormat="false" ht="15" hidden="false" customHeight="false" outlineLevel="0" collapsed="false">
      <c r="A818" s="24" t="n">
        <f aca="false">ROUND(A817+0.01,2)</f>
        <v>79.13</v>
      </c>
      <c r="B818" s="25" t="n">
        <f aca="false">INDEX(Bang_F,MATCH(A818,Bang_Z,1))+(A818-INDEX(Bang_Z,MATCH(A818,Bang_Z,1)))*(INDEX(Bang_F,MATCH(A818,Bang_Z,1)+1)-INDEX(Bang_F,MATCH(A818,Bang_Z,1)))</f>
        <v>8.521</v>
      </c>
      <c r="C818" s="25" t="n">
        <f aca="false">INDEX(Bang_W,MATCH(A818,Bang_Z,1))+(A818-INDEX(Bang_Z,MATCH(A818,Bang_Z,1)))*(INDEX(Bang_F,MATCH(A818,Bang_Z,1))+B818)/2</f>
        <v>69.076815</v>
      </c>
      <c r="D818" s="26" t="n">
        <f aca="false">MAX(A818-TC_Z,0)</f>
        <v>4.42999999999999</v>
      </c>
      <c r="E818" s="27" t="n">
        <f aca="false">1-0.2*(TC_xmb+(TC_n-1)*TC_xmt)*D818/(TC_n*TC_b)</f>
        <v>0.823620370370371</v>
      </c>
      <c r="F818" s="28" t="n">
        <f aca="false">TC_s*E818*TC_m*TC_n*TC_b*SQRT(2*g_)*D818^1.5</f>
        <v>330.634703394096</v>
      </c>
      <c r="G818" s="29" t="n">
        <f aca="false">MAX(A818-SC_Z,0)</f>
        <v>8.13</v>
      </c>
      <c r="H818" s="30" t="n">
        <f aca="false">1-0.2*(SC_xmb+(SC_n-1)*SC_xmt)*G818/(SC_n*SC_b)</f>
        <v>0.77236</v>
      </c>
      <c r="I818" s="31" t="n">
        <f aca="false">SC_s*H818*SC_m*SC_n*SC_b*SQRT(2*g_)*G818^1.5</f>
        <v>178.438108895166</v>
      </c>
      <c r="J818" s="32" t="n">
        <f aca="false">F818+I818</f>
        <v>509.072812289262</v>
      </c>
      <c r="K818" s="32" t="n">
        <f aca="false">F818</f>
        <v>330.634703394096</v>
      </c>
      <c r="L818" s="32" t="n">
        <f aca="false">C818*1000000/dt_s+J818/2</f>
        <v>19442.5405728113</v>
      </c>
      <c r="M818" s="32" t="n">
        <f aca="false">C818*1000000/dt_s+K818/2</f>
        <v>19353.3215183637</v>
      </c>
    </row>
    <row r="819" customFormat="false" ht="15" hidden="false" customHeight="false" outlineLevel="0" collapsed="false">
      <c r="A819" s="24" t="n">
        <f aca="false">ROUND(A818+0.01,2)</f>
        <v>79.14</v>
      </c>
      <c r="B819" s="25" t="n">
        <f aca="false">INDEX(Bang_F,MATCH(A819,Bang_Z,1))+(A819-INDEX(Bang_Z,MATCH(A819,Bang_Z,1)))*(INDEX(Bang_F,MATCH(A819,Bang_Z,1)+1)-INDEX(Bang_F,MATCH(A819,Bang_Z,1)))</f>
        <v>8.528</v>
      </c>
      <c r="C819" s="25" t="n">
        <f aca="false">INDEX(Bang_W,MATCH(A819,Bang_Z,1))+(A819-INDEX(Bang_Z,MATCH(A819,Bang_Z,1)))*(INDEX(Bang_F,MATCH(A819,Bang_Z,1))+B819)/2</f>
        <v>69.16206</v>
      </c>
      <c r="D819" s="26" t="n">
        <f aca="false">MAX(A819-TC_Z,0)</f>
        <v>4.44</v>
      </c>
      <c r="E819" s="27" t="n">
        <f aca="false">1-0.2*(TC_xmb+(TC_n-1)*TC_xmt)*D819/(TC_n*TC_b)</f>
        <v>0.823222222222222</v>
      </c>
      <c r="F819" s="28" t="n">
        <f aca="false">TC_s*E819*TC_m*TC_n*TC_b*SQRT(2*g_)*D819^1.5</f>
        <v>331.594491189654</v>
      </c>
      <c r="G819" s="29" t="n">
        <f aca="false">MAX(A819-SC_Z,0)</f>
        <v>8.14</v>
      </c>
      <c r="H819" s="30" t="n">
        <f aca="false">1-0.2*(SC_xmb+(SC_n-1)*SC_xmt)*G819/(SC_n*SC_b)</f>
        <v>0.77208</v>
      </c>
      <c r="I819" s="31" t="n">
        <f aca="false">SC_s*H819*SC_m*SC_n*SC_b*SQRT(2*g_)*G819^1.5</f>
        <v>178.702624006815</v>
      </c>
      <c r="J819" s="32" t="n">
        <f aca="false">F819+I819</f>
        <v>510.297115196469</v>
      </c>
      <c r="K819" s="32" t="n">
        <f aca="false">F819</f>
        <v>331.594491189654</v>
      </c>
      <c r="L819" s="32" t="n">
        <f aca="false">C819*1000000/dt_s+J819/2</f>
        <v>19466.8318909316</v>
      </c>
      <c r="M819" s="32" t="n">
        <f aca="false">C819*1000000/dt_s+K819/2</f>
        <v>19377.4805789282</v>
      </c>
    </row>
    <row r="820" customFormat="false" ht="15" hidden="false" customHeight="false" outlineLevel="0" collapsed="false">
      <c r="A820" s="24" t="n">
        <f aca="false">ROUND(A819+0.01,2)</f>
        <v>79.15</v>
      </c>
      <c r="B820" s="25" t="n">
        <f aca="false">INDEX(Bang_F,MATCH(A820,Bang_Z,1))+(A820-INDEX(Bang_Z,MATCH(A820,Bang_Z,1)))*(INDEX(Bang_F,MATCH(A820,Bang_Z,1)+1)-INDEX(Bang_F,MATCH(A820,Bang_Z,1)))</f>
        <v>8.535</v>
      </c>
      <c r="C820" s="25" t="n">
        <f aca="false">INDEX(Bang_W,MATCH(A820,Bang_Z,1))+(A820-INDEX(Bang_Z,MATCH(A820,Bang_Z,1)))*(INDEX(Bang_F,MATCH(A820,Bang_Z,1))+B820)/2</f>
        <v>69.2473750000001</v>
      </c>
      <c r="D820" s="26" t="n">
        <f aca="false">MAX(A820-TC_Z,0)</f>
        <v>4.45</v>
      </c>
      <c r="E820" s="27" t="n">
        <f aca="false">1-0.2*(TC_xmb+(TC_n-1)*TC_xmt)*D820/(TC_n*TC_b)</f>
        <v>0.822824074074074</v>
      </c>
      <c r="F820" s="28" t="n">
        <f aca="false">TC_s*E820*TC_m*TC_n*TC_b*SQRT(2*g_)*D820^1.5</f>
        <v>332.554456919998</v>
      </c>
      <c r="G820" s="29" t="n">
        <f aca="false">MAX(A820-SC_Z,0)</f>
        <v>8.15000000000001</v>
      </c>
      <c r="H820" s="30" t="n">
        <f aca="false">1-0.2*(SC_xmb+(SC_n-1)*SC_xmt)*G820/(SC_n*SC_b)</f>
        <v>0.7718</v>
      </c>
      <c r="I820" s="31" t="n">
        <f aca="false">SC_s*H820*SC_m*SC_n*SC_b*SQRT(2*g_)*G820^1.5</f>
        <v>178.967102544999</v>
      </c>
      <c r="J820" s="32" t="n">
        <f aca="false">F820+I820</f>
        <v>511.521559464998</v>
      </c>
      <c r="K820" s="32" t="n">
        <f aca="false">F820</f>
        <v>332.554456919998</v>
      </c>
      <c r="L820" s="32" t="n">
        <f aca="false">C820*1000000/dt_s+J820/2</f>
        <v>19491.142724177</v>
      </c>
      <c r="M820" s="32" t="n">
        <f aca="false">C820*1000000/dt_s+K820/2</f>
        <v>19401.6591729045</v>
      </c>
    </row>
    <row r="821" customFormat="false" ht="15" hidden="false" customHeight="false" outlineLevel="0" collapsed="false">
      <c r="A821" s="24" t="n">
        <f aca="false">ROUND(A820+0.01,2)</f>
        <v>79.16</v>
      </c>
      <c r="B821" s="25" t="n">
        <f aca="false">INDEX(Bang_F,MATCH(A821,Bang_Z,1))+(A821-INDEX(Bang_Z,MATCH(A821,Bang_Z,1)))*(INDEX(Bang_F,MATCH(A821,Bang_Z,1)+1)-INDEX(Bang_F,MATCH(A821,Bang_Z,1)))</f>
        <v>8.542</v>
      </c>
      <c r="C821" s="25" t="n">
        <f aca="false">INDEX(Bang_W,MATCH(A821,Bang_Z,1))+(A821-INDEX(Bang_Z,MATCH(A821,Bang_Z,1)))*(INDEX(Bang_F,MATCH(A821,Bang_Z,1))+B821)/2</f>
        <v>69.33276</v>
      </c>
      <c r="D821" s="26" t="n">
        <f aca="false">MAX(A821-TC_Z,0)</f>
        <v>4.45999999999999</v>
      </c>
      <c r="E821" s="27" t="n">
        <f aca="false">1-0.2*(TC_xmb+(TC_n-1)*TC_xmt)*D821/(TC_n*TC_b)</f>
        <v>0.822425925925926</v>
      </c>
      <c r="F821" s="28" t="n">
        <f aca="false">TC_s*E821*TC_m*TC_n*TC_b*SQRT(2*g_)*D821^1.5</f>
        <v>333.51459733781</v>
      </c>
      <c r="G821" s="29" t="n">
        <f aca="false">MAX(A821-SC_Z,0)</f>
        <v>8.16</v>
      </c>
      <c r="H821" s="30" t="n">
        <f aca="false">1-0.2*(SC_xmb+(SC_n-1)*SC_xmt)*G821/(SC_n*SC_b)</f>
        <v>0.77152</v>
      </c>
      <c r="I821" s="31" t="n">
        <f aca="false">SC_s*H821*SC_m*SC_n*SC_b*SQRT(2*g_)*G821^1.5</f>
        <v>179.231544165607</v>
      </c>
      <c r="J821" s="32" t="n">
        <f aca="false">F821+I821</f>
        <v>512.746141503417</v>
      </c>
      <c r="K821" s="32" t="n">
        <f aca="false">F821</f>
        <v>333.51459733781</v>
      </c>
      <c r="L821" s="32" t="n">
        <f aca="false">C821*1000000/dt_s+J821/2</f>
        <v>19515.4730707517</v>
      </c>
      <c r="M821" s="32" t="n">
        <f aca="false">C821*1000000/dt_s+K821/2</f>
        <v>19425.8572986689</v>
      </c>
    </row>
    <row r="822" customFormat="false" ht="15" hidden="false" customHeight="false" outlineLevel="0" collapsed="false">
      <c r="A822" s="24" t="n">
        <f aca="false">ROUND(A821+0.01,2)</f>
        <v>79.17</v>
      </c>
      <c r="B822" s="25" t="n">
        <f aca="false">INDEX(Bang_F,MATCH(A822,Bang_Z,1))+(A822-INDEX(Bang_Z,MATCH(A822,Bang_Z,1)))*(INDEX(Bang_F,MATCH(A822,Bang_Z,1)+1)-INDEX(Bang_F,MATCH(A822,Bang_Z,1)))</f>
        <v>8.549</v>
      </c>
      <c r="C822" s="25" t="n">
        <f aca="false">INDEX(Bang_W,MATCH(A822,Bang_Z,1))+(A822-INDEX(Bang_Z,MATCH(A822,Bang_Z,1)))*(INDEX(Bang_F,MATCH(A822,Bang_Z,1))+B822)/2</f>
        <v>69.418215</v>
      </c>
      <c r="D822" s="26" t="n">
        <f aca="false">MAX(A822-TC_Z,0)</f>
        <v>4.47</v>
      </c>
      <c r="E822" s="27" t="n">
        <f aca="false">1-0.2*(TC_xmb+(TC_n-1)*TC_xmt)*D822/(TC_n*TC_b)</f>
        <v>0.822027777777778</v>
      </c>
      <c r="F822" s="28" t="n">
        <f aca="false">TC_s*E822*TC_m*TC_n*TC_b*SQRT(2*g_)*D822^1.5</f>
        <v>334.474909203285</v>
      </c>
      <c r="G822" s="29" t="n">
        <f aca="false">MAX(A822-SC_Z,0)</f>
        <v>8.17</v>
      </c>
      <c r="H822" s="30" t="n">
        <f aca="false">1-0.2*(SC_xmb+(SC_n-1)*SC_xmt)*G822/(SC_n*SC_b)</f>
        <v>0.77124</v>
      </c>
      <c r="I822" s="31" t="n">
        <f aca="false">SC_s*H822*SC_m*SC_n*SC_b*SQRT(2*g_)*G822^1.5</f>
        <v>179.495948524932</v>
      </c>
      <c r="J822" s="32" t="n">
        <f aca="false">F822+I822</f>
        <v>513.970857728217</v>
      </c>
      <c r="K822" s="32" t="n">
        <f aca="false">F822</f>
        <v>334.474909203285</v>
      </c>
      <c r="L822" s="32" t="n">
        <f aca="false">C822*1000000/dt_s+J822/2</f>
        <v>19539.8229288641</v>
      </c>
      <c r="M822" s="32" t="n">
        <f aca="false">C822*1000000/dt_s+K822/2</f>
        <v>19450.0749546016</v>
      </c>
    </row>
    <row r="823" customFormat="false" ht="15" hidden="false" customHeight="false" outlineLevel="0" collapsed="false">
      <c r="A823" s="24" t="n">
        <f aca="false">ROUND(A822+0.01,2)</f>
        <v>79.18</v>
      </c>
      <c r="B823" s="25" t="n">
        <f aca="false">INDEX(Bang_F,MATCH(A823,Bang_Z,1))+(A823-INDEX(Bang_Z,MATCH(A823,Bang_Z,1)))*(INDEX(Bang_F,MATCH(A823,Bang_Z,1)+1)-INDEX(Bang_F,MATCH(A823,Bang_Z,1)))</f>
        <v>8.556</v>
      </c>
      <c r="C823" s="25" t="n">
        <f aca="false">INDEX(Bang_W,MATCH(A823,Bang_Z,1))+(A823-INDEX(Bang_Z,MATCH(A823,Bang_Z,1)))*(INDEX(Bang_F,MATCH(A823,Bang_Z,1))+B823)/2</f>
        <v>69.5037400000001</v>
      </c>
      <c r="D823" s="26" t="n">
        <f aca="false">MAX(A823-TC_Z,0)</f>
        <v>4.48</v>
      </c>
      <c r="E823" s="27" t="n">
        <f aca="false">1-0.2*(TC_xmb+(TC_n-1)*TC_xmt)*D823/(TC_n*TC_b)</f>
        <v>0.82162962962963</v>
      </c>
      <c r="F823" s="28" t="n">
        <f aca="false">TC_s*E823*TC_m*TC_n*TC_b*SQRT(2*g_)*D823^1.5</f>
        <v>335.435389284084</v>
      </c>
      <c r="G823" s="29" t="n">
        <f aca="false">MAX(A823-SC_Z,0)</f>
        <v>8.18000000000001</v>
      </c>
      <c r="H823" s="30" t="n">
        <f aca="false">1-0.2*(SC_xmb+(SC_n-1)*SC_xmt)*G823/(SC_n*SC_b)</f>
        <v>0.77096</v>
      </c>
      <c r="I823" s="31" t="n">
        <f aca="false">SC_s*H823*SC_m*SC_n*SC_b*SQRT(2*g_)*G823^1.5</f>
        <v>179.760315279677</v>
      </c>
      <c r="J823" s="32" t="n">
        <f aca="false">F823+I823</f>
        <v>515.19570456376</v>
      </c>
      <c r="K823" s="32" t="n">
        <f aca="false">F823</f>
        <v>335.435389284084</v>
      </c>
      <c r="L823" s="32" t="n">
        <f aca="false">C823*1000000/dt_s+J823/2</f>
        <v>19564.1922967263</v>
      </c>
      <c r="M823" s="32" t="n">
        <f aca="false">C823*1000000/dt_s+K823/2</f>
        <v>19474.3121390865</v>
      </c>
    </row>
    <row r="824" customFormat="false" ht="15" hidden="false" customHeight="false" outlineLevel="0" collapsed="false">
      <c r="A824" s="24" t="n">
        <f aca="false">ROUND(A823+0.01,2)</f>
        <v>79.19</v>
      </c>
      <c r="B824" s="25" t="n">
        <f aca="false">INDEX(Bang_F,MATCH(A824,Bang_Z,1))+(A824-INDEX(Bang_Z,MATCH(A824,Bang_Z,1)))*(INDEX(Bang_F,MATCH(A824,Bang_Z,1)+1)-INDEX(Bang_F,MATCH(A824,Bang_Z,1)))</f>
        <v>8.563</v>
      </c>
      <c r="C824" s="25" t="n">
        <f aca="false">INDEX(Bang_W,MATCH(A824,Bang_Z,1))+(A824-INDEX(Bang_Z,MATCH(A824,Bang_Z,1)))*(INDEX(Bang_F,MATCH(A824,Bang_Z,1))+B824)/2</f>
        <v>69.589335</v>
      </c>
      <c r="D824" s="26" t="n">
        <f aca="false">MAX(A824-TC_Z,0)</f>
        <v>4.49</v>
      </c>
      <c r="E824" s="27" t="n">
        <f aca="false">1-0.2*(TC_xmb+(TC_n-1)*TC_xmt)*D824/(TC_n*TC_b)</f>
        <v>0.821231481481482</v>
      </c>
      <c r="F824" s="28" t="n">
        <f aca="false">TC_s*E824*TC_m*TC_n*TC_b*SQRT(2*g_)*D824^1.5</f>
        <v>336.396034355303</v>
      </c>
      <c r="G824" s="29" t="n">
        <f aca="false">MAX(A824-SC_Z,0)</f>
        <v>8.19</v>
      </c>
      <c r="H824" s="30" t="n">
        <f aca="false">1-0.2*(SC_xmb+(SC_n-1)*SC_xmt)*G824/(SC_n*SC_b)</f>
        <v>0.77068</v>
      </c>
      <c r="I824" s="31" t="n">
        <f aca="false">SC_s*H824*SC_m*SC_n*SC_b*SQRT(2*g_)*G824^1.5</f>
        <v>180.024644086948</v>
      </c>
      <c r="J824" s="32" t="n">
        <f aca="false">F824+I824</f>
        <v>516.420678442251</v>
      </c>
      <c r="K824" s="32" t="n">
        <f aca="false">F824</f>
        <v>336.396034355303</v>
      </c>
      <c r="L824" s="32" t="n">
        <f aca="false">C824*1000000/dt_s+J824/2</f>
        <v>19588.5811725544</v>
      </c>
      <c r="M824" s="32" t="n">
        <f aca="false">C824*1000000/dt_s+K824/2</f>
        <v>19498.568850511</v>
      </c>
    </row>
    <row r="825" customFormat="false" ht="15" hidden="false" customHeight="false" outlineLevel="0" collapsed="false">
      <c r="A825" s="24" t="n">
        <f aca="false">ROUND(A824+0.01,2)</f>
        <v>79.2</v>
      </c>
      <c r="B825" s="25" t="n">
        <f aca="false">INDEX(Bang_F,MATCH(A825,Bang_Z,1))+(A825-INDEX(Bang_Z,MATCH(A825,Bang_Z,1)))*(INDEX(Bang_F,MATCH(A825,Bang_Z,1)+1)-INDEX(Bang_F,MATCH(A825,Bang_Z,1)))</f>
        <v>8.57</v>
      </c>
      <c r="C825" s="25" t="n">
        <f aca="false">INDEX(Bang_W,MATCH(A825,Bang_Z,1))+(A825-INDEX(Bang_Z,MATCH(A825,Bang_Z,1)))*(INDEX(Bang_F,MATCH(A825,Bang_Z,1))+B825)/2</f>
        <v>69.675</v>
      </c>
      <c r="D825" s="26" t="n">
        <f aca="false">MAX(A825-TC_Z,0)</f>
        <v>4.5</v>
      </c>
      <c r="E825" s="27" t="n">
        <f aca="false">1-0.2*(TC_xmb+(TC_n-1)*TC_xmt)*D825/(TC_n*TC_b)</f>
        <v>0.820833333333333</v>
      </c>
      <c r="F825" s="28" t="n">
        <f aca="false">TC_s*E825*TC_m*TC_n*TC_b*SQRT(2*g_)*D825^1.5</f>
        <v>337.356841199439</v>
      </c>
      <c r="G825" s="29" t="n">
        <f aca="false">MAX(A825-SC_Z,0)</f>
        <v>8.2</v>
      </c>
      <c r="H825" s="30" t="n">
        <f aca="false">1-0.2*(SC_xmb+(SC_n-1)*SC_xmt)*G825/(SC_n*SC_b)</f>
        <v>0.7704</v>
      </c>
      <c r="I825" s="31" t="n">
        <f aca="false">SC_s*H825*SC_m*SC_n*SC_b*SQRT(2*g_)*G825^1.5</f>
        <v>180.288934604258</v>
      </c>
      <c r="J825" s="32" t="n">
        <f aca="false">F825+I825</f>
        <v>517.645775803697</v>
      </c>
      <c r="K825" s="32" t="n">
        <f aca="false">F825</f>
        <v>337.356841199439</v>
      </c>
      <c r="L825" s="32" t="n">
        <f aca="false">C825*1000000/dt_s+J825/2</f>
        <v>19612.9895545685</v>
      </c>
      <c r="M825" s="32" t="n">
        <f aca="false">C825*1000000/dt_s+K825/2</f>
        <v>19522.8450872664</v>
      </c>
    </row>
    <row r="826" customFormat="false" ht="15" hidden="false" customHeight="false" outlineLevel="0" collapsed="false">
      <c r="A826" s="24" t="n">
        <f aca="false">ROUND(A825+0.01,2)</f>
        <v>79.21</v>
      </c>
      <c r="B826" s="25" t="n">
        <f aca="false">INDEX(Bang_F,MATCH(A826,Bang_Z,1))+(A826-INDEX(Bang_Z,MATCH(A826,Bang_Z,1)))*(INDEX(Bang_F,MATCH(A826,Bang_Z,1)+1)-INDEX(Bang_F,MATCH(A826,Bang_Z,1)))</f>
        <v>8.577</v>
      </c>
      <c r="C826" s="25" t="n">
        <f aca="false">INDEX(Bang_W,MATCH(A826,Bang_Z,1))+(A826-INDEX(Bang_Z,MATCH(A826,Bang_Z,1)))*(INDEX(Bang_F,MATCH(A826,Bang_Z,1))+B826)/2</f>
        <v>69.7607349999999</v>
      </c>
      <c r="D826" s="26" t="n">
        <f aca="false">MAX(A826-TC_Z,0)</f>
        <v>4.50999999999999</v>
      </c>
      <c r="E826" s="27" t="n">
        <f aca="false">1-0.2*(TC_xmb+(TC_n-1)*TC_xmt)*D826/(TC_n*TC_b)</f>
        <v>0.820435185185186</v>
      </c>
      <c r="F826" s="28" t="n">
        <f aca="false">TC_s*E826*TC_m*TC_n*TC_b*SQRT(2*g_)*D826^1.5</f>
        <v>338.317806606337</v>
      </c>
      <c r="G826" s="29" t="n">
        <f aca="false">MAX(A826-SC_Z,0)</f>
        <v>8.20999999999999</v>
      </c>
      <c r="H826" s="30" t="n">
        <f aca="false">1-0.2*(SC_xmb+(SC_n-1)*SC_xmt)*G826/(SC_n*SC_b)</f>
        <v>0.77012</v>
      </c>
      <c r="I826" s="31" t="n">
        <f aca="false">SC_s*H826*SC_m*SC_n*SC_b*SQRT(2*g_)*G826^1.5</f>
        <v>180.553186489524</v>
      </c>
      <c r="J826" s="32" t="n">
        <f aca="false">F826+I826</f>
        <v>518.870993095861</v>
      </c>
      <c r="K826" s="32" t="n">
        <f aca="false">F826</f>
        <v>338.317806606337</v>
      </c>
      <c r="L826" s="32" t="n">
        <f aca="false">C826*1000000/dt_s+J826/2</f>
        <v>19637.4174409924</v>
      </c>
      <c r="M826" s="32" t="n">
        <f aca="false">C826*1000000/dt_s+K826/2</f>
        <v>19547.1408477476</v>
      </c>
    </row>
    <row r="827" customFormat="false" ht="15" hidden="false" customHeight="false" outlineLevel="0" collapsed="false">
      <c r="A827" s="24" t="n">
        <f aca="false">ROUND(A826+0.01,2)</f>
        <v>79.22</v>
      </c>
      <c r="B827" s="25" t="n">
        <f aca="false">INDEX(Bang_F,MATCH(A827,Bang_Z,1))+(A827-INDEX(Bang_Z,MATCH(A827,Bang_Z,1)))*(INDEX(Bang_F,MATCH(A827,Bang_Z,1)+1)-INDEX(Bang_F,MATCH(A827,Bang_Z,1)))</f>
        <v>8.584</v>
      </c>
      <c r="C827" s="25" t="n">
        <f aca="false">INDEX(Bang_W,MATCH(A827,Bang_Z,1))+(A827-INDEX(Bang_Z,MATCH(A827,Bang_Z,1)))*(INDEX(Bang_F,MATCH(A827,Bang_Z,1))+B827)/2</f>
        <v>69.84654</v>
      </c>
      <c r="D827" s="26" t="n">
        <f aca="false">MAX(A827-TC_Z,0)</f>
        <v>4.52</v>
      </c>
      <c r="E827" s="27" t="n">
        <f aca="false">1-0.2*(TC_xmb+(TC_n-1)*TC_xmt)*D827/(TC_n*TC_b)</f>
        <v>0.820037037037037</v>
      </c>
      <c r="F827" s="28" t="n">
        <f aca="false">TC_s*E827*TC_m*TC_n*TC_b*SQRT(2*g_)*D827^1.5</f>
        <v>339.278927373175</v>
      </c>
      <c r="G827" s="29" t="n">
        <f aca="false">MAX(A827-SC_Z,0)</f>
        <v>8.22</v>
      </c>
      <c r="H827" s="30" t="n">
        <f aca="false">1-0.2*(SC_xmb+(SC_n-1)*SC_xmt)*G827/(SC_n*SC_b)</f>
        <v>0.76984</v>
      </c>
      <c r="I827" s="31" t="n">
        <f aca="false">SC_s*H827*SC_m*SC_n*SC_b*SQRT(2*g_)*G827^1.5</f>
        <v>180.817399401064</v>
      </c>
      <c r="J827" s="32" t="n">
        <f aca="false">F827+I827</f>
        <v>520.096326774239</v>
      </c>
      <c r="K827" s="32" t="n">
        <f aca="false">F827</f>
        <v>339.278927373175</v>
      </c>
      <c r="L827" s="32" t="n">
        <f aca="false">C827*1000000/dt_s+J827/2</f>
        <v>19661.8648300538</v>
      </c>
      <c r="M827" s="32" t="n">
        <f aca="false">C827*1000000/dt_s+K827/2</f>
        <v>19571.4561303533</v>
      </c>
    </row>
    <row r="828" customFormat="false" ht="15" hidden="false" customHeight="false" outlineLevel="0" collapsed="false">
      <c r="A828" s="24" t="n">
        <f aca="false">ROUND(A827+0.01,2)</f>
        <v>79.23</v>
      </c>
      <c r="B828" s="25" t="n">
        <f aca="false">INDEX(Bang_F,MATCH(A828,Bang_Z,1))+(A828-INDEX(Bang_Z,MATCH(A828,Bang_Z,1)))*(INDEX(Bang_F,MATCH(A828,Bang_Z,1)+1)-INDEX(Bang_F,MATCH(A828,Bang_Z,1)))</f>
        <v>8.591</v>
      </c>
      <c r="C828" s="25" t="n">
        <f aca="false">INDEX(Bang_W,MATCH(A828,Bang_Z,1))+(A828-INDEX(Bang_Z,MATCH(A828,Bang_Z,1)))*(INDEX(Bang_F,MATCH(A828,Bang_Z,1))+B828)/2</f>
        <v>69.932415</v>
      </c>
      <c r="D828" s="26" t="n">
        <f aca="false">MAX(A828-TC_Z,0)</f>
        <v>4.53</v>
      </c>
      <c r="E828" s="27" t="n">
        <f aca="false">1-0.2*(TC_xmb+(TC_n-1)*TC_xmt)*D828/(TC_n*TC_b)</f>
        <v>0.819638888888889</v>
      </c>
      <c r="F828" s="28" t="n">
        <f aca="false">TC_s*E828*TC_m*TC_n*TC_b*SQRT(2*g_)*D828^1.5</f>
        <v>340.240200304407</v>
      </c>
      <c r="G828" s="29" t="n">
        <f aca="false">MAX(A828-SC_Z,0)</f>
        <v>8.23</v>
      </c>
      <c r="H828" s="30" t="n">
        <f aca="false">1-0.2*(SC_xmb+(SC_n-1)*SC_xmt)*G828/(SC_n*SC_b)</f>
        <v>0.76956</v>
      </c>
      <c r="I828" s="31" t="n">
        <f aca="false">SC_s*H828*SC_m*SC_n*SC_b*SQRT(2*g_)*G828^1.5</f>
        <v>181.081572997598</v>
      </c>
      <c r="J828" s="32" t="n">
        <f aca="false">F828+I828</f>
        <v>521.321773302005</v>
      </c>
      <c r="K828" s="32" t="n">
        <f aca="false">F828</f>
        <v>340.240200304407</v>
      </c>
      <c r="L828" s="32" t="n">
        <f aca="false">C828*1000000/dt_s+J828/2</f>
        <v>19686.3317199843</v>
      </c>
      <c r="M828" s="32" t="n">
        <f aca="false">C828*1000000/dt_s+K828/2</f>
        <v>19595.7909334855</v>
      </c>
    </row>
    <row r="829" customFormat="false" ht="15" hidden="false" customHeight="false" outlineLevel="0" collapsed="false">
      <c r="A829" s="24" t="n">
        <f aca="false">ROUND(A828+0.01,2)</f>
        <v>79.24</v>
      </c>
      <c r="B829" s="25" t="n">
        <f aca="false">INDEX(Bang_F,MATCH(A829,Bang_Z,1))+(A829-INDEX(Bang_Z,MATCH(A829,Bang_Z,1)))*(INDEX(Bang_F,MATCH(A829,Bang_Z,1)+1)-INDEX(Bang_F,MATCH(A829,Bang_Z,1)))</f>
        <v>8.598</v>
      </c>
      <c r="C829" s="25" t="n">
        <f aca="false">INDEX(Bang_W,MATCH(A829,Bang_Z,1))+(A829-INDEX(Bang_Z,MATCH(A829,Bang_Z,1)))*(INDEX(Bang_F,MATCH(A829,Bang_Z,1))+B829)/2</f>
        <v>70.0183599999999</v>
      </c>
      <c r="D829" s="26" t="n">
        <f aca="false">MAX(A829-TC_Z,0)</f>
        <v>4.53999999999999</v>
      </c>
      <c r="E829" s="27" t="n">
        <f aca="false">1-0.2*(TC_xmb+(TC_n-1)*TC_xmt)*D829/(TC_n*TC_b)</f>
        <v>0.819240740740741</v>
      </c>
      <c r="F829" s="28" t="n">
        <f aca="false">TC_s*E829*TC_m*TC_n*TC_b*SQRT(2*g_)*D829^1.5</f>
        <v>341.201622211737</v>
      </c>
      <c r="G829" s="29" t="n">
        <f aca="false">MAX(A829-SC_Z,0)</f>
        <v>8.24</v>
      </c>
      <c r="H829" s="30" t="n">
        <f aca="false">1-0.2*(SC_xmb+(SC_n-1)*SC_xmt)*G829/(SC_n*SC_b)</f>
        <v>0.76928</v>
      </c>
      <c r="I829" s="31" t="n">
        <f aca="false">SC_s*H829*SC_m*SC_n*SC_b*SQRT(2*g_)*G829^1.5</f>
        <v>181.345706938245</v>
      </c>
      <c r="J829" s="32" t="n">
        <f aca="false">F829+I829</f>
        <v>522.547329149983</v>
      </c>
      <c r="K829" s="32" t="n">
        <f aca="false">F829</f>
        <v>341.201622211737</v>
      </c>
      <c r="L829" s="32" t="n">
        <f aca="false">C829*1000000/dt_s+J829/2</f>
        <v>19710.8181090194</v>
      </c>
      <c r="M829" s="32" t="n">
        <f aca="false">C829*1000000/dt_s+K829/2</f>
        <v>19620.1452555503</v>
      </c>
    </row>
    <row r="830" customFormat="false" ht="15" hidden="false" customHeight="false" outlineLevel="0" collapsed="false">
      <c r="A830" s="24" t="n">
        <f aca="false">ROUND(A829+0.01,2)</f>
        <v>79.25</v>
      </c>
      <c r="B830" s="25" t="n">
        <f aca="false">INDEX(Bang_F,MATCH(A830,Bang_Z,1))+(A830-INDEX(Bang_Z,MATCH(A830,Bang_Z,1)))*(INDEX(Bang_F,MATCH(A830,Bang_Z,1)+1)-INDEX(Bang_F,MATCH(A830,Bang_Z,1)))</f>
        <v>8.605</v>
      </c>
      <c r="C830" s="25" t="n">
        <f aca="false">INDEX(Bang_W,MATCH(A830,Bang_Z,1))+(A830-INDEX(Bang_Z,MATCH(A830,Bang_Z,1)))*(INDEX(Bang_F,MATCH(A830,Bang_Z,1))+B830)/2</f>
        <v>70.104375</v>
      </c>
      <c r="D830" s="26" t="n">
        <f aca="false">MAX(A830-TC_Z,0)</f>
        <v>4.55</v>
      </c>
      <c r="E830" s="27" t="n">
        <f aca="false">1-0.2*(TC_xmb+(TC_n-1)*TC_xmt)*D830/(TC_n*TC_b)</f>
        <v>0.818842592592593</v>
      </c>
      <c r="F830" s="28" t="n">
        <f aca="false">TC_s*E830*TC_m*TC_n*TC_b*SQRT(2*g_)*D830^1.5</f>
        <v>342.163189914084</v>
      </c>
      <c r="G830" s="29" t="n">
        <f aca="false">MAX(A830-SC_Z,0)</f>
        <v>8.25</v>
      </c>
      <c r="H830" s="30" t="n">
        <f aca="false">1-0.2*(SC_xmb+(SC_n-1)*SC_xmt)*G830/(SC_n*SC_b)</f>
        <v>0.769</v>
      </c>
      <c r="I830" s="31" t="n">
        <f aca="false">SC_s*H830*SC_m*SC_n*SC_b*SQRT(2*g_)*G830^1.5</f>
        <v>181.609800882528</v>
      </c>
      <c r="J830" s="32" t="n">
        <f aca="false">F830+I830</f>
        <v>523.772990796612</v>
      </c>
      <c r="K830" s="32" t="n">
        <f aca="false">F830</f>
        <v>342.163189914084</v>
      </c>
      <c r="L830" s="32" t="n">
        <f aca="false">C830*1000000/dt_s+J830/2</f>
        <v>19735.3239953983</v>
      </c>
      <c r="M830" s="32" t="n">
        <f aca="false">C830*1000000/dt_s+K830/2</f>
        <v>19644.519094957</v>
      </c>
    </row>
    <row r="831" customFormat="false" ht="15" hidden="false" customHeight="false" outlineLevel="0" collapsed="false">
      <c r="A831" s="24" t="n">
        <f aca="false">ROUND(A830+0.01,2)</f>
        <v>79.26</v>
      </c>
      <c r="B831" s="25" t="n">
        <f aca="false">INDEX(Bang_F,MATCH(A831,Bang_Z,1))+(A831-INDEX(Bang_Z,MATCH(A831,Bang_Z,1)))*(INDEX(Bang_F,MATCH(A831,Bang_Z,1)+1)-INDEX(Bang_F,MATCH(A831,Bang_Z,1)))</f>
        <v>8.612</v>
      </c>
      <c r="C831" s="25" t="n">
        <f aca="false">INDEX(Bang_W,MATCH(A831,Bang_Z,1))+(A831-INDEX(Bang_Z,MATCH(A831,Bang_Z,1)))*(INDEX(Bang_F,MATCH(A831,Bang_Z,1))+B831)/2</f>
        <v>70.19046</v>
      </c>
      <c r="D831" s="26" t="n">
        <f aca="false">MAX(A831-TC_Z,0)</f>
        <v>4.56</v>
      </c>
      <c r="E831" s="27" t="n">
        <f aca="false">1-0.2*(TC_xmb+(TC_n-1)*TC_xmt)*D831/(TC_n*TC_b)</f>
        <v>0.818444444444444</v>
      </c>
      <c r="F831" s="28" t="n">
        <f aca="false">TC_s*E831*TC_m*TC_n*TC_b*SQRT(2*g_)*D831^1.5</f>
        <v>343.124900237539</v>
      </c>
      <c r="G831" s="29" t="n">
        <f aca="false">MAX(A831-SC_Z,0)</f>
        <v>8.26000000000001</v>
      </c>
      <c r="H831" s="30" t="n">
        <f aca="false">1-0.2*(SC_xmb+(SC_n-1)*SC_xmt)*G831/(SC_n*SC_b)</f>
        <v>0.76872</v>
      </c>
      <c r="I831" s="31" t="n">
        <f aca="false">SC_s*H831*SC_m*SC_n*SC_b*SQRT(2*g_)*G831^1.5</f>
        <v>181.873854490362</v>
      </c>
      <c r="J831" s="32" t="n">
        <f aca="false">F831+I831</f>
        <v>524.998754727901</v>
      </c>
      <c r="K831" s="32" t="n">
        <f aca="false">F831</f>
        <v>343.124900237539</v>
      </c>
      <c r="L831" s="32" t="n">
        <f aca="false">C831*1000000/dt_s+J831/2</f>
        <v>19759.849377364</v>
      </c>
      <c r="M831" s="32" t="n">
        <f aca="false">C831*1000000/dt_s+K831/2</f>
        <v>19668.9124501188</v>
      </c>
    </row>
    <row r="832" customFormat="false" ht="15" hidden="false" customHeight="false" outlineLevel="0" collapsed="false">
      <c r="A832" s="24" t="n">
        <f aca="false">ROUND(A831+0.01,2)</f>
        <v>79.27</v>
      </c>
      <c r="B832" s="25" t="n">
        <f aca="false">INDEX(Bang_F,MATCH(A832,Bang_Z,1))+(A832-INDEX(Bang_Z,MATCH(A832,Bang_Z,1)))*(INDEX(Bang_F,MATCH(A832,Bang_Z,1)+1)-INDEX(Bang_F,MATCH(A832,Bang_Z,1)))</f>
        <v>8.619</v>
      </c>
      <c r="C832" s="25" t="n">
        <f aca="false">INDEX(Bang_W,MATCH(A832,Bang_Z,1))+(A832-INDEX(Bang_Z,MATCH(A832,Bang_Z,1)))*(INDEX(Bang_F,MATCH(A832,Bang_Z,1))+B832)/2</f>
        <v>70.276615</v>
      </c>
      <c r="D832" s="26" t="n">
        <f aca="false">MAX(A832-TC_Z,0)</f>
        <v>4.56999999999999</v>
      </c>
      <c r="E832" s="27" t="n">
        <f aca="false">1-0.2*(TC_xmb+(TC_n-1)*TC_xmt)*D832/(TC_n*TC_b)</f>
        <v>0.818046296296297</v>
      </c>
      <c r="F832" s="28" t="n">
        <f aca="false">TC_s*E832*TC_m*TC_n*TC_b*SQRT(2*g_)*D832^1.5</f>
        <v>344.086750015332</v>
      </c>
      <c r="G832" s="29" t="n">
        <f aca="false">MAX(A832-SC_Z,0)</f>
        <v>8.27</v>
      </c>
      <c r="H832" s="30" t="n">
        <f aca="false">1-0.2*(SC_xmb+(SC_n-1)*SC_xmt)*G832/(SC_n*SC_b)</f>
        <v>0.76844</v>
      </c>
      <c r="I832" s="31" t="n">
        <f aca="false">SC_s*H832*SC_m*SC_n*SC_b*SQRT(2*g_)*G832^1.5</f>
        <v>182.137867422063</v>
      </c>
      <c r="J832" s="32" t="n">
        <f aca="false">F832+I832</f>
        <v>526.224617437396</v>
      </c>
      <c r="K832" s="32" t="n">
        <f aca="false">F832</f>
        <v>344.086750015332</v>
      </c>
      <c r="L832" s="32" t="n">
        <f aca="false">C832*1000000/dt_s+J832/2</f>
        <v>19784.3942531631</v>
      </c>
      <c r="M832" s="32" t="n">
        <f aca="false">C832*1000000/dt_s+K832/2</f>
        <v>19693.3253194521</v>
      </c>
    </row>
    <row r="833" customFormat="false" ht="15" hidden="false" customHeight="false" outlineLevel="0" collapsed="false">
      <c r="A833" s="24" t="n">
        <f aca="false">ROUND(A832+0.01,2)</f>
        <v>79.28</v>
      </c>
      <c r="B833" s="25" t="n">
        <f aca="false">INDEX(Bang_F,MATCH(A833,Bang_Z,1))+(A833-INDEX(Bang_Z,MATCH(A833,Bang_Z,1)))*(INDEX(Bang_F,MATCH(A833,Bang_Z,1)+1)-INDEX(Bang_F,MATCH(A833,Bang_Z,1)))</f>
        <v>8.626</v>
      </c>
      <c r="C833" s="25" t="n">
        <f aca="false">INDEX(Bang_W,MATCH(A833,Bang_Z,1))+(A833-INDEX(Bang_Z,MATCH(A833,Bang_Z,1)))*(INDEX(Bang_F,MATCH(A833,Bang_Z,1))+B833)/2</f>
        <v>70.36284</v>
      </c>
      <c r="D833" s="26" t="n">
        <f aca="false">MAX(A833-TC_Z,0)</f>
        <v>4.58</v>
      </c>
      <c r="E833" s="27" t="n">
        <f aca="false">1-0.2*(TC_xmb+(TC_n-1)*TC_xmt)*D833/(TC_n*TC_b)</f>
        <v>0.817648148148148</v>
      </c>
      <c r="F833" s="28" t="n">
        <f aca="false">TC_s*E833*TC_m*TC_n*TC_b*SQRT(2*g_)*D833^1.5</f>
        <v>345.048736087804</v>
      </c>
      <c r="G833" s="29" t="n">
        <f aca="false">MAX(A833-SC_Z,0)</f>
        <v>8.28</v>
      </c>
      <c r="H833" s="30" t="n">
        <f aca="false">1-0.2*(SC_xmb+(SC_n-1)*SC_xmt)*G833/(SC_n*SC_b)</f>
        <v>0.76816</v>
      </c>
      <c r="I833" s="31" t="n">
        <f aca="false">SC_s*H833*SC_m*SC_n*SC_b*SQRT(2*g_)*G833^1.5</f>
        <v>182.401839338344</v>
      </c>
      <c r="J833" s="32" t="n">
        <f aca="false">F833+I833</f>
        <v>527.450575426148</v>
      </c>
      <c r="K833" s="32" t="n">
        <f aca="false">F833</f>
        <v>345.048736087804</v>
      </c>
      <c r="L833" s="32" t="n">
        <f aca="false">C833*1000000/dt_s+J833/2</f>
        <v>19808.9586210464</v>
      </c>
      <c r="M833" s="32" t="n">
        <f aca="false">C833*1000000/dt_s+K833/2</f>
        <v>19717.7577013772</v>
      </c>
    </row>
    <row r="834" customFormat="false" ht="15" hidden="false" customHeight="false" outlineLevel="0" collapsed="false">
      <c r="A834" s="24" t="n">
        <f aca="false">ROUND(A833+0.01,2)</f>
        <v>79.29</v>
      </c>
      <c r="B834" s="25" t="n">
        <f aca="false">INDEX(Bang_F,MATCH(A834,Bang_Z,1))+(A834-INDEX(Bang_Z,MATCH(A834,Bang_Z,1)))*(INDEX(Bang_F,MATCH(A834,Bang_Z,1)+1)-INDEX(Bang_F,MATCH(A834,Bang_Z,1)))</f>
        <v>8.633</v>
      </c>
      <c r="C834" s="25" t="n">
        <f aca="false">INDEX(Bang_W,MATCH(A834,Bang_Z,1))+(A834-INDEX(Bang_Z,MATCH(A834,Bang_Z,1)))*(INDEX(Bang_F,MATCH(A834,Bang_Z,1))+B834)/2</f>
        <v>70.449135</v>
      </c>
      <c r="D834" s="26" t="n">
        <f aca="false">MAX(A834-TC_Z,0)</f>
        <v>4.59</v>
      </c>
      <c r="E834" s="27" t="n">
        <f aca="false">1-0.2*(TC_xmb+(TC_n-1)*TC_xmt)*D834/(TC_n*TC_b)</f>
        <v>0.81725</v>
      </c>
      <c r="F834" s="28" t="n">
        <f aca="false">TC_s*E834*TC_m*TC_n*TC_b*SQRT(2*g_)*D834^1.5</f>
        <v>346.010855302359</v>
      </c>
      <c r="G834" s="29" t="n">
        <f aca="false">MAX(A834-SC_Z,0)</f>
        <v>8.29000000000001</v>
      </c>
      <c r="H834" s="30" t="n">
        <f aca="false">1-0.2*(SC_xmb+(SC_n-1)*SC_xmt)*G834/(SC_n*SC_b)</f>
        <v>0.76788</v>
      </c>
      <c r="I834" s="31" t="n">
        <f aca="false">SC_s*H834*SC_m*SC_n*SC_b*SQRT(2*g_)*G834^1.5</f>
        <v>182.665769900309</v>
      </c>
      <c r="J834" s="32" t="n">
        <f aca="false">F834+I834</f>
        <v>528.676625202668</v>
      </c>
      <c r="K834" s="32" t="n">
        <f aca="false">F834</f>
        <v>346.010855302359</v>
      </c>
      <c r="L834" s="32" t="n">
        <f aca="false">C834*1000000/dt_s+J834/2</f>
        <v>19833.542479268</v>
      </c>
      <c r="M834" s="32" t="n">
        <f aca="false">C834*1000000/dt_s+K834/2</f>
        <v>19742.2095943179</v>
      </c>
    </row>
    <row r="835" customFormat="false" ht="15" hidden="false" customHeight="false" outlineLevel="0" collapsed="false">
      <c r="A835" s="24" t="n">
        <f aca="false">ROUND(A834+0.01,2)</f>
        <v>79.3</v>
      </c>
      <c r="B835" s="25" t="n">
        <f aca="false">INDEX(Bang_F,MATCH(A835,Bang_Z,1))+(A835-INDEX(Bang_Z,MATCH(A835,Bang_Z,1)))*(INDEX(Bang_F,MATCH(A835,Bang_Z,1)+1)-INDEX(Bang_F,MATCH(A835,Bang_Z,1)))</f>
        <v>8.64</v>
      </c>
      <c r="C835" s="25" t="n">
        <f aca="false">INDEX(Bang_W,MATCH(A835,Bang_Z,1))+(A835-INDEX(Bang_Z,MATCH(A835,Bang_Z,1)))*(INDEX(Bang_F,MATCH(A835,Bang_Z,1))+B835)/2</f>
        <v>70.5355</v>
      </c>
      <c r="D835" s="26" t="n">
        <f aca="false">MAX(A835-TC_Z,0)</f>
        <v>4.59999999999999</v>
      </c>
      <c r="E835" s="27" t="n">
        <f aca="false">1-0.2*(TC_xmb+(TC_n-1)*TC_xmt)*D835/(TC_n*TC_b)</f>
        <v>0.816851851851852</v>
      </c>
      <c r="F835" s="28" t="n">
        <f aca="false">TC_s*E835*TC_m*TC_n*TC_b*SQRT(2*g_)*D835^1.5</f>
        <v>346.973104513437</v>
      </c>
      <c r="G835" s="29" t="n">
        <f aca="false">MAX(A835-SC_Z,0)</f>
        <v>8.3</v>
      </c>
      <c r="H835" s="30" t="n">
        <f aca="false">1-0.2*(SC_xmb+(SC_n-1)*SC_xmt)*G835/(SC_n*SC_b)</f>
        <v>0.7676</v>
      </c>
      <c r="I835" s="31" t="n">
        <f aca="false">SC_s*H835*SC_m*SC_n*SC_b*SQRT(2*g_)*G835^1.5</f>
        <v>182.929658769459</v>
      </c>
      <c r="J835" s="32" t="n">
        <f aca="false">F835+I835</f>
        <v>529.902763282896</v>
      </c>
      <c r="K835" s="32" t="n">
        <f aca="false">F835</f>
        <v>346.973104513437</v>
      </c>
      <c r="L835" s="32" t="n">
        <f aca="false">C835*1000000/dt_s+J835/2</f>
        <v>19858.1458260859</v>
      </c>
      <c r="M835" s="32" t="n">
        <f aca="false">C835*1000000/dt_s+K835/2</f>
        <v>19766.6809967012</v>
      </c>
    </row>
    <row r="836" customFormat="false" ht="15" hidden="false" customHeight="false" outlineLevel="0" collapsed="false">
      <c r="A836" s="24" t="n">
        <f aca="false">ROUND(A835+0.01,2)</f>
        <v>79.31</v>
      </c>
      <c r="B836" s="25" t="n">
        <f aca="false">INDEX(Bang_F,MATCH(A836,Bang_Z,1))+(A836-INDEX(Bang_Z,MATCH(A836,Bang_Z,1)))*(INDEX(Bang_F,MATCH(A836,Bang_Z,1)+1)-INDEX(Bang_F,MATCH(A836,Bang_Z,1)))</f>
        <v>8.647</v>
      </c>
      <c r="C836" s="25" t="n">
        <f aca="false">INDEX(Bang_W,MATCH(A836,Bang_Z,1))+(A836-INDEX(Bang_Z,MATCH(A836,Bang_Z,1)))*(INDEX(Bang_F,MATCH(A836,Bang_Z,1))+B836)/2</f>
        <v>70.621935</v>
      </c>
      <c r="D836" s="26" t="n">
        <f aca="false">MAX(A836-TC_Z,0)</f>
        <v>4.61</v>
      </c>
      <c r="E836" s="27" t="n">
        <f aca="false">1-0.2*(TC_xmb+(TC_n-1)*TC_xmt)*D836/(TC_n*TC_b)</f>
        <v>0.816453703703704</v>
      </c>
      <c r="F836" s="28" t="n">
        <f aca="false">TC_s*E836*TC_m*TC_n*TC_b*SQRT(2*g_)*D836^1.5</f>
        <v>347.935480582481</v>
      </c>
      <c r="G836" s="29" t="n">
        <f aca="false">MAX(A836-SC_Z,0)</f>
        <v>8.31</v>
      </c>
      <c r="H836" s="30" t="n">
        <f aca="false">1-0.2*(SC_xmb+(SC_n-1)*SC_xmt)*G836/(SC_n*SC_b)</f>
        <v>0.76732</v>
      </c>
      <c r="I836" s="31" t="n">
        <f aca="false">SC_s*H836*SC_m*SC_n*SC_b*SQRT(2*g_)*G836^1.5</f>
        <v>183.193505607687</v>
      </c>
      <c r="J836" s="32" t="n">
        <f aca="false">F836+I836</f>
        <v>531.128986190168</v>
      </c>
      <c r="K836" s="32" t="n">
        <f aca="false">F836</f>
        <v>347.935480582481</v>
      </c>
      <c r="L836" s="32" t="n">
        <f aca="false">C836*1000000/dt_s+J836/2</f>
        <v>19882.7686597618</v>
      </c>
      <c r="M836" s="32" t="n">
        <f aca="false">C836*1000000/dt_s+K836/2</f>
        <v>19791.1719069579</v>
      </c>
    </row>
    <row r="837" customFormat="false" ht="15" hidden="false" customHeight="false" outlineLevel="0" collapsed="false">
      <c r="A837" s="24" t="n">
        <f aca="false">ROUND(A836+0.01,2)</f>
        <v>79.32</v>
      </c>
      <c r="B837" s="25" t="n">
        <f aca="false">INDEX(Bang_F,MATCH(A837,Bang_Z,1))+(A837-INDEX(Bang_Z,MATCH(A837,Bang_Z,1)))*(INDEX(Bang_F,MATCH(A837,Bang_Z,1)+1)-INDEX(Bang_F,MATCH(A837,Bang_Z,1)))</f>
        <v>8.654</v>
      </c>
      <c r="C837" s="25" t="n">
        <f aca="false">INDEX(Bang_W,MATCH(A837,Bang_Z,1))+(A837-INDEX(Bang_Z,MATCH(A837,Bang_Z,1)))*(INDEX(Bang_F,MATCH(A837,Bang_Z,1))+B837)/2</f>
        <v>70.7084399999999</v>
      </c>
      <c r="D837" s="26" t="n">
        <f aca="false">MAX(A837-TC_Z,0)</f>
        <v>4.61999999999999</v>
      </c>
      <c r="E837" s="27" t="n">
        <f aca="false">1-0.2*(TC_xmb+(TC_n-1)*TC_xmt)*D837/(TC_n*TC_b)</f>
        <v>0.816055555555556</v>
      </c>
      <c r="F837" s="28" t="n">
        <f aca="false">TC_s*E837*TC_m*TC_n*TC_b*SQRT(2*g_)*D837^1.5</f>
        <v>348.897980377893</v>
      </c>
      <c r="G837" s="29" t="n">
        <f aca="false">MAX(A837-SC_Z,0)</f>
        <v>8.31999999999999</v>
      </c>
      <c r="H837" s="30" t="n">
        <f aca="false">1-0.2*(SC_xmb+(SC_n-1)*SC_xmt)*G837/(SC_n*SC_b)</f>
        <v>0.76704</v>
      </c>
      <c r="I837" s="31" t="n">
        <f aca="false">SC_s*H837*SC_m*SC_n*SC_b*SQRT(2*g_)*G837^1.5</f>
        <v>183.457310077278</v>
      </c>
      <c r="J837" s="32" t="n">
        <f aca="false">F837+I837</f>
        <v>532.355290455171</v>
      </c>
      <c r="K837" s="32" t="n">
        <f aca="false">F837</f>
        <v>348.897980377893</v>
      </c>
      <c r="L837" s="32" t="n">
        <f aca="false">C837*1000000/dt_s+J837/2</f>
        <v>19907.4109785609</v>
      </c>
      <c r="M837" s="32" t="n">
        <f aca="false">C837*1000000/dt_s+K837/2</f>
        <v>19815.6823235223</v>
      </c>
    </row>
    <row r="838" customFormat="false" ht="15" hidden="false" customHeight="false" outlineLevel="0" collapsed="false">
      <c r="A838" s="24" t="n">
        <f aca="false">ROUND(A837+0.01,2)</f>
        <v>79.33</v>
      </c>
      <c r="B838" s="25" t="n">
        <f aca="false">INDEX(Bang_F,MATCH(A838,Bang_Z,1))+(A838-INDEX(Bang_Z,MATCH(A838,Bang_Z,1)))*(INDEX(Bang_F,MATCH(A838,Bang_Z,1)+1)-INDEX(Bang_F,MATCH(A838,Bang_Z,1)))</f>
        <v>8.661</v>
      </c>
      <c r="C838" s="25" t="n">
        <f aca="false">INDEX(Bang_W,MATCH(A838,Bang_Z,1))+(A838-INDEX(Bang_Z,MATCH(A838,Bang_Z,1)))*(INDEX(Bang_F,MATCH(A838,Bang_Z,1))+B838)/2</f>
        <v>70.795015</v>
      </c>
      <c r="D838" s="26" t="n">
        <f aca="false">MAX(A838-TC_Z,0)</f>
        <v>4.63</v>
      </c>
      <c r="E838" s="27" t="n">
        <f aca="false">1-0.2*(TC_xmb+(TC_n-1)*TC_xmt)*D838/(TC_n*TC_b)</f>
        <v>0.815657407407408</v>
      </c>
      <c r="F838" s="28" t="n">
        <f aca="false">TC_s*E838*TC_m*TC_n*TC_b*SQRT(2*g_)*D838^1.5</f>
        <v>349.860600775013</v>
      </c>
      <c r="G838" s="29" t="n">
        <f aca="false">MAX(A838-SC_Z,0)</f>
        <v>8.33</v>
      </c>
      <c r="H838" s="30" t="n">
        <f aca="false">1-0.2*(SC_xmb+(SC_n-1)*SC_xmt)*G838/(SC_n*SC_b)</f>
        <v>0.76676</v>
      </c>
      <c r="I838" s="31" t="n">
        <f aca="false">SC_s*H838*SC_m*SC_n*SC_b*SQRT(2*g_)*G838^1.5</f>
        <v>183.721071840909</v>
      </c>
      <c r="J838" s="32" t="n">
        <f aca="false">F838+I838</f>
        <v>533.581672615922</v>
      </c>
      <c r="K838" s="32" t="n">
        <f aca="false">F838</f>
        <v>349.860600775013</v>
      </c>
      <c r="L838" s="32" t="n">
        <f aca="false">C838*1000000/dt_s+J838/2</f>
        <v>19932.0727807524</v>
      </c>
      <c r="M838" s="32" t="n">
        <f aca="false">C838*1000000/dt_s+K838/2</f>
        <v>19840.2122448319</v>
      </c>
    </row>
    <row r="839" customFormat="false" ht="15" hidden="false" customHeight="false" outlineLevel="0" collapsed="false">
      <c r="A839" s="24" t="n">
        <f aca="false">ROUND(A838+0.01,2)</f>
        <v>79.34</v>
      </c>
      <c r="B839" s="25" t="n">
        <f aca="false">INDEX(Bang_F,MATCH(A839,Bang_Z,1))+(A839-INDEX(Bang_Z,MATCH(A839,Bang_Z,1)))*(INDEX(Bang_F,MATCH(A839,Bang_Z,1)+1)-INDEX(Bang_F,MATCH(A839,Bang_Z,1)))</f>
        <v>8.668</v>
      </c>
      <c r="C839" s="25" t="n">
        <f aca="false">INDEX(Bang_W,MATCH(A839,Bang_Z,1))+(A839-INDEX(Bang_Z,MATCH(A839,Bang_Z,1)))*(INDEX(Bang_F,MATCH(A839,Bang_Z,1))+B839)/2</f>
        <v>70.88166</v>
      </c>
      <c r="D839" s="26" t="n">
        <f aca="false">MAX(A839-TC_Z,0)</f>
        <v>4.64</v>
      </c>
      <c r="E839" s="27" t="n">
        <f aca="false">1-0.2*(TC_xmb+(TC_n-1)*TC_xmt)*D839/(TC_n*TC_b)</f>
        <v>0.815259259259259</v>
      </c>
      <c r="F839" s="28" t="n">
        <f aca="false">TC_s*E839*TC_m*TC_n*TC_b*SQRT(2*g_)*D839^1.5</f>
        <v>350.823338656074</v>
      </c>
      <c r="G839" s="29" t="n">
        <f aca="false">MAX(A839-SC_Z,0)</f>
        <v>8.34</v>
      </c>
      <c r="H839" s="30" t="n">
        <f aca="false">1-0.2*(SC_xmb+(SC_n-1)*SC_xmt)*G839/(SC_n*SC_b)</f>
        <v>0.76648</v>
      </c>
      <c r="I839" s="31" t="n">
        <f aca="false">SC_s*H839*SC_m*SC_n*SC_b*SQRT(2*g_)*G839^1.5</f>
        <v>183.984790561645</v>
      </c>
      <c r="J839" s="32" t="n">
        <f aca="false">F839+I839</f>
        <v>534.808129217719</v>
      </c>
      <c r="K839" s="32" t="n">
        <f aca="false">F839</f>
        <v>350.823338656074</v>
      </c>
      <c r="L839" s="32" t="n">
        <f aca="false">C839*1000000/dt_s+J839/2</f>
        <v>19956.7540646089</v>
      </c>
      <c r="M839" s="32" t="n">
        <f aca="false">C839*1000000/dt_s+K839/2</f>
        <v>19864.761669328</v>
      </c>
    </row>
    <row r="840" customFormat="false" ht="15" hidden="false" customHeight="false" outlineLevel="0" collapsed="false">
      <c r="A840" s="24" t="n">
        <f aca="false">ROUND(A839+0.01,2)</f>
        <v>79.35</v>
      </c>
      <c r="B840" s="25" t="n">
        <f aca="false">INDEX(Bang_F,MATCH(A840,Bang_Z,1))+(A840-INDEX(Bang_Z,MATCH(A840,Bang_Z,1)))*(INDEX(Bang_F,MATCH(A840,Bang_Z,1)+1)-INDEX(Bang_F,MATCH(A840,Bang_Z,1)))</f>
        <v>8.675</v>
      </c>
      <c r="C840" s="25" t="n">
        <f aca="false">INDEX(Bang_W,MATCH(A840,Bang_Z,1))+(A840-INDEX(Bang_Z,MATCH(A840,Bang_Z,1)))*(INDEX(Bang_F,MATCH(A840,Bang_Z,1))+B840)/2</f>
        <v>70.968375</v>
      </c>
      <c r="D840" s="26" t="n">
        <f aca="false">MAX(A840-TC_Z,0)</f>
        <v>4.64999999999999</v>
      </c>
      <c r="E840" s="27" t="n">
        <f aca="false">1-0.2*(TC_xmb+(TC_n-1)*TC_xmt)*D840/(TC_n*TC_b)</f>
        <v>0.814861111111112</v>
      </c>
      <c r="F840" s="28" t="n">
        <f aca="false">TC_s*E840*TC_m*TC_n*TC_b*SQRT(2*g_)*D840^1.5</f>
        <v>351.786190910171</v>
      </c>
      <c r="G840" s="29" t="n">
        <f aca="false">MAX(A840-SC_Z,0)</f>
        <v>8.34999999999999</v>
      </c>
      <c r="H840" s="30" t="n">
        <f aca="false">1-0.2*(SC_xmb+(SC_n-1)*SC_xmt)*G840/(SC_n*SC_b)</f>
        <v>0.7662</v>
      </c>
      <c r="I840" s="31" t="n">
        <f aca="false">SC_s*H840*SC_m*SC_n*SC_b*SQRT(2*g_)*G840^1.5</f>
        <v>184.24846590294</v>
      </c>
      <c r="J840" s="32" t="n">
        <f aca="false">F840+I840</f>
        <v>536.034656813111</v>
      </c>
      <c r="K840" s="32" t="n">
        <f aca="false">F840</f>
        <v>351.786190910171</v>
      </c>
      <c r="L840" s="32" t="n">
        <f aca="false">C840*1000000/dt_s+J840/2</f>
        <v>19981.4548284065</v>
      </c>
      <c r="M840" s="32" t="n">
        <f aca="false">C840*1000000/dt_s+K840/2</f>
        <v>19889.3305954551</v>
      </c>
    </row>
    <row r="841" customFormat="false" ht="15" hidden="false" customHeight="false" outlineLevel="0" collapsed="false">
      <c r="A841" s="24" t="n">
        <f aca="false">ROUND(A840+0.01,2)</f>
        <v>79.36</v>
      </c>
      <c r="B841" s="25" t="n">
        <f aca="false">INDEX(Bang_F,MATCH(A841,Bang_Z,1))+(A841-INDEX(Bang_Z,MATCH(A841,Bang_Z,1)))*(INDEX(Bang_F,MATCH(A841,Bang_Z,1)+1)-INDEX(Bang_F,MATCH(A841,Bang_Z,1)))</f>
        <v>8.682</v>
      </c>
      <c r="C841" s="25" t="n">
        <f aca="false">INDEX(Bang_W,MATCH(A841,Bang_Z,1))+(A841-INDEX(Bang_Z,MATCH(A841,Bang_Z,1)))*(INDEX(Bang_F,MATCH(A841,Bang_Z,1))+B841)/2</f>
        <v>71.05516</v>
      </c>
      <c r="D841" s="26" t="n">
        <f aca="false">MAX(A841-TC_Z,0)</f>
        <v>4.66</v>
      </c>
      <c r="E841" s="27" t="n">
        <f aca="false">1-0.2*(TC_xmb+(TC_n-1)*TC_xmt)*D841/(TC_n*TC_b)</f>
        <v>0.814462962962963</v>
      </c>
      <c r="F841" s="28" t="n">
        <f aca="false">TC_s*E841*TC_m*TC_n*TC_b*SQRT(2*g_)*D841^1.5</f>
        <v>352.749154433235</v>
      </c>
      <c r="G841" s="29" t="n">
        <f aca="false">MAX(A841-SC_Z,0)</f>
        <v>8.36</v>
      </c>
      <c r="H841" s="30" t="n">
        <f aca="false">1-0.2*(SC_xmb+(SC_n-1)*SC_xmt)*G841/(SC_n*SC_b)</f>
        <v>0.76592</v>
      </c>
      <c r="I841" s="31" t="n">
        <f aca="false">SC_s*H841*SC_m*SC_n*SC_b*SQRT(2*g_)*G841^1.5</f>
        <v>184.512097528637</v>
      </c>
      <c r="J841" s="32" t="n">
        <f aca="false">F841+I841</f>
        <v>537.261251961872</v>
      </c>
      <c r="K841" s="32" t="n">
        <f aca="false">F841</f>
        <v>352.749154433235</v>
      </c>
      <c r="L841" s="32" t="n">
        <f aca="false">C841*1000000/dt_s+J841/2</f>
        <v>20006.1750704254</v>
      </c>
      <c r="M841" s="32" t="n">
        <f aca="false">C841*1000000/dt_s+K841/2</f>
        <v>19913.9190216611</v>
      </c>
    </row>
    <row r="842" customFormat="false" ht="15" hidden="false" customHeight="false" outlineLevel="0" collapsed="false">
      <c r="A842" s="24" t="n">
        <f aca="false">ROUND(A841+0.01,2)</f>
        <v>79.37</v>
      </c>
      <c r="B842" s="25" t="n">
        <f aca="false">INDEX(Bang_F,MATCH(A842,Bang_Z,1))+(A842-INDEX(Bang_Z,MATCH(A842,Bang_Z,1)))*(INDEX(Bang_F,MATCH(A842,Bang_Z,1)+1)-INDEX(Bang_F,MATCH(A842,Bang_Z,1)))</f>
        <v>8.689</v>
      </c>
      <c r="C842" s="25" t="n">
        <f aca="false">INDEX(Bang_W,MATCH(A842,Bang_Z,1))+(A842-INDEX(Bang_Z,MATCH(A842,Bang_Z,1)))*(INDEX(Bang_F,MATCH(A842,Bang_Z,1))+B842)/2</f>
        <v>71.142015</v>
      </c>
      <c r="D842" s="26" t="n">
        <f aca="false">MAX(A842-TC_Z,0)</f>
        <v>4.67</v>
      </c>
      <c r="E842" s="27" t="n">
        <f aca="false">1-0.2*(TC_xmb+(TC_n-1)*TC_xmt)*D842/(TC_n*TC_b)</f>
        <v>0.814064814814815</v>
      </c>
      <c r="F842" s="28" t="n">
        <f aca="false">TC_s*E842*TC_m*TC_n*TC_b*SQRT(2*g_)*D842^1.5</f>
        <v>353.712226127988</v>
      </c>
      <c r="G842" s="29" t="n">
        <f aca="false">MAX(A842-SC_Z,0)</f>
        <v>8.37000000000001</v>
      </c>
      <c r="H842" s="30" t="n">
        <f aca="false">1-0.2*(SC_xmb+(SC_n-1)*SC_xmt)*G842/(SC_n*SC_b)</f>
        <v>0.76564</v>
      </c>
      <c r="I842" s="31" t="n">
        <f aca="false">SC_s*H842*SC_m*SC_n*SC_b*SQRT(2*g_)*G842^1.5</f>
        <v>184.775685102963</v>
      </c>
      <c r="J842" s="32" t="n">
        <f aca="false">F842+I842</f>
        <v>538.487911230952</v>
      </c>
      <c r="K842" s="32" t="n">
        <f aca="false">F842</f>
        <v>353.712226127988</v>
      </c>
      <c r="L842" s="32" t="n">
        <f aca="false">C842*1000000/dt_s+J842/2</f>
        <v>20030.9147889488</v>
      </c>
      <c r="M842" s="32" t="n">
        <f aca="false">C842*1000000/dt_s+K842/2</f>
        <v>19938.5269463973</v>
      </c>
    </row>
    <row r="843" customFormat="false" ht="15" hidden="false" customHeight="false" outlineLevel="0" collapsed="false">
      <c r="A843" s="24" t="n">
        <f aca="false">ROUND(A842+0.01,2)</f>
        <v>79.38</v>
      </c>
      <c r="B843" s="25" t="n">
        <f aca="false">INDEX(Bang_F,MATCH(A843,Bang_Z,1))+(A843-INDEX(Bang_Z,MATCH(A843,Bang_Z,1)))*(INDEX(Bang_F,MATCH(A843,Bang_Z,1)+1)-INDEX(Bang_F,MATCH(A843,Bang_Z,1)))</f>
        <v>8.696</v>
      </c>
      <c r="C843" s="25" t="n">
        <f aca="false">INDEX(Bang_W,MATCH(A843,Bang_Z,1))+(A843-INDEX(Bang_Z,MATCH(A843,Bang_Z,1)))*(INDEX(Bang_F,MATCH(A843,Bang_Z,1))+B843)/2</f>
        <v>71.22894</v>
      </c>
      <c r="D843" s="26" t="n">
        <f aca="false">MAX(A843-TC_Z,0)</f>
        <v>4.67999999999999</v>
      </c>
      <c r="E843" s="27" t="n">
        <f aca="false">1-0.2*(TC_xmb+(TC_n-1)*TC_xmt)*D843/(TC_n*TC_b)</f>
        <v>0.813666666666667</v>
      </c>
      <c r="F843" s="28" t="n">
        <f aca="false">TC_s*E843*TC_m*TC_n*TC_b*SQRT(2*g_)*D843^1.5</f>
        <v>354.675402903918</v>
      </c>
      <c r="G843" s="29" t="n">
        <f aca="false">MAX(A843-SC_Z,0)</f>
        <v>8.38</v>
      </c>
      <c r="H843" s="30" t="n">
        <f aca="false">1-0.2*(SC_xmb+(SC_n-1)*SC_xmt)*G843/(SC_n*SC_b)</f>
        <v>0.76536</v>
      </c>
      <c r="I843" s="31" t="n">
        <f aca="false">SC_s*H843*SC_m*SC_n*SC_b*SQRT(2*g_)*G843^1.5</f>
        <v>185.039228290534</v>
      </c>
      <c r="J843" s="32" t="n">
        <f aca="false">F843+I843</f>
        <v>539.714631194452</v>
      </c>
      <c r="K843" s="32" t="n">
        <f aca="false">F843</f>
        <v>354.675402903918</v>
      </c>
      <c r="L843" s="32" t="n">
        <f aca="false">C843*1000000/dt_s+J843/2</f>
        <v>20055.6739822639</v>
      </c>
      <c r="M843" s="32" t="n">
        <f aca="false">C843*1000000/dt_s+K843/2</f>
        <v>19963.1543681186</v>
      </c>
    </row>
    <row r="844" customFormat="false" ht="15" hidden="false" customHeight="false" outlineLevel="0" collapsed="false">
      <c r="A844" s="24" t="n">
        <f aca="false">ROUND(A843+0.01,2)</f>
        <v>79.39</v>
      </c>
      <c r="B844" s="25" t="n">
        <f aca="false">INDEX(Bang_F,MATCH(A844,Bang_Z,1))+(A844-INDEX(Bang_Z,MATCH(A844,Bang_Z,1)))*(INDEX(Bang_F,MATCH(A844,Bang_Z,1)+1)-INDEX(Bang_F,MATCH(A844,Bang_Z,1)))</f>
        <v>8.703</v>
      </c>
      <c r="C844" s="25" t="n">
        <f aca="false">INDEX(Bang_W,MATCH(A844,Bang_Z,1))+(A844-INDEX(Bang_Z,MATCH(A844,Bang_Z,1)))*(INDEX(Bang_F,MATCH(A844,Bang_Z,1))+B844)/2</f>
        <v>71.315935</v>
      </c>
      <c r="D844" s="26" t="n">
        <f aca="false">MAX(A844-TC_Z,0)</f>
        <v>4.69</v>
      </c>
      <c r="E844" s="27" t="n">
        <f aca="false">1-0.2*(TC_xmb+(TC_n-1)*TC_xmt)*D844/(TC_n*TC_b)</f>
        <v>0.813268518518519</v>
      </c>
      <c r="F844" s="28" t="n">
        <f aca="false">TC_s*E844*TC_m*TC_n*TC_b*SQRT(2*g_)*D844^1.5</f>
        <v>355.638681677246</v>
      </c>
      <c r="G844" s="29" t="n">
        <f aca="false">MAX(A844-SC_Z,0)</f>
        <v>8.39</v>
      </c>
      <c r="H844" s="30" t="n">
        <f aca="false">1-0.2*(SC_xmb+(SC_n-1)*SC_xmt)*G844/(SC_n*SC_b)</f>
        <v>0.76508</v>
      </c>
      <c r="I844" s="31" t="n">
        <f aca="false">SC_s*H844*SC_m*SC_n*SC_b*SQRT(2*g_)*G844^1.5</f>
        <v>185.302726756349</v>
      </c>
      <c r="J844" s="32" t="n">
        <f aca="false">F844+I844</f>
        <v>540.941408433595</v>
      </c>
      <c r="K844" s="32" t="n">
        <f aca="false">F844</f>
        <v>355.638681677246</v>
      </c>
      <c r="L844" s="32" t="n">
        <f aca="false">C844*1000000/dt_s+J844/2</f>
        <v>20080.4526486612</v>
      </c>
      <c r="M844" s="32" t="n">
        <f aca="false">C844*1000000/dt_s+K844/2</f>
        <v>19987.8012852831</v>
      </c>
    </row>
    <row r="845" customFormat="false" ht="15" hidden="false" customHeight="false" outlineLevel="0" collapsed="false">
      <c r="A845" s="24" t="n">
        <f aca="false">ROUND(A844+0.01,2)</f>
        <v>79.4</v>
      </c>
      <c r="B845" s="25" t="n">
        <f aca="false">INDEX(Bang_F,MATCH(A845,Bang_Z,1))+(A845-INDEX(Bang_Z,MATCH(A845,Bang_Z,1)))*(INDEX(Bang_F,MATCH(A845,Bang_Z,1)+1)-INDEX(Bang_F,MATCH(A845,Bang_Z,1)))</f>
        <v>8.71</v>
      </c>
      <c r="C845" s="25" t="n">
        <f aca="false">INDEX(Bang_W,MATCH(A845,Bang_Z,1))+(A845-INDEX(Bang_Z,MATCH(A845,Bang_Z,1)))*(INDEX(Bang_F,MATCH(A845,Bang_Z,1))+B845)/2</f>
        <v>71.4030000000001</v>
      </c>
      <c r="D845" s="26" t="n">
        <f aca="false">MAX(A845-TC_Z,0)</f>
        <v>4.7</v>
      </c>
      <c r="E845" s="27" t="n">
        <f aca="false">1-0.2*(TC_xmb+(TC_n-1)*TC_xmt)*D845/(TC_n*TC_b)</f>
        <v>0.81287037037037</v>
      </c>
      <c r="F845" s="28" t="n">
        <f aca="false">TC_s*E845*TC_m*TC_n*TC_b*SQRT(2*g_)*D845^1.5</f>
        <v>356.602059370887</v>
      </c>
      <c r="G845" s="29" t="n">
        <f aca="false">MAX(A845-SC_Z,0)</f>
        <v>8.40000000000001</v>
      </c>
      <c r="H845" s="30" t="n">
        <f aca="false">1-0.2*(SC_xmb+(SC_n-1)*SC_xmt)*G845/(SC_n*SC_b)</f>
        <v>0.7648</v>
      </c>
      <c r="I845" s="31" t="n">
        <f aca="false">SC_s*H845*SC_m*SC_n*SC_b*SQRT(2*g_)*G845^1.5</f>
        <v>185.56618016579</v>
      </c>
      <c r="J845" s="32" t="n">
        <f aca="false">F845+I845</f>
        <v>542.168239536678</v>
      </c>
      <c r="K845" s="32" t="n">
        <f aca="false">F845</f>
        <v>356.602059370887</v>
      </c>
      <c r="L845" s="32" t="n">
        <f aca="false">C845*1000000/dt_s+J845/2</f>
        <v>20105.250786435</v>
      </c>
      <c r="M845" s="32" t="n">
        <f aca="false">C845*1000000/dt_s+K845/2</f>
        <v>20012.4676963521</v>
      </c>
    </row>
    <row r="846" customFormat="false" ht="15" hidden="false" customHeight="false" outlineLevel="0" collapsed="false">
      <c r="A846" s="24" t="n">
        <f aca="false">ROUND(A845+0.01,2)</f>
        <v>79.41</v>
      </c>
      <c r="B846" s="25" t="n">
        <f aca="false">INDEX(Bang_F,MATCH(A846,Bang_Z,1))+(A846-INDEX(Bang_Z,MATCH(A846,Bang_Z,1)))*(INDEX(Bang_F,MATCH(A846,Bang_Z,1)+1)-INDEX(Bang_F,MATCH(A846,Bang_Z,1)))</f>
        <v>8.717</v>
      </c>
      <c r="C846" s="25" t="n">
        <f aca="false">INDEX(Bang_W,MATCH(A846,Bang_Z,1))+(A846-INDEX(Bang_Z,MATCH(A846,Bang_Z,1)))*(INDEX(Bang_F,MATCH(A846,Bang_Z,1))+B846)/2</f>
        <v>71.490135</v>
      </c>
      <c r="D846" s="26" t="n">
        <f aca="false">MAX(A846-TC_Z,0)</f>
        <v>4.70999999999999</v>
      </c>
      <c r="E846" s="27" t="n">
        <f aca="false">1-0.2*(TC_xmb+(TC_n-1)*TC_xmt)*D846/(TC_n*TC_b)</f>
        <v>0.812472222222223</v>
      </c>
      <c r="F846" s="28" t="n">
        <f aca="false">TC_s*E846*TC_m*TC_n*TC_b*SQRT(2*g_)*D846^1.5</f>
        <v>357.565532914425</v>
      </c>
      <c r="G846" s="29" t="n">
        <f aca="false">MAX(A846-SC_Z,0)</f>
        <v>8.41</v>
      </c>
      <c r="H846" s="30" t="n">
        <f aca="false">1-0.2*(SC_xmb+(SC_n-1)*SC_xmt)*G846/(SC_n*SC_b)</f>
        <v>0.76452</v>
      </c>
      <c r="I846" s="31" t="n">
        <f aca="false">SC_s*H846*SC_m*SC_n*SC_b*SQRT(2*g_)*G846^1.5</f>
        <v>185.829588184623</v>
      </c>
      <c r="J846" s="32" t="n">
        <f aca="false">F846+I846</f>
        <v>543.395121099049</v>
      </c>
      <c r="K846" s="32" t="n">
        <f aca="false">F846</f>
        <v>357.565532914425</v>
      </c>
      <c r="L846" s="32" t="n">
        <f aca="false">C846*1000000/dt_s+J846/2</f>
        <v>20130.0683938828</v>
      </c>
      <c r="M846" s="32" t="n">
        <f aca="false">C846*1000000/dt_s+K846/2</f>
        <v>20037.1535997905</v>
      </c>
    </row>
    <row r="847" customFormat="false" ht="15" hidden="false" customHeight="false" outlineLevel="0" collapsed="false">
      <c r="A847" s="24" t="n">
        <f aca="false">ROUND(A846+0.01,2)</f>
        <v>79.42</v>
      </c>
      <c r="B847" s="25" t="n">
        <f aca="false">INDEX(Bang_F,MATCH(A847,Bang_Z,1))+(A847-INDEX(Bang_Z,MATCH(A847,Bang_Z,1)))*(INDEX(Bang_F,MATCH(A847,Bang_Z,1)+1)-INDEX(Bang_F,MATCH(A847,Bang_Z,1)))</f>
        <v>8.724</v>
      </c>
      <c r="C847" s="25" t="n">
        <f aca="false">INDEX(Bang_W,MATCH(A847,Bang_Z,1))+(A847-INDEX(Bang_Z,MATCH(A847,Bang_Z,1)))*(INDEX(Bang_F,MATCH(A847,Bang_Z,1))+B847)/2</f>
        <v>71.57734</v>
      </c>
      <c r="D847" s="26" t="n">
        <f aca="false">MAX(A847-TC_Z,0)</f>
        <v>4.72</v>
      </c>
      <c r="E847" s="27" t="n">
        <f aca="false">1-0.2*(TC_xmb+(TC_n-1)*TC_xmt)*D847/(TC_n*TC_b)</f>
        <v>0.812074074074074</v>
      </c>
      <c r="F847" s="28" t="n">
        <f aca="false">TC_s*E847*TC_m*TC_n*TC_b*SQRT(2*g_)*D847^1.5</f>
        <v>358.529099244081</v>
      </c>
      <c r="G847" s="29" t="n">
        <f aca="false">MAX(A847-SC_Z,0)</f>
        <v>8.42</v>
      </c>
      <c r="H847" s="30" t="n">
        <f aca="false">1-0.2*(SC_xmb+(SC_n-1)*SC_xmt)*G847/(SC_n*SC_b)</f>
        <v>0.76424</v>
      </c>
      <c r="I847" s="31" t="n">
        <f aca="false">SC_s*H847*SC_m*SC_n*SC_b*SQRT(2*g_)*G847^1.5</f>
        <v>186.092950478995</v>
      </c>
      <c r="J847" s="32" t="n">
        <f aca="false">F847+I847</f>
        <v>544.622049723076</v>
      </c>
      <c r="K847" s="32" t="n">
        <f aca="false">F847</f>
        <v>358.529099244081</v>
      </c>
      <c r="L847" s="32" t="n">
        <f aca="false">C847*1000000/dt_s+J847/2</f>
        <v>20154.905469306</v>
      </c>
      <c r="M847" s="32" t="n">
        <f aca="false">C847*1000000/dt_s+K847/2</f>
        <v>20061.8589940665</v>
      </c>
    </row>
    <row r="848" customFormat="false" ht="15" hidden="false" customHeight="false" outlineLevel="0" collapsed="false">
      <c r="A848" s="24" t="n">
        <f aca="false">ROUND(A847+0.01,2)</f>
        <v>79.43</v>
      </c>
      <c r="B848" s="25" t="n">
        <f aca="false">INDEX(Bang_F,MATCH(A848,Bang_Z,1))+(A848-INDEX(Bang_Z,MATCH(A848,Bang_Z,1)))*(INDEX(Bang_F,MATCH(A848,Bang_Z,1)+1)-INDEX(Bang_F,MATCH(A848,Bang_Z,1)))</f>
        <v>8.73100000000001</v>
      </c>
      <c r="C848" s="25" t="n">
        <f aca="false">INDEX(Bang_W,MATCH(A848,Bang_Z,1))+(A848-INDEX(Bang_Z,MATCH(A848,Bang_Z,1)))*(INDEX(Bang_F,MATCH(A848,Bang_Z,1))+B848)/2</f>
        <v>71.6646150000001</v>
      </c>
      <c r="D848" s="26" t="n">
        <f aca="false">MAX(A848-TC_Z,0)</f>
        <v>4.73</v>
      </c>
      <c r="E848" s="27" t="n">
        <f aca="false">1-0.2*(TC_xmb+(TC_n-1)*TC_xmt)*D848/(TC_n*TC_b)</f>
        <v>0.811675925925926</v>
      </c>
      <c r="F848" s="28" t="n">
        <f aca="false">TC_s*E848*TC_m*TC_n*TC_b*SQRT(2*g_)*D848^1.5</f>
        <v>359.492755302673</v>
      </c>
      <c r="G848" s="29" t="n">
        <f aca="false">MAX(A848-SC_Z,0)</f>
        <v>8.43000000000001</v>
      </c>
      <c r="H848" s="30" t="n">
        <f aca="false">1-0.2*(SC_xmb+(SC_n-1)*SC_xmt)*G848/(SC_n*SC_b)</f>
        <v>0.76396</v>
      </c>
      <c r="I848" s="31" t="n">
        <f aca="false">SC_s*H848*SC_m*SC_n*SC_b*SQRT(2*g_)*G848^1.5</f>
        <v>186.356266715432</v>
      </c>
      <c r="J848" s="32" t="n">
        <f aca="false">F848+I848</f>
        <v>545.849022018105</v>
      </c>
      <c r="K848" s="32" t="n">
        <f aca="false">F848</f>
        <v>359.492755302673</v>
      </c>
      <c r="L848" s="32" t="n">
        <f aca="false">C848*1000000/dt_s+J848/2</f>
        <v>20179.7620110091</v>
      </c>
      <c r="M848" s="32" t="n">
        <f aca="false">C848*1000000/dt_s+K848/2</f>
        <v>20086.5838776514</v>
      </c>
    </row>
    <row r="849" customFormat="false" ht="15" hidden="false" customHeight="false" outlineLevel="0" collapsed="false">
      <c r="A849" s="24" t="n">
        <f aca="false">ROUND(A848+0.01,2)</f>
        <v>79.44</v>
      </c>
      <c r="B849" s="25" t="n">
        <f aca="false">INDEX(Bang_F,MATCH(A849,Bang_Z,1))+(A849-INDEX(Bang_Z,MATCH(A849,Bang_Z,1)))*(INDEX(Bang_F,MATCH(A849,Bang_Z,1)+1)-INDEX(Bang_F,MATCH(A849,Bang_Z,1)))</f>
        <v>8.738</v>
      </c>
      <c r="C849" s="25" t="n">
        <f aca="false">INDEX(Bang_W,MATCH(A849,Bang_Z,1))+(A849-INDEX(Bang_Z,MATCH(A849,Bang_Z,1)))*(INDEX(Bang_F,MATCH(A849,Bang_Z,1))+B849)/2</f>
        <v>71.75196</v>
      </c>
      <c r="D849" s="26" t="n">
        <f aca="false">MAX(A849-TC_Z,0)</f>
        <v>4.74</v>
      </c>
      <c r="E849" s="27" t="n">
        <f aca="false">1-0.2*(TC_xmb+(TC_n-1)*TC_xmt)*D849/(TC_n*TC_b)</f>
        <v>0.811277777777778</v>
      </c>
      <c r="F849" s="28" t="n">
        <f aca="false">TC_s*E849*TC_m*TC_n*TC_b*SQRT(2*g_)*D849^1.5</f>
        <v>360.456498039592</v>
      </c>
      <c r="G849" s="29" t="n">
        <f aca="false">MAX(A849-SC_Z,0)</f>
        <v>8.44</v>
      </c>
      <c r="H849" s="30" t="n">
        <f aca="false">1-0.2*(SC_xmb+(SC_n-1)*SC_xmt)*G849/(SC_n*SC_b)</f>
        <v>0.76368</v>
      </c>
      <c r="I849" s="31" t="n">
        <f aca="false">SC_s*H849*SC_m*SC_n*SC_b*SQRT(2*g_)*G849^1.5</f>
        <v>186.619536560842</v>
      </c>
      <c r="J849" s="32" t="n">
        <f aca="false">F849+I849</f>
        <v>547.076034600435</v>
      </c>
      <c r="K849" s="32" t="n">
        <f aca="false">F849</f>
        <v>360.456498039592</v>
      </c>
      <c r="L849" s="32" t="n">
        <f aca="false">C849*1000000/dt_s+J849/2</f>
        <v>20204.6380173002</v>
      </c>
      <c r="M849" s="32" t="n">
        <f aca="false">C849*1000000/dt_s+K849/2</f>
        <v>20111.3282490198</v>
      </c>
    </row>
    <row r="850" customFormat="false" ht="15" hidden="false" customHeight="false" outlineLevel="0" collapsed="false">
      <c r="A850" s="24" t="n">
        <f aca="false">ROUND(A849+0.01,2)</f>
        <v>79.45</v>
      </c>
      <c r="B850" s="25" t="n">
        <f aca="false">INDEX(Bang_F,MATCH(A850,Bang_Z,1))+(A850-INDEX(Bang_Z,MATCH(A850,Bang_Z,1)))*(INDEX(Bang_F,MATCH(A850,Bang_Z,1)+1)-INDEX(Bang_F,MATCH(A850,Bang_Z,1)))</f>
        <v>8.745</v>
      </c>
      <c r="C850" s="25" t="n">
        <f aca="false">INDEX(Bang_W,MATCH(A850,Bang_Z,1))+(A850-INDEX(Bang_Z,MATCH(A850,Bang_Z,1)))*(INDEX(Bang_F,MATCH(A850,Bang_Z,1))+B850)/2</f>
        <v>71.839375</v>
      </c>
      <c r="D850" s="26" t="n">
        <f aca="false">MAX(A850-TC_Z,0)</f>
        <v>4.75</v>
      </c>
      <c r="E850" s="27" t="n">
        <f aca="false">1-0.2*(TC_xmb+(TC_n-1)*TC_xmt)*D850/(TC_n*TC_b)</f>
        <v>0.81087962962963</v>
      </c>
      <c r="F850" s="28" t="n">
        <f aca="false">TC_s*E850*TC_m*TC_n*TC_b*SQRT(2*g_)*D850^1.5</f>
        <v>361.420324410772</v>
      </c>
      <c r="G850" s="29" t="n">
        <f aca="false">MAX(A850-SC_Z,0)</f>
        <v>8.45</v>
      </c>
      <c r="H850" s="30" t="n">
        <f aca="false">1-0.2*(SC_xmb+(SC_n-1)*SC_xmt)*G850/(SC_n*SC_b)</f>
        <v>0.7634</v>
      </c>
      <c r="I850" s="31" t="n">
        <f aca="false">SC_s*H850*SC_m*SC_n*SC_b*SQRT(2*g_)*G850^1.5</f>
        <v>186.882759682511</v>
      </c>
      <c r="J850" s="32" t="n">
        <f aca="false">F850+I850</f>
        <v>548.303084093283</v>
      </c>
      <c r="K850" s="32" t="n">
        <f aca="false">F850</f>
        <v>361.420324410772</v>
      </c>
      <c r="L850" s="32" t="n">
        <f aca="false">C850*1000000/dt_s+J850/2</f>
        <v>20229.5334864911</v>
      </c>
      <c r="M850" s="32" t="n">
        <f aca="false">C850*1000000/dt_s+K850/2</f>
        <v>20136.0921066498</v>
      </c>
    </row>
    <row r="851" customFormat="false" ht="15" hidden="false" customHeight="false" outlineLevel="0" collapsed="false">
      <c r="A851" s="24" t="n">
        <f aca="false">ROUND(A850+0.01,2)</f>
        <v>79.46</v>
      </c>
      <c r="B851" s="25" t="n">
        <f aca="false">INDEX(Bang_F,MATCH(A851,Bang_Z,1))+(A851-INDEX(Bang_Z,MATCH(A851,Bang_Z,1)))*(INDEX(Bang_F,MATCH(A851,Bang_Z,1)+1)-INDEX(Bang_F,MATCH(A851,Bang_Z,1)))</f>
        <v>8.752</v>
      </c>
      <c r="C851" s="25" t="n">
        <f aca="false">INDEX(Bang_W,MATCH(A851,Bang_Z,1))+(A851-INDEX(Bang_Z,MATCH(A851,Bang_Z,1)))*(INDEX(Bang_F,MATCH(A851,Bang_Z,1))+B851)/2</f>
        <v>71.9268599999999</v>
      </c>
      <c r="D851" s="26" t="n">
        <f aca="false">MAX(A851-TC_Z,0)</f>
        <v>4.75999999999999</v>
      </c>
      <c r="E851" s="27" t="n">
        <f aca="false">1-0.2*(TC_xmb+(TC_n-1)*TC_xmt)*D851/(TC_n*TC_b)</f>
        <v>0.810481481481482</v>
      </c>
      <c r="F851" s="28" t="n">
        <f aca="false">TC_s*E851*TC_m*TC_n*TC_b*SQRT(2*g_)*D851^1.5</f>
        <v>362.384231378647</v>
      </c>
      <c r="G851" s="29" t="n">
        <f aca="false">MAX(A851-SC_Z,0)</f>
        <v>8.45999999999999</v>
      </c>
      <c r="H851" s="30" t="n">
        <f aca="false">1-0.2*(SC_xmb+(SC_n-1)*SC_xmt)*G851/(SC_n*SC_b)</f>
        <v>0.76312</v>
      </c>
      <c r="I851" s="31" t="n">
        <f aca="false">SC_s*H851*SC_m*SC_n*SC_b*SQRT(2*g_)*G851^1.5</f>
        <v>187.145935748102</v>
      </c>
      <c r="J851" s="32" t="n">
        <f aca="false">F851+I851</f>
        <v>549.530167126749</v>
      </c>
      <c r="K851" s="32" t="n">
        <f aca="false">F851</f>
        <v>362.384231378647</v>
      </c>
      <c r="L851" s="32" t="n">
        <f aca="false">C851*1000000/dt_s+J851/2</f>
        <v>20254.4484168967</v>
      </c>
      <c r="M851" s="32" t="n">
        <f aca="false">C851*1000000/dt_s+K851/2</f>
        <v>20160.8754490226</v>
      </c>
    </row>
    <row r="852" customFormat="false" ht="15" hidden="false" customHeight="false" outlineLevel="0" collapsed="false">
      <c r="A852" s="24" t="n">
        <f aca="false">ROUND(A851+0.01,2)</f>
        <v>79.47</v>
      </c>
      <c r="B852" s="25" t="n">
        <f aca="false">INDEX(Bang_F,MATCH(A852,Bang_Z,1))+(A852-INDEX(Bang_Z,MATCH(A852,Bang_Z,1)))*(INDEX(Bang_F,MATCH(A852,Bang_Z,1)+1)-INDEX(Bang_F,MATCH(A852,Bang_Z,1)))</f>
        <v>8.759</v>
      </c>
      <c r="C852" s="25" t="n">
        <f aca="false">INDEX(Bang_W,MATCH(A852,Bang_Z,1))+(A852-INDEX(Bang_Z,MATCH(A852,Bang_Z,1)))*(INDEX(Bang_F,MATCH(A852,Bang_Z,1))+B852)/2</f>
        <v>72.014415</v>
      </c>
      <c r="D852" s="26" t="n">
        <f aca="false">MAX(A852-TC_Z,0)</f>
        <v>4.77</v>
      </c>
      <c r="E852" s="27" t="n">
        <f aca="false">1-0.2*(TC_xmb+(TC_n-1)*TC_xmt)*D852/(TC_n*TC_b)</f>
        <v>0.810083333333334</v>
      </c>
      <c r="F852" s="28" t="n">
        <f aca="false">TC_s*E852*TC_m*TC_n*TC_b*SQRT(2*g_)*D852^1.5</f>
        <v>363.348215912139</v>
      </c>
      <c r="G852" s="29" t="n">
        <f aca="false">MAX(A852-SC_Z,0)</f>
        <v>8.47</v>
      </c>
      <c r="H852" s="30" t="n">
        <f aca="false">1-0.2*(SC_xmb+(SC_n-1)*SC_xmt)*G852/(SC_n*SC_b)</f>
        <v>0.76284</v>
      </c>
      <c r="I852" s="31" t="n">
        <f aca="false">SC_s*H852*SC_m*SC_n*SC_b*SQRT(2*g_)*G852^1.5</f>
        <v>187.409064425654</v>
      </c>
      <c r="J852" s="32" t="n">
        <f aca="false">F852+I852</f>
        <v>550.757280337793</v>
      </c>
      <c r="K852" s="32" t="n">
        <f aca="false">F852</f>
        <v>363.348215912139</v>
      </c>
      <c r="L852" s="32" t="n">
        <f aca="false">C852*1000000/dt_s+J852/2</f>
        <v>20279.3828068356</v>
      </c>
      <c r="M852" s="32" t="n">
        <f aca="false">C852*1000000/dt_s+K852/2</f>
        <v>20185.6782746227</v>
      </c>
    </row>
    <row r="853" customFormat="false" ht="15" hidden="false" customHeight="false" outlineLevel="0" collapsed="false">
      <c r="A853" s="24" t="n">
        <f aca="false">ROUND(A852+0.01,2)</f>
        <v>79.48</v>
      </c>
      <c r="B853" s="25" t="n">
        <f aca="false">INDEX(Bang_F,MATCH(A853,Bang_Z,1))+(A853-INDEX(Bang_Z,MATCH(A853,Bang_Z,1)))*(INDEX(Bang_F,MATCH(A853,Bang_Z,1)+1)-INDEX(Bang_F,MATCH(A853,Bang_Z,1)))</f>
        <v>8.766</v>
      </c>
      <c r="C853" s="25" t="n">
        <f aca="false">INDEX(Bang_W,MATCH(A853,Bang_Z,1))+(A853-INDEX(Bang_Z,MATCH(A853,Bang_Z,1)))*(INDEX(Bang_F,MATCH(A853,Bang_Z,1))+B853)/2</f>
        <v>72.10204</v>
      </c>
      <c r="D853" s="26" t="n">
        <f aca="false">MAX(A853-TC_Z,0)</f>
        <v>4.78</v>
      </c>
      <c r="E853" s="27" t="n">
        <f aca="false">1-0.2*(TC_xmb+(TC_n-1)*TC_xmt)*D853/(TC_n*TC_b)</f>
        <v>0.809685185185185</v>
      </c>
      <c r="F853" s="28" t="n">
        <f aca="false">TC_s*E853*TC_m*TC_n*TC_b*SQRT(2*g_)*D853^1.5</f>
        <v>364.312274986608</v>
      </c>
      <c r="G853" s="29" t="n">
        <f aca="false">MAX(A853-SC_Z,0)</f>
        <v>8.48</v>
      </c>
      <c r="H853" s="30" t="n">
        <f aca="false">1-0.2*(SC_xmb+(SC_n-1)*SC_xmt)*G853/(SC_n*SC_b)</f>
        <v>0.76256</v>
      </c>
      <c r="I853" s="31" t="n">
        <f aca="false">SC_s*H853*SC_m*SC_n*SC_b*SQRT(2*g_)*G853^1.5</f>
        <v>187.672145383584</v>
      </c>
      <c r="J853" s="32" t="n">
        <f aca="false">F853+I853</f>
        <v>551.984420370192</v>
      </c>
      <c r="K853" s="32" t="n">
        <f aca="false">F853</f>
        <v>364.312274986608</v>
      </c>
      <c r="L853" s="32" t="n">
        <f aca="false">C853*1000000/dt_s+J853/2</f>
        <v>20304.3366546296</v>
      </c>
      <c r="M853" s="32" t="n">
        <f aca="false">C853*1000000/dt_s+K853/2</f>
        <v>20210.5005819378</v>
      </c>
    </row>
    <row r="854" customFormat="false" ht="15" hidden="false" customHeight="false" outlineLevel="0" collapsed="false">
      <c r="A854" s="24" t="n">
        <f aca="false">ROUND(A853+0.01,2)</f>
        <v>79.49</v>
      </c>
      <c r="B854" s="25" t="n">
        <f aca="false">INDEX(Bang_F,MATCH(A854,Bang_Z,1))+(A854-INDEX(Bang_Z,MATCH(A854,Bang_Z,1)))*(INDEX(Bang_F,MATCH(A854,Bang_Z,1)+1)-INDEX(Bang_F,MATCH(A854,Bang_Z,1)))</f>
        <v>8.773</v>
      </c>
      <c r="C854" s="25" t="n">
        <f aca="false">INDEX(Bang_W,MATCH(A854,Bang_Z,1))+(A854-INDEX(Bang_Z,MATCH(A854,Bang_Z,1)))*(INDEX(Bang_F,MATCH(A854,Bang_Z,1))+B854)/2</f>
        <v>72.189735</v>
      </c>
      <c r="D854" s="26" t="n">
        <f aca="false">MAX(A854-TC_Z,0)</f>
        <v>4.78999999999999</v>
      </c>
      <c r="E854" s="27" t="n">
        <f aca="false">1-0.2*(TC_xmb+(TC_n-1)*TC_xmt)*D854/(TC_n*TC_b)</f>
        <v>0.809287037037037</v>
      </c>
      <c r="F854" s="28" t="n">
        <f aca="false">TC_s*E854*TC_m*TC_n*TC_b*SQRT(2*g_)*D854^1.5</f>
        <v>365.276405583832</v>
      </c>
      <c r="G854" s="29" t="n">
        <f aca="false">MAX(A854-SC_Z,0)</f>
        <v>8.49</v>
      </c>
      <c r="H854" s="30" t="n">
        <f aca="false">1-0.2*(SC_xmb+(SC_n-1)*SC_xmt)*G854/(SC_n*SC_b)</f>
        <v>0.76228</v>
      </c>
      <c r="I854" s="31" t="n">
        <f aca="false">SC_s*H854*SC_m*SC_n*SC_b*SQRT(2*g_)*G854^1.5</f>
        <v>187.93517829068</v>
      </c>
      <c r="J854" s="32" t="n">
        <f aca="false">F854+I854</f>
        <v>553.211583874513</v>
      </c>
      <c r="K854" s="32" t="n">
        <f aca="false">F854</f>
        <v>365.276405583832</v>
      </c>
      <c r="L854" s="32" t="n">
        <f aca="false">C854*1000000/dt_s+J854/2</f>
        <v>20329.3099586039</v>
      </c>
      <c r="M854" s="32" t="n">
        <f aca="false">C854*1000000/dt_s+K854/2</f>
        <v>20235.3423694586</v>
      </c>
    </row>
    <row r="855" customFormat="false" ht="15" hidden="false" customHeight="false" outlineLevel="0" collapsed="false">
      <c r="A855" s="24" t="n">
        <f aca="false">ROUND(A854+0.01,2)</f>
        <v>79.5</v>
      </c>
      <c r="B855" s="25" t="n">
        <f aca="false">INDEX(Bang_F,MATCH(A855,Bang_Z,1))+(A855-INDEX(Bang_Z,MATCH(A855,Bang_Z,1)))*(INDEX(Bang_F,MATCH(A855,Bang_Z,1)+1)-INDEX(Bang_F,MATCH(A855,Bang_Z,1)))</f>
        <v>8.78</v>
      </c>
      <c r="C855" s="25" t="n">
        <f aca="false">INDEX(Bang_W,MATCH(A855,Bang_Z,1))+(A855-INDEX(Bang_Z,MATCH(A855,Bang_Z,1)))*(INDEX(Bang_F,MATCH(A855,Bang_Z,1))+B855)/2</f>
        <v>72.2775</v>
      </c>
      <c r="D855" s="26" t="n">
        <f aca="false">MAX(A855-TC_Z,0)</f>
        <v>4.8</v>
      </c>
      <c r="E855" s="27" t="n">
        <f aca="false">1-0.2*(TC_xmb+(TC_n-1)*TC_xmt)*D855/(TC_n*TC_b)</f>
        <v>0.808888888888889</v>
      </c>
      <c r="F855" s="28" t="n">
        <f aca="false">TC_s*E855*TC_m*TC_n*TC_b*SQRT(2*g_)*D855^1.5</f>
        <v>366.240604691981</v>
      </c>
      <c r="G855" s="29" t="n">
        <f aca="false">MAX(A855-SC_Z,0)</f>
        <v>8.5</v>
      </c>
      <c r="H855" s="30" t="n">
        <f aca="false">1-0.2*(SC_xmb+(SC_n-1)*SC_xmt)*G855/(SC_n*SC_b)</f>
        <v>0.762</v>
      </c>
      <c r="I855" s="31" t="n">
        <f aca="false">SC_s*H855*SC_m*SC_n*SC_b*SQRT(2*g_)*G855^1.5</f>
        <v>188.198162816108</v>
      </c>
      <c r="J855" s="32" t="n">
        <f aca="false">F855+I855</f>
        <v>554.438767508088</v>
      </c>
      <c r="K855" s="32" t="n">
        <f aca="false">F855</f>
        <v>366.240604691981</v>
      </c>
      <c r="L855" s="32" t="n">
        <f aca="false">C855*1000000/dt_s+J855/2</f>
        <v>20354.3027170874</v>
      </c>
      <c r="M855" s="32" t="n">
        <f aca="false">C855*1000000/dt_s+K855/2</f>
        <v>20260.2036356793</v>
      </c>
    </row>
    <row r="856" customFormat="false" ht="15" hidden="false" customHeight="false" outlineLevel="0" collapsed="false">
      <c r="A856" s="24" t="n">
        <f aca="false">ROUND(A855+0.01,2)</f>
        <v>79.51</v>
      </c>
      <c r="B856" s="25" t="n">
        <f aca="false">INDEX(Bang_F,MATCH(A856,Bang_Z,1))+(A856-INDEX(Bang_Z,MATCH(A856,Bang_Z,1)))*(INDEX(Bang_F,MATCH(A856,Bang_Z,1)+1)-INDEX(Bang_F,MATCH(A856,Bang_Z,1)))</f>
        <v>8.787</v>
      </c>
      <c r="C856" s="25" t="n">
        <f aca="false">INDEX(Bang_W,MATCH(A856,Bang_Z,1))+(A856-INDEX(Bang_Z,MATCH(A856,Bang_Z,1)))*(INDEX(Bang_F,MATCH(A856,Bang_Z,1))+B856)/2</f>
        <v>72.365335</v>
      </c>
      <c r="D856" s="26" t="n">
        <f aca="false">MAX(A856-TC_Z,0)</f>
        <v>4.81</v>
      </c>
      <c r="E856" s="27" t="n">
        <f aca="false">1-0.2*(TC_xmb+(TC_n-1)*TC_xmt)*D856/(TC_n*TC_b)</f>
        <v>0.808490740740741</v>
      </c>
      <c r="F856" s="28" t="n">
        <f aca="false">TC_s*E856*TC_m*TC_n*TC_b*SQRT(2*g_)*D856^1.5</f>
        <v>367.204869305572</v>
      </c>
      <c r="G856" s="29" t="n">
        <f aca="false">MAX(A856-SC_Z,0)</f>
        <v>8.51000000000001</v>
      </c>
      <c r="H856" s="30" t="n">
        <f aca="false">1-0.2*(SC_xmb+(SC_n-1)*SC_xmt)*G856/(SC_n*SC_b)</f>
        <v>0.76172</v>
      </c>
      <c r="I856" s="31" t="n">
        <f aca="false">SC_s*H856*SC_m*SC_n*SC_b*SQRT(2*g_)*G856^1.5</f>
        <v>188.461098629402</v>
      </c>
      <c r="J856" s="32" t="n">
        <f aca="false">F856+I856</f>
        <v>555.665967934974</v>
      </c>
      <c r="K856" s="32" t="n">
        <f aca="false">F856</f>
        <v>367.204869305572</v>
      </c>
      <c r="L856" s="32" t="n">
        <f aca="false">C856*1000000/dt_s+J856/2</f>
        <v>20379.3149284119</v>
      </c>
      <c r="M856" s="32" t="n">
        <f aca="false">C856*1000000/dt_s+K856/2</f>
        <v>20285.0843790972</v>
      </c>
    </row>
    <row r="857" customFormat="false" ht="15" hidden="false" customHeight="false" outlineLevel="0" collapsed="false">
      <c r="A857" s="24" t="n">
        <f aca="false">ROUND(A856+0.01,2)</f>
        <v>79.52</v>
      </c>
      <c r="B857" s="25" t="n">
        <f aca="false">INDEX(Bang_F,MATCH(A857,Bang_Z,1))+(A857-INDEX(Bang_Z,MATCH(A857,Bang_Z,1)))*(INDEX(Bang_F,MATCH(A857,Bang_Z,1)+1)-INDEX(Bang_F,MATCH(A857,Bang_Z,1)))</f>
        <v>8.794</v>
      </c>
      <c r="C857" s="25" t="n">
        <f aca="false">INDEX(Bang_W,MATCH(A857,Bang_Z,1))+(A857-INDEX(Bang_Z,MATCH(A857,Bang_Z,1)))*(INDEX(Bang_F,MATCH(A857,Bang_Z,1))+B857)/2</f>
        <v>72.45324</v>
      </c>
      <c r="D857" s="26" t="n">
        <f aca="false">MAX(A857-TC_Z,0)</f>
        <v>4.81999999999999</v>
      </c>
      <c r="E857" s="27" t="n">
        <f aca="false">1-0.2*(TC_xmb+(TC_n-1)*TC_xmt)*D857/(TC_n*TC_b)</f>
        <v>0.808092592592593</v>
      </c>
      <c r="F857" s="28" t="n">
        <f aca="false">TC_s*E857*TC_m*TC_n*TC_b*SQRT(2*g_)*D857^1.5</f>
        <v>368.169196425451</v>
      </c>
      <c r="G857" s="29" t="n">
        <f aca="false">MAX(A857-SC_Z,0)</f>
        <v>8.52</v>
      </c>
      <c r="H857" s="30" t="n">
        <f aca="false">1-0.2*(SC_xmb+(SC_n-1)*SC_xmt)*G857/(SC_n*SC_b)</f>
        <v>0.76144</v>
      </c>
      <c r="I857" s="31" t="n">
        <f aca="false">SC_s*H857*SC_m*SC_n*SC_b*SQRT(2*g_)*G857^1.5</f>
        <v>188.723985400472</v>
      </c>
      <c r="J857" s="32" t="n">
        <f aca="false">F857+I857</f>
        <v>556.893181825923</v>
      </c>
      <c r="K857" s="32" t="n">
        <f aca="false">F857</f>
        <v>368.169196425451</v>
      </c>
      <c r="L857" s="32" t="n">
        <f aca="false">C857*1000000/dt_s+J857/2</f>
        <v>20404.346590913</v>
      </c>
      <c r="M857" s="32" t="n">
        <f aca="false">C857*1000000/dt_s+K857/2</f>
        <v>20309.9845982127</v>
      </c>
    </row>
    <row r="858" customFormat="false" ht="15" hidden="false" customHeight="false" outlineLevel="0" collapsed="false">
      <c r="A858" s="24" t="n">
        <f aca="false">ROUND(A857+0.01,2)</f>
        <v>79.53</v>
      </c>
      <c r="B858" s="25" t="n">
        <f aca="false">INDEX(Bang_F,MATCH(A858,Bang_Z,1))+(A858-INDEX(Bang_Z,MATCH(A858,Bang_Z,1)))*(INDEX(Bang_F,MATCH(A858,Bang_Z,1)+1)-INDEX(Bang_F,MATCH(A858,Bang_Z,1)))</f>
        <v>8.801</v>
      </c>
      <c r="C858" s="25" t="n">
        <f aca="false">INDEX(Bang_W,MATCH(A858,Bang_Z,1))+(A858-INDEX(Bang_Z,MATCH(A858,Bang_Z,1)))*(INDEX(Bang_F,MATCH(A858,Bang_Z,1))+B858)/2</f>
        <v>72.541215</v>
      </c>
      <c r="D858" s="26" t="n">
        <f aca="false">MAX(A858-TC_Z,0)</f>
        <v>4.83</v>
      </c>
      <c r="E858" s="27" t="n">
        <f aca="false">1-0.2*(TC_xmb+(TC_n-1)*TC_xmt)*D858/(TC_n*TC_b)</f>
        <v>0.807694444444445</v>
      </c>
      <c r="F858" s="28" t="n">
        <f aca="false">TC_s*E858*TC_m*TC_n*TC_b*SQRT(2*g_)*D858^1.5</f>
        <v>369.133583058765</v>
      </c>
      <c r="G858" s="29" t="n">
        <f aca="false">MAX(A858-SC_Z,0)</f>
        <v>8.53</v>
      </c>
      <c r="H858" s="30" t="n">
        <f aca="false">1-0.2*(SC_xmb+(SC_n-1)*SC_xmt)*G858/(SC_n*SC_b)</f>
        <v>0.76116</v>
      </c>
      <c r="I858" s="31" t="n">
        <f aca="false">SC_s*H858*SC_m*SC_n*SC_b*SQRT(2*g_)*G858^1.5</f>
        <v>188.986822799596</v>
      </c>
      <c r="J858" s="32" t="n">
        <f aca="false">F858+I858</f>
        <v>558.120405858361</v>
      </c>
      <c r="K858" s="32" t="n">
        <f aca="false">F858</f>
        <v>369.133583058765</v>
      </c>
      <c r="L858" s="32" t="n">
        <f aca="false">C858*1000000/dt_s+J858/2</f>
        <v>20429.3977029292</v>
      </c>
      <c r="M858" s="32" t="n">
        <f aca="false">C858*1000000/dt_s+K858/2</f>
        <v>20334.9042915294</v>
      </c>
    </row>
    <row r="859" customFormat="false" ht="15" hidden="false" customHeight="false" outlineLevel="0" collapsed="false">
      <c r="A859" s="24" t="n">
        <f aca="false">ROUND(A858+0.01,2)</f>
        <v>79.54</v>
      </c>
      <c r="B859" s="25" t="n">
        <f aca="false">INDEX(Bang_F,MATCH(A859,Bang_Z,1))+(A859-INDEX(Bang_Z,MATCH(A859,Bang_Z,1)))*(INDEX(Bang_F,MATCH(A859,Bang_Z,1)+1)-INDEX(Bang_F,MATCH(A859,Bang_Z,1)))</f>
        <v>8.80800000000001</v>
      </c>
      <c r="C859" s="25" t="n">
        <f aca="false">INDEX(Bang_W,MATCH(A859,Bang_Z,1))+(A859-INDEX(Bang_Z,MATCH(A859,Bang_Z,1)))*(INDEX(Bang_F,MATCH(A859,Bang_Z,1))+B859)/2</f>
        <v>72.62926</v>
      </c>
      <c r="D859" s="26" t="n">
        <f aca="false">MAX(A859-TC_Z,0)</f>
        <v>4.84</v>
      </c>
      <c r="E859" s="27" t="n">
        <f aca="false">1-0.2*(TC_xmb+(TC_n-1)*TC_xmt)*D859/(TC_n*TC_b)</f>
        <v>0.807296296296296</v>
      </c>
      <c r="F859" s="28" t="n">
        <f aca="false">TC_s*E859*TC_m*TC_n*TC_b*SQRT(2*g_)*D859^1.5</f>
        <v>370.098026218922</v>
      </c>
      <c r="G859" s="29" t="n">
        <f aca="false">MAX(A859-SC_Z,0)</f>
        <v>8.54000000000001</v>
      </c>
      <c r="H859" s="30" t="n">
        <f aca="false">1-0.2*(SC_xmb+(SC_n-1)*SC_xmt)*G859/(SC_n*SC_b)</f>
        <v>0.76088</v>
      </c>
      <c r="I859" s="31" t="n">
        <f aca="false">SC_s*H859*SC_m*SC_n*SC_b*SQRT(2*g_)*G859^1.5</f>
        <v>189.249610497423</v>
      </c>
      <c r="J859" s="32" t="n">
        <f aca="false">F859+I859</f>
        <v>559.347636716345</v>
      </c>
      <c r="K859" s="32" t="n">
        <f aca="false">F859</f>
        <v>370.098026218922</v>
      </c>
      <c r="L859" s="32" t="n">
        <f aca="false">C859*1000000/dt_s+J859/2</f>
        <v>20454.4682628026</v>
      </c>
      <c r="M859" s="32" t="n">
        <f aca="false">C859*1000000/dt_s+K859/2</f>
        <v>20359.8434575539</v>
      </c>
    </row>
    <row r="860" customFormat="false" ht="15" hidden="false" customHeight="false" outlineLevel="0" collapsed="false">
      <c r="A860" s="24" t="n">
        <f aca="false">ROUND(A859+0.01,2)</f>
        <v>79.55</v>
      </c>
      <c r="B860" s="25" t="n">
        <f aca="false">INDEX(Bang_F,MATCH(A860,Bang_Z,1))+(A860-INDEX(Bang_Z,MATCH(A860,Bang_Z,1)))*(INDEX(Bang_F,MATCH(A860,Bang_Z,1)+1)-INDEX(Bang_F,MATCH(A860,Bang_Z,1)))</f>
        <v>8.815</v>
      </c>
      <c r="C860" s="25" t="n">
        <f aca="false">INDEX(Bang_W,MATCH(A860,Bang_Z,1))+(A860-INDEX(Bang_Z,MATCH(A860,Bang_Z,1)))*(INDEX(Bang_F,MATCH(A860,Bang_Z,1))+B860)/2</f>
        <v>72.717375</v>
      </c>
      <c r="D860" s="26" t="n">
        <f aca="false">MAX(A860-TC_Z,0)</f>
        <v>4.84999999999999</v>
      </c>
      <c r="E860" s="27" t="n">
        <f aca="false">1-0.2*(TC_xmb+(TC_n-1)*TC_xmt)*D860/(TC_n*TC_b)</f>
        <v>0.806898148148148</v>
      </c>
      <c r="F860" s="28" t="n">
        <f aca="false">TC_s*E860*TC_m*TC_n*TC_b*SQRT(2*g_)*D860^1.5</f>
        <v>371.062522925568</v>
      </c>
      <c r="G860" s="29" t="n">
        <f aca="false">MAX(A860-SC_Z,0)</f>
        <v>8.55</v>
      </c>
      <c r="H860" s="30" t="n">
        <f aca="false">1-0.2*(SC_xmb+(SC_n-1)*SC_xmt)*G860/(SC_n*SC_b)</f>
        <v>0.7606</v>
      </c>
      <c r="I860" s="31" t="n">
        <f aca="false">SC_s*H860*SC_m*SC_n*SC_b*SQRT(2*g_)*G860^1.5</f>
        <v>189.51234816497</v>
      </c>
      <c r="J860" s="32" t="n">
        <f aca="false">F860+I860</f>
        <v>560.574871090538</v>
      </c>
      <c r="K860" s="32" t="n">
        <f aca="false">F860</f>
        <v>371.062522925568</v>
      </c>
      <c r="L860" s="32" t="n">
        <f aca="false">C860*1000000/dt_s+J860/2</f>
        <v>20479.5582688786</v>
      </c>
      <c r="M860" s="32" t="n">
        <f aca="false">C860*1000000/dt_s+K860/2</f>
        <v>20384.8020947961</v>
      </c>
    </row>
    <row r="861" customFormat="false" ht="15" hidden="false" customHeight="false" outlineLevel="0" collapsed="false">
      <c r="A861" s="24" t="n">
        <f aca="false">ROUND(A860+0.01,2)</f>
        <v>79.56</v>
      </c>
      <c r="B861" s="25" t="n">
        <f aca="false">INDEX(Bang_F,MATCH(A861,Bang_Z,1))+(A861-INDEX(Bang_Z,MATCH(A861,Bang_Z,1)))*(INDEX(Bang_F,MATCH(A861,Bang_Z,1)+1)-INDEX(Bang_F,MATCH(A861,Bang_Z,1)))</f>
        <v>8.822</v>
      </c>
      <c r="C861" s="25" t="n">
        <f aca="false">INDEX(Bang_W,MATCH(A861,Bang_Z,1))+(A861-INDEX(Bang_Z,MATCH(A861,Bang_Z,1)))*(INDEX(Bang_F,MATCH(A861,Bang_Z,1))+B861)/2</f>
        <v>72.80556</v>
      </c>
      <c r="D861" s="26" t="n">
        <f aca="false">MAX(A861-TC_Z,0)</f>
        <v>4.86</v>
      </c>
      <c r="E861" s="27" t="n">
        <f aca="false">1-0.2*(TC_xmb+(TC_n-1)*TC_xmt)*D861/(TC_n*TC_b)</f>
        <v>0.8065</v>
      </c>
      <c r="F861" s="28" t="n">
        <f aca="false">TC_s*E861*TC_m*TC_n*TC_b*SQRT(2*g_)*D861^1.5</f>
        <v>372.027070204562</v>
      </c>
      <c r="G861" s="29" t="n">
        <f aca="false">MAX(A861-SC_Z,0)</f>
        <v>8.56</v>
      </c>
      <c r="H861" s="30" t="n">
        <f aca="false">1-0.2*(SC_xmb+(SC_n-1)*SC_xmt)*G861/(SC_n*SC_b)</f>
        <v>0.76032</v>
      </c>
      <c r="I861" s="31" t="n">
        <f aca="false">SC_s*H861*SC_m*SC_n*SC_b*SQRT(2*g_)*G861^1.5</f>
        <v>189.775035473622</v>
      </c>
      <c r="J861" s="32" t="n">
        <f aca="false">F861+I861</f>
        <v>561.802105678184</v>
      </c>
      <c r="K861" s="32" t="n">
        <f aca="false">F861</f>
        <v>372.027070204562</v>
      </c>
      <c r="L861" s="32" t="n">
        <f aca="false">C861*1000000/dt_s+J861/2</f>
        <v>20504.6677195058</v>
      </c>
      <c r="M861" s="32" t="n">
        <f aca="false">C861*1000000/dt_s+K861/2</f>
        <v>20409.780201769</v>
      </c>
    </row>
    <row r="862" customFormat="false" ht="15" hidden="false" customHeight="false" outlineLevel="0" collapsed="false">
      <c r="A862" s="24" t="n">
        <f aca="false">ROUND(A861+0.01,2)</f>
        <v>79.57</v>
      </c>
      <c r="B862" s="25" t="n">
        <f aca="false">INDEX(Bang_F,MATCH(A862,Bang_Z,1))+(A862-INDEX(Bang_Z,MATCH(A862,Bang_Z,1)))*(INDEX(Bang_F,MATCH(A862,Bang_Z,1)+1)-INDEX(Bang_F,MATCH(A862,Bang_Z,1)))</f>
        <v>8.829</v>
      </c>
      <c r="C862" s="25" t="n">
        <f aca="false">INDEX(Bang_W,MATCH(A862,Bang_Z,1))+(A862-INDEX(Bang_Z,MATCH(A862,Bang_Z,1)))*(INDEX(Bang_F,MATCH(A862,Bang_Z,1))+B862)/2</f>
        <v>72.8938149999999</v>
      </c>
      <c r="D862" s="26" t="n">
        <f aca="false">MAX(A862-TC_Z,0)</f>
        <v>4.86999999999999</v>
      </c>
      <c r="E862" s="27" t="n">
        <f aca="false">1-0.2*(TC_xmb+(TC_n-1)*TC_xmt)*D862/(TC_n*TC_b)</f>
        <v>0.806101851851852</v>
      </c>
      <c r="F862" s="28" t="n">
        <f aca="false">TC_s*E862*TC_m*TC_n*TC_b*SQRT(2*g_)*D862^1.5</f>
        <v>372.991665087936</v>
      </c>
      <c r="G862" s="29" t="n">
        <f aca="false">MAX(A862-SC_Z,0)</f>
        <v>8.56999999999999</v>
      </c>
      <c r="H862" s="30" t="n">
        <f aca="false">1-0.2*(SC_xmb+(SC_n-1)*SC_xmt)*G862/(SC_n*SC_b)</f>
        <v>0.76004</v>
      </c>
      <c r="I862" s="31" t="n">
        <f aca="false">SC_s*H862*SC_m*SC_n*SC_b*SQRT(2*g_)*G862^1.5</f>
        <v>190.037672095132</v>
      </c>
      <c r="J862" s="32" t="n">
        <f aca="false">F862+I862</f>
        <v>563.029337183068</v>
      </c>
      <c r="K862" s="32" t="n">
        <f aca="false">F862</f>
        <v>372.991665087936</v>
      </c>
      <c r="L862" s="32" t="n">
        <f aca="false">C862*1000000/dt_s+J862/2</f>
        <v>20529.796613036</v>
      </c>
      <c r="M862" s="32" t="n">
        <f aca="false">C862*1000000/dt_s+K862/2</f>
        <v>20434.7777769884</v>
      </c>
    </row>
    <row r="863" customFormat="false" ht="15" hidden="false" customHeight="false" outlineLevel="0" collapsed="false">
      <c r="A863" s="24" t="n">
        <f aca="false">ROUND(A862+0.01,2)</f>
        <v>79.58</v>
      </c>
      <c r="B863" s="25" t="n">
        <f aca="false">INDEX(Bang_F,MATCH(A863,Bang_Z,1))+(A863-INDEX(Bang_Z,MATCH(A863,Bang_Z,1)))*(INDEX(Bang_F,MATCH(A863,Bang_Z,1)+1)-INDEX(Bang_F,MATCH(A863,Bang_Z,1)))</f>
        <v>8.836</v>
      </c>
      <c r="C863" s="25" t="n">
        <f aca="false">INDEX(Bang_W,MATCH(A863,Bang_Z,1))+(A863-INDEX(Bang_Z,MATCH(A863,Bang_Z,1)))*(INDEX(Bang_F,MATCH(A863,Bang_Z,1))+B863)/2</f>
        <v>72.98214</v>
      </c>
      <c r="D863" s="26" t="n">
        <f aca="false">MAX(A863-TC_Z,0)</f>
        <v>4.88</v>
      </c>
      <c r="E863" s="27" t="n">
        <f aca="false">1-0.2*(TC_xmb+(TC_n-1)*TC_xmt)*D863/(TC_n*TC_b)</f>
        <v>0.805703703703704</v>
      </c>
      <c r="F863" s="28" t="n">
        <f aca="false">TC_s*E863*TC_m*TC_n*TC_b*SQRT(2*g_)*D863^1.5</f>
        <v>373.956304613881</v>
      </c>
      <c r="G863" s="29" t="n">
        <f aca="false">MAX(A863-SC_Z,0)</f>
        <v>8.58</v>
      </c>
      <c r="H863" s="30" t="n">
        <f aca="false">1-0.2*(SC_xmb+(SC_n-1)*SC_xmt)*G863/(SC_n*SC_b)</f>
        <v>0.75976</v>
      </c>
      <c r="I863" s="31" t="n">
        <f aca="false">SC_s*H863*SC_m*SC_n*SC_b*SQRT(2*g_)*G863^1.5</f>
        <v>190.300257701618</v>
      </c>
      <c r="J863" s="32" t="n">
        <f aca="false">F863+I863</f>
        <v>564.256562315499</v>
      </c>
      <c r="K863" s="32" t="n">
        <f aca="false">F863</f>
        <v>373.956304613881</v>
      </c>
      <c r="L863" s="32" t="n">
        <f aca="false">C863*1000000/dt_s+J863/2</f>
        <v>20554.9449478244</v>
      </c>
      <c r="M863" s="32" t="n">
        <f aca="false">C863*1000000/dt_s+K863/2</f>
        <v>20459.7948189736</v>
      </c>
    </row>
    <row r="864" customFormat="false" ht="15" hidden="false" customHeight="false" outlineLevel="0" collapsed="false">
      <c r="A864" s="24" t="n">
        <f aca="false">ROUND(A863+0.01,2)</f>
        <v>79.59</v>
      </c>
      <c r="B864" s="25" t="n">
        <f aca="false">INDEX(Bang_F,MATCH(A864,Bang_Z,1))+(A864-INDEX(Bang_Z,MATCH(A864,Bang_Z,1)))*(INDEX(Bang_F,MATCH(A864,Bang_Z,1)+1)-INDEX(Bang_F,MATCH(A864,Bang_Z,1)))</f>
        <v>8.843</v>
      </c>
      <c r="C864" s="25" t="n">
        <f aca="false">INDEX(Bang_W,MATCH(A864,Bang_Z,1))+(A864-INDEX(Bang_Z,MATCH(A864,Bang_Z,1)))*(INDEX(Bang_F,MATCH(A864,Bang_Z,1))+B864)/2</f>
        <v>73.070535</v>
      </c>
      <c r="D864" s="26" t="n">
        <f aca="false">MAX(A864-TC_Z,0)</f>
        <v>4.89</v>
      </c>
      <c r="E864" s="27" t="n">
        <f aca="false">1-0.2*(TC_xmb+(TC_n-1)*TC_xmt)*D864/(TC_n*TC_b)</f>
        <v>0.805305555555556</v>
      </c>
      <c r="F864" s="28" t="n">
        <f aca="false">TC_s*E864*TC_m*TC_n*TC_b*SQRT(2*g_)*D864^1.5</f>
        <v>374.920985826704</v>
      </c>
      <c r="G864" s="29" t="n">
        <f aca="false">MAX(A864-SC_Z,0)</f>
        <v>8.59</v>
      </c>
      <c r="H864" s="30" t="n">
        <f aca="false">1-0.2*(SC_xmb+(SC_n-1)*SC_xmt)*G864/(SC_n*SC_b)</f>
        <v>0.75948</v>
      </c>
      <c r="I864" s="31" t="n">
        <f aca="false">SC_s*H864*SC_m*SC_n*SC_b*SQRT(2*g_)*G864^1.5</f>
        <v>190.562791965563</v>
      </c>
      <c r="J864" s="32" t="n">
        <f aca="false">F864+I864</f>
        <v>565.483777792267</v>
      </c>
      <c r="K864" s="32" t="n">
        <f aca="false">F864</f>
        <v>374.920985826704</v>
      </c>
      <c r="L864" s="32" t="n">
        <f aca="false">C864*1000000/dt_s+J864/2</f>
        <v>20580.1127222295</v>
      </c>
      <c r="M864" s="32" t="n">
        <f aca="false">C864*1000000/dt_s+K864/2</f>
        <v>20484.8313262467</v>
      </c>
    </row>
    <row r="865" customFormat="false" ht="15" hidden="false" customHeight="false" outlineLevel="0" collapsed="false">
      <c r="A865" s="24" t="n">
        <f aca="false">ROUND(A864+0.01,2)</f>
        <v>79.6</v>
      </c>
      <c r="B865" s="25" t="n">
        <f aca="false">INDEX(Bang_F,MATCH(A865,Bang_Z,1))+(A865-INDEX(Bang_Z,MATCH(A865,Bang_Z,1)))*(INDEX(Bang_F,MATCH(A865,Bang_Z,1)+1)-INDEX(Bang_F,MATCH(A865,Bang_Z,1)))</f>
        <v>8.85</v>
      </c>
      <c r="C865" s="25" t="n">
        <f aca="false">INDEX(Bang_W,MATCH(A865,Bang_Z,1))+(A865-INDEX(Bang_Z,MATCH(A865,Bang_Z,1)))*(INDEX(Bang_F,MATCH(A865,Bang_Z,1))+B865)/2</f>
        <v>73.159</v>
      </c>
      <c r="D865" s="26" t="n">
        <f aca="false">MAX(A865-TC_Z,0)</f>
        <v>4.89999999999999</v>
      </c>
      <c r="E865" s="27" t="n">
        <f aca="false">1-0.2*(TC_xmb+(TC_n-1)*TC_xmt)*D865/(TC_n*TC_b)</f>
        <v>0.804907407407408</v>
      </c>
      <c r="F865" s="28" t="n">
        <f aca="false">TC_s*E865*TC_m*TC_n*TC_b*SQRT(2*g_)*D865^1.5</f>
        <v>375.885705776806</v>
      </c>
      <c r="G865" s="29" t="n">
        <f aca="false">MAX(A865-SC_Z,0)</f>
        <v>8.59999999999999</v>
      </c>
      <c r="H865" s="30" t="n">
        <f aca="false">1-0.2*(SC_xmb+(SC_n-1)*SC_xmt)*G865/(SC_n*SC_b)</f>
        <v>0.7592</v>
      </c>
      <c r="I865" s="31" t="n">
        <f aca="false">SC_s*H865*SC_m*SC_n*SC_b*SQRT(2*g_)*G865^1.5</f>
        <v>190.825274559814</v>
      </c>
      <c r="J865" s="32" t="n">
        <f aca="false">F865+I865</f>
        <v>566.71098033662</v>
      </c>
      <c r="K865" s="32" t="n">
        <f aca="false">F865</f>
        <v>375.885705776806</v>
      </c>
      <c r="L865" s="32" t="n">
        <f aca="false">C865*1000000/dt_s+J865/2</f>
        <v>20605.2999346127</v>
      </c>
      <c r="M865" s="32" t="n">
        <f aca="false">C865*1000000/dt_s+K865/2</f>
        <v>20509.8872973328</v>
      </c>
    </row>
    <row r="866" customFormat="false" ht="15" hidden="false" customHeight="false" outlineLevel="0" collapsed="false">
      <c r="A866" s="24" t="n">
        <f aca="false">ROUND(A865+0.01,2)</f>
        <v>79.61</v>
      </c>
      <c r="B866" s="25" t="n">
        <f aca="false">INDEX(Bang_F,MATCH(A866,Bang_Z,1))+(A866-INDEX(Bang_Z,MATCH(A866,Bang_Z,1)))*(INDEX(Bang_F,MATCH(A866,Bang_Z,1)+1)-INDEX(Bang_F,MATCH(A866,Bang_Z,1)))</f>
        <v>8.857</v>
      </c>
      <c r="C866" s="25" t="n">
        <f aca="false">INDEX(Bang_W,MATCH(A866,Bang_Z,1))+(A866-INDEX(Bang_Z,MATCH(A866,Bang_Z,1)))*(INDEX(Bang_F,MATCH(A866,Bang_Z,1))+B866)/2</f>
        <v>73.247535</v>
      </c>
      <c r="D866" s="26" t="n">
        <f aca="false">MAX(A866-TC_Z,0)</f>
        <v>4.91</v>
      </c>
      <c r="E866" s="27" t="n">
        <f aca="false">1-0.2*(TC_xmb+(TC_n-1)*TC_xmt)*D866/(TC_n*TC_b)</f>
        <v>0.804509259259259</v>
      </c>
      <c r="F866" s="28" t="n">
        <f aca="false">TC_s*E866*TC_m*TC_n*TC_b*SQRT(2*g_)*D866^1.5</f>
        <v>376.850461520661</v>
      </c>
      <c r="G866" s="29" t="n">
        <f aca="false">MAX(A866-SC_Z,0)</f>
        <v>8.61</v>
      </c>
      <c r="H866" s="30" t="n">
        <f aca="false">1-0.2*(SC_xmb+(SC_n-1)*SC_xmt)*G866/(SC_n*SC_b)</f>
        <v>0.75892</v>
      </c>
      <c r="I866" s="31" t="n">
        <f aca="false">SC_s*H866*SC_m*SC_n*SC_b*SQRT(2*g_)*G866^1.5</f>
        <v>191.087705157581</v>
      </c>
      <c r="J866" s="32" t="n">
        <f aca="false">F866+I866</f>
        <v>567.938166678243</v>
      </c>
      <c r="K866" s="32" t="n">
        <f aca="false">F866</f>
        <v>376.850461520661</v>
      </c>
      <c r="L866" s="32" t="n">
        <f aca="false">C866*1000000/dt_s+J866/2</f>
        <v>20630.5065833391</v>
      </c>
      <c r="M866" s="32" t="n">
        <f aca="false">C866*1000000/dt_s+K866/2</f>
        <v>20534.9627307603</v>
      </c>
    </row>
    <row r="867" customFormat="false" ht="15" hidden="false" customHeight="false" outlineLevel="0" collapsed="false">
      <c r="A867" s="24" t="n">
        <f aca="false">ROUND(A866+0.01,2)</f>
        <v>79.62</v>
      </c>
      <c r="B867" s="25" t="n">
        <f aca="false">INDEX(Bang_F,MATCH(A867,Bang_Z,1))+(A867-INDEX(Bang_Z,MATCH(A867,Bang_Z,1)))*(INDEX(Bang_F,MATCH(A867,Bang_Z,1)+1)-INDEX(Bang_F,MATCH(A867,Bang_Z,1)))</f>
        <v>8.864</v>
      </c>
      <c r="C867" s="25" t="n">
        <f aca="false">INDEX(Bang_W,MATCH(A867,Bang_Z,1))+(A867-INDEX(Bang_Z,MATCH(A867,Bang_Z,1)))*(INDEX(Bang_F,MATCH(A867,Bang_Z,1))+B867)/2</f>
        <v>73.33614</v>
      </c>
      <c r="D867" s="26" t="n">
        <f aca="false">MAX(A867-TC_Z,0)</f>
        <v>4.92</v>
      </c>
      <c r="E867" s="27" t="n">
        <f aca="false">1-0.2*(TC_xmb+(TC_n-1)*TC_xmt)*D867/(TC_n*TC_b)</f>
        <v>0.804111111111111</v>
      </c>
      <c r="F867" s="28" t="n">
        <f aca="false">TC_s*E867*TC_m*TC_n*TC_b*SQRT(2*g_)*D867^1.5</f>
        <v>377.815250120776</v>
      </c>
      <c r="G867" s="29" t="n">
        <f aca="false">MAX(A867-SC_Z,0)</f>
        <v>8.62000000000001</v>
      </c>
      <c r="H867" s="30" t="n">
        <f aca="false">1-0.2*(SC_xmb+(SC_n-1)*SC_xmt)*G867/(SC_n*SC_b)</f>
        <v>0.75864</v>
      </c>
      <c r="I867" s="31" t="n">
        <f aca="false">SC_s*H867*SC_m*SC_n*SC_b*SQRT(2*g_)*G867^1.5</f>
        <v>191.350083432438</v>
      </c>
      <c r="J867" s="32" t="n">
        <f aca="false">F867+I867</f>
        <v>569.165333553214</v>
      </c>
      <c r="K867" s="32" t="n">
        <f aca="false">F867</f>
        <v>377.815250120776</v>
      </c>
      <c r="L867" s="32" t="n">
        <f aca="false">C867*1000000/dt_s+J867/2</f>
        <v>20655.7326667766</v>
      </c>
      <c r="M867" s="32" t="n">
        <f aca="false">C867*1000000/dt_s+K867/2</f>
        <v>20560.0576250604</v>
      </c>
    </row>
    <row r="868" customFormat="false" ht="15" hidden="false" customHeight="false" outlineLevel="0" collapsed="false">
      <c r="A868" s="24" t="n">
        <f aca="false">ROUND(A867+0.01,2)</f>
        <v>79.63</v>
      </c>
      <c r="B868" s="25" t="n">
        <f aca="false">INDEX(Bang_F,MATCH(A868,Bang_Z,1))+(A868-INDEX(Bang_Z,MATCH(A868,Bang_Z,1)))*(INDEX(Bang_F,MATCH(A868,Bang_Z,1)+1)-INDEX(Bang_F,MATCH(A868,Bang_Z,1)))</f>
        <v>8.871</v>
      </c>
      <c r="C868" s="25" t="n">
        <f aca="false">INDEX(Bang_W,MATCH(A868,Bang_Z,1))+(A868-INDEX(Bang_Z,MATCH(A868,Bang_Z,1)))*(INDEX(Bang_F,MATCH(A868,Bang_Z,1))+B868)/2</f>
        <v>73.424815</v>
      </c>
      <c r="D868" s="26" t="n">
        <f aca="false">MAX(A868-TC_Z,0)</f>
        <v>4.92999999999999</v>
      </c>
      <c r="E868" s="27" t="n">
        <f aca="false">1-0.2*(TC_xmb+(TC_n-1)*TC_xmt)*D868/(TC_n*TC_b)</f>
        <v>0.803712962962963</v>
      </c>
      <c r="F868" s="28" t="n">
        <f aca="false">TC_s*E868*TC_m*TC_n*TC_b*SQRT(2*g_)*D868^1.5</f>
        <v>378.780068645666</v>
      </c>
      <c r="G868" s="29" t="n">
        <f aca="false">MAX(A868-SC_Z,0)</f>
        <v>8.63</v>
      </c>
      <c r="H868" s="30" t="n">
        <f aca="false">1-0.2*(SC_xmb+(SC_n-1)*SC_xmt)*G868/(SC_n*SC_b)</f>
        <v>0.75836</v>
      </c>
      <c r="I868" s="31" t="n">
        <f aca="false">SC_s*H868*SC_m*SC_n*SC_b*SQRT(2*g_)*G868^1.5</f>
        <v>191.612409058318</v>
      </c>
      <c r="J868" s="32" t="n">
        <f aca="false">F868+I868</f>
        <v>570.392477703984</v>
      </c>
      <c r="K868" s="32" t="n">
        <f aca="false">F868</f>
        <v>378.780068645666</v>
      </c>
      <c r="L868" s="32" t="n">
        <f aca="false">C868*1000000/dt_s+J868/2</f>
        <v>20680.9781832964</v>
      </c>
      <c r="M868" s="32" t="n">
        <f aca="false">C868*1000000/dt_s+K868/2</f>
        <v>20585.1719787673</v>
      </c>
    </row>
    <row r="869" customFormat="false" ht="15" hidden="false" customHeight="false" outlineLevel="0" collapsed="false">
      <c r="A869" s="24" t="n">
        <f aca="false">ROUND(A868+0.01,2)</f>
        <v>79.64</v>
      </c>
      <c r="B869" s="25" t="n">
        <f aca="false">INDEX(Bang_F,MATCH(A869,Bang_Z,1))+(A869-INDEX(Bang_Z,MATCH(A869,Bang_Z,1)))*(INDEX(Bang_F,MATCH(A869,Bang_Z,1)+1)-INDEX(Bang_F,MATCH(A869,Bang_Z,1)))</f>
        <v>8.878</v>
      </c>
      <c r="C869" s="25" t="n">
        <f aca="false">INDEX(Bang_W,MATCH(A869,Bang_Z,1))+(A869-INDEX(Bang_Z,MATCH(A869,Bang_Z,1)))*(INDEX(Bang_F,MATCH(A869,Bang_Z,1))+B869)/2</f>
        <v>73.51356</v>
      </c>
      <c r="D869" s="26" t="n">
        <f aca="false">MAX(A869-TC_Z,0)</f>
        <v>4.94</v>
      </c>
      <c r="E869" s="27" t="n">
        <f aca="false">1-0.2*(TC_xmb+(TC_n-1)*TC_xmt)*D869/(TC_n*TC_b)</f>
        <v>0.803314814814815</v>
      </c>
      <c r="F869" s="28" t="n">
        <f aca="false">TC_s*E869*TC_m*TC_n*TC_b*SQRT(2*g_)*D869^1.5</f>
        <v>379.744914169838</v>
      </c>
      <c r="G869" s="29" t="n">
        <f aca="false">MAX(A869-SC_Z,0)</f>
        <v>8.64</v>
      </c>
      <c r="H869" s="30" t="n">
        <f aca="false">1-0.2*(SC_xmb+(SC_n-1)*SC_xmt)*G869/(SC_n*SC_b)</f>
        <v>0.75808</v>
      </c>
      <c r="I869" s="31" t="n">
        <f aca="false">SC_s*H869*SC_m*SC_n*SC_b*SQRT(2*g_)*G869^1.5</f>
        <v>191.874681709515</v>
      </c>
      <c r="J869" s="32" t="n">
        <f aca="false">F869+I869</f>
        <v>571.619595879353</v>
      </c>
      <c r="K869" s="32" t="n">
        <f aca="false">F869</f>
        <v>379.744914169838</v>
      </c>
      <c r="L869" s="32" t="n">
        <f aca="false">C869*1000000/dt_s+J869/2</f>
        <v>20706.243131273</v>
      </c>
      <c r="M869" s="32" t="n">
        <f aca="false">C869*1000000/dt_s+K869/2</f>
        <v>20610.3057904183</v>
      </c>
    </row>
    <row r="870" customFormat="false" ht="15" hidden="false" customHeight="false" outlineLevel="0" collapsed="false">
      <c r="A870" s="24" t="n">
        <f aca="false">ROUND(A869+0.01,2)</f>
        <v>79.65</v>
      </c>
      <c r="B870" s="25" t="n">
        <f aca="false">INDEX(Bang_F,MATCH(A870,Bang_Z,1))+(A870-INDEX(Bang_Z,MATCH(A870,Bang_Z,1)))*(INDEX(Bang_F,MATCH(A870,Bang_Z,1)+1)-INDEX(Bang_F,MATCH(A870,Bang_Z,1)))</f>
        <v>8.88500000000001</v>
      </c>
      <c r="C870" s="25" t="n">
        <f aca="false">INDEX(Bang_W,MATCH(A870,Bang_Z,1))+(A870-INDEX(Bang_Z,MATCH(A870,Bang_Z,1)))*(INDEX(Bang_F,MATCH(A870,Bang_Z,1))+B870)/2</f>
        <v>73.6023750000001</v>
      </c>
      <c r="D870" s="26" t="n">
        <f aca="false">MAX(A870-TC_Z,0)</f>
        <v>4.95</v>
      </c>
      <c r="E870" s="27" t="n">
        <f aca="false">1-0.2*(TC_xmb+(TC_n-1)*TC_xmt)*D870/(TC_n*TC_b)</f>
        <v>0.802916666666667</v>
      </c>
      <c r="F870" s="28" t="n">
        <f aca="false">TC_s*E870*TC_m*TC_n*TC_b*SQRT(2*g_)*D870^1.5</f>
        <v>380.709783773746</v>
      </c>
      <c r="G870" s="29" t="n">
        <f aca="false">MAX(A870-SC_Z,0)</f>
        <v>8.65000000000001</v>
      </c>
      <c r="H870" s="30" t="n">
        <f aca="false">1-0.2*(SC_xmb+(SC_n-1)*SC_xmt)*G870/(SC_n*SC_b)</f>
        <v>0.7578</v>
      </c>
      <c r="I870" s="31" t="n">
        <f aca="false">SC_s*H870*SC_m*SC_n*SC_b*SQRT(2*g_)*G870^1.5</f>
        <v>192.136901060683</v>
      </c>
      <c r="J870" s="32" t="n">
        <f aca="false">F870+I870</f>
        <v>572.846684834429</v>
      </c>
      <c r="K870" s="32" t="n">
        <f aca="false">F870</f>
        <v>380.709783773746</v>
      </c>
      <c r="L870" s="32" t="n">
        <f aca="false">C870*1000000/dt_s+J870/2</f>
        <v>20731.5275090839</v>
      </c>
      <c r="M870" s="32" t="n">
        <f aca="false">C870*1000000/dt_s+K870/2</f>
        <v>20635.4590585536</v>
      </c>
    </row>
    <row r="871" customFormat="false" ht="15" hidden="false" customHeight="false" outlineLevel="0" collapsed="false">
      <c r="A871" s="24" t="n">
        <f aca="false">ROUND(A870+0.01,2)</f>
        <v>79.66</v>
      </c>
      <c r="B871" s="25" t="n">
        <f aca="false">INDEX(Bang_F,MATCH(A871,Bang_Z,1))+(A871-INDEX(Bang_Z,MATCH(A871,Bang_Z,1)))*(INDEX(Bang_F,MATCH(A871,Bang_Z,1)+1)-INDEX(Bang_F,MATCH(A871,Bang_Z,1)))</f>
        <v>8.892</v>
      </c>
      <c r="C871" s="25" t="n">
        <f aca="false">INDEX(Bang_W,MATCH(A871,Bang_Z,1))+(A871-INDEX(Bang_Z,MATCH(A871,Bang_Z,1)))*(INDEX(Bang_F,MATCH(A871,Bang_Z,1))+B871)/2</f>
        <v>73.69126</v>
      </c>
      <c r="D871" s="26" t="n">
        <f aca="false">MAX(A871-TC_Z,0)</f>
        <v>4.95999999999999</v>
      </c>
      <c r="E871" s="27" t="n">
        <f aca="false">1-0.2*(TC_xmb+(TC_n-1)*TC_xmt)*D871/(TC_n*TC_b)</f>
        <v>0.802518518518519</v>
      </c>
      <c r="F871" s="28" t="n">
        <f aca="false">TC_s*E871*TC_m*TC_n*TC_b*SQRT(2*g_)*D871^1.5</f>
        <v>381.674674543777</v>
      </c>
      <c r="G871" s="29" t="n">
        <f aca="false">MAX(A871-SC_Z,0)</f>
        <v>8.66</v>
      </c>
      <c r="H871" s="30" t="n">
        <f aca="false">1-0.2*(SC_xmb+(SC_n-1)*SC_xmt)*G871/(SC_n*SC_b)</f>
        <v>0.75752</v>
      </c>
      <c r="I871" s="31" t="n">
        <f aca="false">SC_s*H871*SC_m*SC_n*SC_b*SQRT(2*g_)*G871^1.5</f>
        <v>192.399066786834</v>
      </c>
      <c r="J871" s="32" t="n">
        <f aca="false">F871+I871</f>
        <v>574.073741330611</v>
      </c>
      <c r="K871" s="32" t="n">
        <f aca="false">F871</f>
        <v>381.674674543777</v>
      </c>
      <c r="L871" s="32" t="n">
        <f aca="false">C871*1000000/dt_s+J871/2</f>
        <v>20756.8313151097</v>
      </c>
      <c r="M871" s="32" t="n">
        <f aca="false">C871*1000000/dt_s+K871/2</f>
        <v>20660.6317817163</v>
      </c>
    </row>
    <row r="872" customFormat="false" ht="15" hidden="false" customHeight="false" outlineLevel="0" collapsed="false">
      <c r="A872" s="24" t="n">
        <f aca="false">ROUND(A871+0.01,2)</f>
        <v>79.67</v>
      </c>
      <c r="B872" s="25" t="n">
        <f aca="false">INDEX(Bang_F,MATCH(A872,Bang_Z,1))+(A872-INDEX(Bang_Z,MATCH(A872,Bang_Z,1)))*(INDEX(Bang_F,MATCH(A872,Bang_Z,1)+1)-INDEX(Bang_F,MATCH(A872,Bang_Z,1)))</f>
        <v>8.899</v>
      </c>
      <c r="C872" s="25" t="n">
        <f aca="false">INDEX(Bang_W,MATCH(A872,Bang_Z,1))+(A872-INDEX(Bang_Z,MATCH(A872,Bang_Z,1)))*(INDEX(Bang_F,MATCH(A872,Bang_Z,1))+B872)/2</f>
        <v>73.780215</v>
      </c>
      <c r="D872" s="26" t="n">
        <f aca="false">MAX(A872-TC_Z,0)</f>
        <v>4.97</v>
      </c>
      <c r="E872" s="27" t="n">
        <f aca="false">1-0.2*(TC_xmb+(TC_n-1)*TC_xmt)*D872/(TC_n*TC_b)</f>
        <v>0.80212037037037</v>
      </c>
      <c r="F872" s="28" t="n">
        <f aca="false">TC_s*E872*TC_m*TC_n*TC_b*SQRT(2*g_)*D872^1.5</f>
        <v>382.639583572221</v>
      </c>
      <c r="G872" s="29" t="n">
        <f aca="false">MAX(A872-SC_Z,0)</f>
        <v>8.67</v>
      </c>
      <c r="H872" s="30" t="n">
        <f aca="false">1-0.2*(SC_xmb+(SC_n-1)*SC_xmt)*G872/(SC_n*SC_b)</f>
        <v>0.75724</v>
      </c>
      <c r="I872" s="31" t="n">
        <f aca="false">SC_s*H872*SC_m*SC_n*SC_b*SQRT(2*g_)*G872^1.5</f>
        <v>192.661178563337</v>
      </c>
      <c r="J872" s="32" t="n">
        <f aca="false">F872+I872</f>
        <v>575.300762135558</v>
      </c>
      <c r="K872" s="32" t="n">
        <f aca="false">F872</f>
        <v>382.639583572221</v>
      </c>
      <c r="L872" s="32" t="n">
        <f aca="false">C872*1000000/dt_s+J872/2</f>
        <v>20782.1545477344</v>
      </c>
      <c r="M872" s="32" t="n">
        <f aca="false">C872*1000000/dt_s+K872/2</f>
        <v>20685.8239584528</v>
      </c>
    </row>
    <row r="873" customFormat="false" ht="15" hidden="false" customHeight="false" outlineLevel="0" collapsed="false">
      <c r="A873" s="24" t="n">
        <f aca="false">ROUND(A872+0.01,2)</f>
        <v>79.68</v>
      </c>
      <c r="B873" s="25" t="n">
        <f aca="false">INDEX(Bang_F,MATCH(A873,Bang_Z,1))+(A873-INDEX(Bang_Z,MATCH(A873,Bang_Z,1)))*(INDEX(Bang_F,MATCH(A873,Bang_Z,1)+1)-INDEX(Bang_F,MATCH(A873,Bang_Z,1)))</f>
        <v>8.90600000000001</v>
      </c>
      <c r="C873" s="25" t="n">
        <f aca="false">INDEX(Bang_W,MATCH(A873,Bang_Z,1))+(A873-INDEX(Bang_Z,MATCH(A873,Bang_Z,1)))*(INDEX(Bang_F,MATCH(A873,Bang_Z,1))+B873)/2</f>
        <v>73.8692400000001</v>
      </c>
      <c r="D873" s="26" t="n">
        <f aca="false">MAX(A873-TC_Z,0)</f>
        <v>4.98</v>
      </c>
      <c r="E873" s="27" t="n">
        <f aca="false">1-0.2*(TC_xmb+(TC_n-1)*TC_xmt)*D873/(TC_n*TC_b)</f>
        <v>0.801722222222222</v>
      </c>
      <c r="F873" s="28" t="n">
        <f aca="false">TC_s*E873*TC_m*TC_n*TC_b*SQRT(2*g_)*D873^1.5</f>
        <v>383.604507957238</v>
      </c>
      <c r="G873" s="29" t="n">
        <f aca="false">MAX(A873-SC_Z,0)</f>
        <v>8.68000000000001</v>
      </c>
      <c r="H873" s="30" t="n">
        <f aca="false">1-0.2*(SC_xmb+(SC_n-1)*SC_xmt)*G873/(SC_n*SC_b)</f>
        <v>0.75696</v>
      </c>
      <c r="I873" s="31" t="n">
        <f aca="false">SC_s*H873*SC_m*SC_n*SC_b*SQRT(2*g_)*G873^1.5</f>
        <v>192.92323606592</v>
      </c>
      <c r="J873" s="32" t="n">
        <f aca="false">F873+I873</f>
        <v>576.527744023158</v>
      </c>
      <c r="K873" s="32" t="n">
        <f aca="false">F873</f>
        <v>383.604507957238</v>
      </c>
      <c r="L873" s="32" t="n">
        <f aca="false">C873*1000000/dt_s+J873/2</f>
        <v>20807.4972053449</v>
      </c>
      <c r="M873" s="32" t="n">
        <f aca="false">C873*1000000/dt_s+K873/2</f>
        <v>20711.035587312</v>
      </c>
    </row>
    <row r="874" customFormat="false" ht="15" hidden="false" customHeight="false" outlineLevel="0" collapsed="false">
      <c r="A874" s="24" t="n">
        <f aca="false">ROUND(A873+0.01,2)</f>
        <v>79.69</v>
      </c>
      <c r="B874" s="25" t="n">
        <f aca="false">INDEX(Bang_F,MATCH(A874,Bang_Z,1))+(A874-INDEX(Bang_Z,MATCH(A874,Bang_Z,1)))*(INDEX(Bang_F,MATCH(A874,Bang_Z,1)+1)-INDEX(Bang_F,MATCH(A874,Bang_Z,1)))</f>
        <v>8.913</v>
      </c>
      <c r="C874" s="25" t="n">
        <f aca="false">INDEX(Bang_W,MATCH(A874,Bang_Z,1))+(A874-INDEX(Bang_Z,MATCH(A874,Bang_Z,1)))*(INDEX(Bang_F,MATCH(A874,Bang_Z,1))+B874)/2</f>
        <v>73.958335</v>
      </c>
      <c r="D874" s="26" t="n">
        <f aca="false">MAX(A874-TC_Z,0)</f>
        <v>4.99</v>
      </c>
      <c r="E874" s="27" t="n">
        <f aca="false">1-0.2*(TC_xmb+(TC_n-1)*TC_xmt)*D874/(TC_n*TC_b)</f>
        <v>0.801324074074074</v>
      </c>
      <c r="F874" s="28" t="n">
        <f aca="false">TC_s*E874*TC_m*TC_n*TC_b*SQRT(2*g_)*D874^1.5</f>
        <v>384.569444802841</v>
      </c>
      <c r="G874" s="29" t="n">
        <f aca="false">MAX(A874-SC_Z,0)</f>
        <v>8.69</v>
      </c>
      <c r="H874" s="30" t="n">
        <f aca="false">1-0.2*(SC_xmb+(SC_n-1)*SC_xmt)*G874/(SC_n*SC_b)</f>
        <v>0.75668</v>
      </c>
      <c r="I874" s="31" t="n">
        <f aca="false">SC_s*H874*SC_m*SC_n*SC_b*SQRT(2*g_)*G874^1.5</f>
        <v>193.185238970663</v>
      </c>
      <c r="J874" s="32" t="n">
        <f aca="false">F874+I874</f>
        <v>577.754683773504</v>
      </c>
      <c r="K874" s="32" t="n">
        <f aca="false">F874</f>
        <v>384.569444802841</v>
      </c>
      <c r="L874" s="32" t="n">
        <f aca="false">C874*1000000/dt_s+J874/2</f>
        <v>20832.8592863312</v>
      </c>
      <c r="M874" s="32" t="n">
        <f aca="false">C874*1000000/dt_s+K874/2</f>
        <v>20736.2666668459</v>
      </c>
    </row>
    <row r="875" customFormat="false" ht="15" hidden="false" customHeight="false" outlineLevel="0" collapsed="false">
      <c r="A875" s="24" t="n">
        <f aca="false">ROUND(A874+0.01,2)</f>
        <v>79.7</v>
      </c>
      <c r="B875" s="25" t="n">
        <f aca="false">INDEX(Bang_F,MATCH(A875,Bang_Z,1))+(A875-INDEX(Bang_Z,MATCH(A875,Bang_Z,1)))*(INDEX(Bang_F,MATCH(A875,Bang_Z,1)+1)-INDEX(Bang_F,MATCH(A875,Bang_Z,1)))</f>
        <v>8.92</v>
      </c>
      <c r="C875" s="25" t="n">
        <f aca="false">INDEX(Bang_W,MATCH(A875,Bang_Z,1))+(A875-INDEX(Bang_Z,MATCH(A875,Bang_Z,1)))*(INDEX(Bang_F,MATCH(A875,Bang_Z,1))+B875)/2</f>
        <v>74.0475</v>
      </c>
      <c r="D875" s="26" t="n">
        <f aca="false">MAX(A875-TC_Z,0)</f>
        <v>5</v>
      </c>
      <c r="E875" s="27" t="n">
        <f aca="false">1-0.2*(TC_xmb+(TC_n-1)*TC_xmt)*D875/(TC_n*TC_b)</f>
        <v>0.800925925925926</v>
      </c>
      <c r="F875" s="28" t="n">
        <f aca="false">TC_s*E875*TC_m*TC_n*TC_b*SQRT(2*g_)*D875^1.5</f>
        <v>385.534391218864</v>
      </c>
      <c r="G875" s="29" t="n">
        <f aca="false">MAX(A875-SC_Z,0)</f>
        <v>8.7</v>
      </c>
      <c r="H875" s="30" t="n">
        <f aca="false">1-0.2*(SC_xmb+(SC_n-1)*SC_xmt)*G875/(SC_n*SC_b)</f>
        <v>0.7564</v>
      </c>
      <c r="I875" s="31" t="n">
        <f aca="false">SC_s*H875*SC_m*SC_n*SC_b*SQRT(2*g_)*G875^1.5</f>
        <v>193.447186954005</v>
      </c>
      <c r="J875" s="32" t="n">
        <f aca="false">F875+I875</f>
        <v>578.981578172869</v>
      </c>
      <c r="K875" s="32" t="n">
        <f aca="false">F875</f>
        <v>385.534391218864</v>
      </c>
      <c r="L875" s="32" t="n">
        <f aca="false">C875*1000000/dt_s+J875/2</f>
        <v>20858.2407890864</v>
      </c>
      <c r="M875" s="32" t="n">
        <f aca="false">C875*1000000/dt_s+K875/2</f>
        <v>20761.5171956094</v>
      </c>
    </row>
    <row r="876" customFormat="false" ht="15" hidden="false" customHeight="false" outlineLevel="0" collapsed="false">
      <c r="A876" s="24" t="n">
        <f aca="false">ROUND(A875+0.01,2)</f>
        <v>79.71</v>
      </c>
      <c r="B876" s="25" t="n">
        <f aca="false">INDEX(Bang_F,MATCH(A876,Bang_Z,1))+(A876-INDEX(Bang_Z,MATCH(A876,Bang_Z,1)))*(INDEX(Bang_F,MATCH(A876,Bang_Z,1)+1)-INDEX(Bang_F,MATCH(A876,Bang_Z,1)))</f>
        <v>8.927</v>
      </c>
      <c r="C876" s="25" t="n">
        <f aca="false">INDEX(Bang_W,MATCH(A876,Bang_Z,1))+(A876-INDEX(Bang_Z,MATCH(A876,Bang_Z,1)))*(INDEX(Bang_F,MATCH(A876,Bang_Z,1))+B876)/2</f>
        <v>74.1367349999999</v>
      </c>
      <c r="D876" s="26" t="n">
        <f aca="false">MAX(A876-TC_Z,0)</f>
        <v>5.00999999999999</v>
      </c>
      <c r="E876" s="27" t="n">
        <f aca="false">1-0.2*(TC_xmb+(TC_n-1)*TC_xmt)*D876/(TC_n*TC_b)</f>
        <v>0.800527777777778</v>
      </c>
      <c r="F876" s="28" t="n">
        <f aca="false">TC_s*E876*TC_m*TC_n*TC_b*SQRT(2*g_)*D876^1.5</f>
        <v>386.499344320934</v>
      </c>
      <c r="G876" s="29" t="n">
        <f aca="false">MAX(A876-SC_Z,0)</f>
        <v>8.70999999999999</v>
      </c>
      <c r="H876" s="30" t="n">
        <f aca="false">1-0.2*(SC_xmb+(SC_n-1)*SC_xmt)*G876/(SC_n*SC_b)</f>
        <v>0.75612</v>
      </c>
      <c r="I876" s="31" t="n">
        <f aca="false">SC_s*H876*SC_m*SC_n*SC_b*SQRT(2*g_)*G876^1.5</f>
        <v>193.709079692736</v>
      </c>
      <c r="J876" s="32" t="n">
        <f aca="false">F876+I876</f>
        <v>580.20842401367</v>
      </c>
      <c r="K876" s="32" t="n">
        <f aca="false">F876</f>
        <v>386.499344320934</v>
      </c>
      <c r="L876" s="32" t="n">
        <f aca="false">C876*1000000/dt_s+J876/2</f>
        <v>20883.6417120068</v>
      </c>
      <c r="M876" s="32" t="n">
        <f aca="false">C876*1000000/dt_s+K876/2</f>
        <v>20786.7871721605</v>
      </c>
    </row>
    <row r="877" customFormat="false" ht="15" hidden="false" customHeight="false" outlineLevel="0" collapsed="false">
      <c r="A877" s="24" t="n">
        <f aca="false">ROUND(A876+0.01,2)</f>
        <v>79.72</v>
      </c>
      <c r="B877" s="25" t="n">
        <f aca="false">INDEX(Bang_F,MATCH(A877,Bang_Z,1))+(A877-INDEX(Bang_Z,MATCH(A877,Bang_Z,1)))*(INDEX(Bang_F,MATCH(A877,Bang_Z,1)+1)-INDEX(Bang_F,MATCH(A877,Bang_Z,1)))</f>
        <v>8.934</v>
      </c>
      <c r="C877" s="25" t="n">
        <f aca="false">INDEX(Bang_W,MATCH(A877,Bang_Z,1))+(A877-INDEX(Bang_Z,MATCH(A877,Bang_Z,1)))*(INDEX(Bang_F,MATCH(A877,Bang_Z,1))+B877)/2</f>
        <v>74.22604</v>
      </c>
      <c r="D877" s="26" t="n">
        <f aca="false">MAX(A877-TC_Z,0)</f>
        <v>5.02</v>
      </c>
      <c r="E877" s="27" t="n">
        <f aca="false">1-0.2*(TC_xmb+(TC_n-1)*TC_xmt)*D877/(TC_n*TC_b)</f>
        <v>0.80012962962963</v>
      </c>
      <c r="F877" s="28" t="n">
        <f aca="false">TC_s*E877*TC_m*TC_n*TC_b*SQRT(2*g_)*D877^1.5</f>
        <v>387.464301230452</v>
      </c>
      <c r="G877" s="29" t="n">
        <f aca="false">MAX(A877-SC_Z,0)</f>
        <v>8.72</v>
      </c>
      <c r="H877" s="30" t="n">
        <f aca="false">1-0.2*(SC_xmb+(SC_n-1)*SC_xmt)*G877/(SC_n*SC_b)</f>
        <v>0.75584</v>
      </c>
      <c r="I877" s="31" t="n">
        <f aca="false">SC_s*H877*SC_m*SC_n*SC_b*SQRT(2*g_)*G877^1.5</f>
        <v>193.970916864</v>
      </c>
      <c r="J877" s="32" t="n">
        <f aca="false">F877+I877</f>
        <v>581.435218094452</v>
      </c>
      <c r="K877" s="32" t="n">
        <f aca="false">F877</f>
        <v>387.464301230452</v>
      </c>
      <c r="L877" s="32" t="n">
        <f aca="false">C877*1000000/dt_s+J877/2</f>
        <v>20909.0620534917</v>
      </c>
      <c r="M877" s="32" t="n">
        <f aca="false">C877*1000000/dt_s+K877/2</f>
        <v>20812.0765950597</v>
      </c>
    </row>
    <row r="878" customFormat="false" ht="15" hidden="false" customHeight="false" outlineLevel="0" collapsed="false">
      <c r="A878" s="24" t="n">
        <f aca="false">ROUND(A877+0.01,2)</f>
        <v>79.73</v>
      </c>
      <c r="B878" s="25" t="n">
        <f aca="false">INDEX(Bang_F,MATCH(A878,Bang_Z,1))+(A878-INDEX(Bang_Z,MATCH(A878,Bang_Z,1)))*(INDEX(Bang_F,MATCH(A878,Bang_Z,1)+1)-INDEX(Bang_F,MATCH(A878,Bang_Z,1)))</f>
        <v>8.941</v>
      </c>
      <c r="C878" s="25" t="n">
        <f aca="false">INDEX(Bang_W,MATCH(A878,Bang_Z,1))+(A878-INDEX(Bang_Z,MATCH(A878,Bang_Z,1)))*(INDEX(Bang_F,MATCH(A878,Bang_Z,1))+B878)/2</f>
        <v>74.315415</v>
      </c>
      <c r="D878" s="26" t="n">
        <f aca="false">MAX(A878-TC_Z,0)</f>
        <v>5.03</v>
      </c>
      <c r="E878" s="27" t="n">
        <f aca="false">1-0.2*(TC_xmb+(TC_n-1)*TC_xmt)*D878/(TC_n*TC_b)</f>
        <v>0.799731481481481</v>
      </c>
      <c r="F878" s="28" t="n">
        <f aca="false">TC_s*E878*TC_m*TC_n*TC_b*SQRT(2*g_)*D878^1.5</f>
        <v>388.42925907456</v>
      </c>
      <c r="G878" s="29" t="n">
        <f aca="false">MAX(A878-SC_Z,0)</f>
        <v>8.73</v>
      </c>
      <c r="H878" s="30" t="n">
        <f aca="false">1-0.2*(SC_xmb+(SC_n-1)*SC_xmt)*G878/(SC_n*SC_b)</f>
        <v>0.75556</v>
      </c>
      <c r="I878" s="31" t="n">
        <f aca="false">SC_s*H878*SC_m*SC_n*SC_b*SQRT(2*g_)*G878^1.5</f>
        <v>194.232698145293</v>
      </c>
      <c r="J878" s="32" t="n">
        <f aca="false">F878+I878</f>
        <v>582.661957219853</v>
      </c>
      <c r="K878" s="32" t="n">
        <f aca="false">F878</f>
        <v>388.42925907456</v>
      </c>
      <c r="L878" s="32" t="n">
        <f aca="false">C878*1000000/dt_s+J878/2</f>
        <v>20934.5018119433</v>
      </c>
      <c r="M878" s="32" t="n">
        <f aca="false">C878*1000000/dt_s+K878/2</f>
        <v>20837.3854628706</v>
      </c>
    </row>
    <row r="879" customFormat="false" ht="15" hidden="false" customHeight="false" outlineLevel="0" collapsed="false">
      <c r="A879" s="24" t="n">
        <f aca="false">ROUND(A878+0.01,2)</f>
        <v>79.74</v>
      </c>
      <c r="B879" s="25" t="n">
        <f aca="false">INDEX(Bang_F,MATCH(A879,Bang_Z,1))+(A879-INDEX(Bang_Z,MATCH(A879,Bang_Z,1)))*(INDEX(Bang_F,MATCH(A879,Bang_Z,1)+1)-INDEX(Bang_F,MATCH(A879,Bang_Z,1)))</f>
        <v>8.948</v>
      </c>
      <c r="C879" s="25" t="n">
        <f aca="false">INDEX(Bang_W,MATCH(A879,Bang_Z,1))+(A879-INDEX(Bang_Z,MATCH(A879,Bang_Z,1)))*(INDEX(Bang_F,MATCH(A879,Bang_Z,1))+B879)/2</f>
        <v>74.4048599999999</v>
      </c>
      <c r="D879" s="26" t="n">
        <f aca="false">MAX(A879-TC_Z,0)</f>
        <v>5.03999999999999</v>
      </c>
      <c r="E879" s="27" t="n">
        <f aca="false">1-0.2*(TC_xmb+(TC_n-1)*TC_xmt)*D879/(TC_n*TC_b)</f>
        <v>0.799333333333334</v>
      </c>
      <c r="F879" s="28" t="n">
        <f aca="false">TC_s*E879*TC_m*TC_n*TC_b*SQRT(2*g_)*D879^1.5</f>
        <v>389.394214986117</v>
      </c>
      <c r="G879" s="29" t="n">
        <f aca="false">MAX(A879-SC_Z,0)</f>
        <v>8.74</v>
      </c>
      <c r="H879" s="30" t="n">
        <f aca="false">1-0.2*(SC_xmb+(SC_n-1)*SC_xmt)*G879/(SC_n*SC_b)</f>
        <v>0.75528</v>
      </c>
      <c r="I879" s="31" t="n">
        <f aca="false">SC_s*H879*SC_m*SC_n*SC_b*SQRT(2*g_)*G879^1.5</f>
        <v>194.494423214463</v>
      </c>
      <c r="J879" s="32" t="n">
        <f aca="false">F879+I879</f>
        <v>583.88863820058</v>
      </c>
      <c r="K879" s="32" t="n">
        <f aca="false">F879</f>
        <v>389.394214986117</v>
      </c>
      <c r="L879" s="32" t="n">
        <f aca="false">C879*1000000/dt_s+J879/2</f>
        <v>20959.9609857669</v>
      </c>
      <c r="M879" s="32" t="n">
        <f aca="false">C879*1000000/dt_s+K879/2</f>
        <v>20862.7137741597</v>
      </c>
    </row>
    <row r="880" customFormat="false" ht="15" hidden="false" customHeight="false" outlineLevel="0" collapsed="false">
      <c r="A880" s="24" t="n">
        <f aca="false">ROUND(A879+0.01,2)</f>
        <v>79.75</v>
      </c>
      <c r="B880" s="25" t="n">
        <f aca="false">INDEX(Bang_F,MATCH(A880,Bang_Z,1))+(A880-INDEX(Bang_Z,MATCH(A880,Bang_Z,1)))*(INDEX(Bang_F,MATCH(A880,Bang_Z,1)+1)-INDEX(Bang_F,MATCH(A880,Bang_Z,1)))</f>
        <v>8.955</v>
      </c>
      <c r="C880" s="25" t="n">
        <f aca="false">INDEX(Bang_W,MATCH(A880,Bang_Z,1))+(A880-INDEX(Bang_Z,MATCH(A880,Bang_Z,1)))*(INDEX(Bang_F,MATCH(A880,Bang_Z,1))+B880)/2</f>
        <v>74.494375</v>
      </c>
      <c r="D880" s="26" t="n">
        <f aca="false">MAX(A880-TC_Z,0)</f>
        <v>5.05</v>
      </c>
      <c r="E880" s="27" t="n">
        <f aca="false">1-0.2*(TC_xmb+(TC_n-1)*TC_xmt)*D880/(TC_n*TC_b)</f>
        <v>0.798935185185185</v>
      </c>
      <c r="F880" s="28" t="n">
        <f aca="false">TC_s*E880*TC_m*TC_n*TC_b*SQRT(2*g_)*D880^1.5</f>
        <v>390.359166103678</v>
      </c>
      <c r="G880" s="29" t="n">
        <f aca="false">MAX(A880-SC_Z,0)</f>
        <v>8.75</v>
      </c>
      <c r="H880" s="30" t="n">
        <f aca="false">1-0.2*(SC_xmb+(SC_n-1)*SC_xmt)*G880/(SC_n*SC_b)</f>
        <v>0.755</v>
      </c>
      <c r="I880" s="31" t="n">
        <f aca="false">SC_s*H880*SC_m*SC_n*SC_b*SQRT(2*g_)*G880^1.5</f>
        <v>194.756091749708</v>
      </c>
      <c r="J880" s="32" t="n">
        <f aca="false">F880+I880</f>
        <v>585.115257853386</v>
      </c>
      <c r="K880" s="32" t="n">
        <f aca="false">F880</f>
        <v>390.359166103678</v>
      </c>
      <c r="L880" s="32" t="n">
        <f aca="false">C880*1000000/dt_s+J880/2</f>
        <v>20985.4395733711</v>
      </c>
      <c r="M880" s="32" t="n">
        <f aca="false">C880*1000000/dt_s+K880/2</f>
        <v>20888.0615274963</v>
      </c>
    </row>
    <row r="881" customFormat="false" ht="15" hidden="false" customHeight="false" outlineLevel="0" collapsed="false">
      <c r="A881" s="24" t="n">
        <f aca="false">ROUND(A880+0.01,2)</f>
        <v>79.76</v>
      </c>
      <c r="B881" s="25" t="n">
        <f aca="false">INDEX(Bang_F,MATCH(A881,Bang_Z,1))+(A881-INDEX(Bang_Z,MATCH(A881,Bang_Z,1)))*(INDEX(Bang_F,MATCH(A881,Bang_Z,1)+1)-INDEX(Bang_F,MATCH(A881,Bang_Z,1)))</f>
        <v>8.962</v>
      </c>
      <c r="C881" s="25" t="n">
        <f aca="false">INDEX(Bang_W,MATCH(A881,Bang_Z,1))+(A881-INDEX(Bang_Z,MATCH(A881,Bang_Z,1)))*(INDEX(Bang_F,MATCH(A881,Bang_Z,1))+B881)/2</f>
        <v>74.5839600000001</v>
      </c>
      <c r="D881" s="26" t="n">
        <f aca="false">MAX(A881-TC_Z,0)</f>
        <v>5.06</v>
      </c>
      <c r="E881" s="27" t="n">
        <f aca="false">1-0.2*(TC_xmb+(TC_n-1)*TC_xmt)*D881/(TC_n*TC_b)</f>
        <v>0.798537037037037</v>
      </c>
      <c r="F881" s="28" t="n">
        <f aca="false">TC_s*E881*TC_m*TC_n*TC_b*SQRT(2*g_)*D881^1.5</f>
        <v>391.324109571463</v>
      </c>
      <c r="G881" s="29" t="n">
        <f aca="false">MAX(A881-SC_Z,0)</f>
        <v>8.76000000000001</v>
      </c>
      <c r="H881" s="30" t="n">
        <f aca="false">1-0.2*(SC_xmb+(SC_n-1)*SC_xmt)*G881/(SC_n*SC_b)</f>
        <v>0.75472</v>
      </c>
      <c r="I881" s="31" t="n">
        <f aca="false">SC_s*H881*SC_m*SC_n*SC_b*SQRT(2*g_)*G881^1.5</f>
        <v>195.017703429574</v>
      </c>
      <c r="J881" s="32" t="n">
        <f aca="false">F881+I881</f>
        <v>586.341813001038</v>
      </c>
      <c r="K881" s="32" t="n">
        <f aca="false">F881</f>
        <v>391.324109571463</v>
      </c>
      <c r="L881" s="32" t="n">
        <f aca="false">C881*1000000/dt_s+J881/2</f>
        <v>21010.9375731672</v>
      </c>
      <c r="M881" s="32" t="n">
        <f aca="false">C881*1000000/dt_s+K881/2</f>
        <v>20913.4287214524</v>
      </c>
    </row>
    <row r="882" customFormat="false" ht="15" hidden="false" customHeight="false" outlineLevel="0" collapsed="false">
      <c r="A882" s="24" t="n">
        <f aca="false">ROUND(A881+0.01,2)</f>
        <v>79.77</v>
      </c>
      <c r="B882" s="25" t="n">
        <f aca="false">INDEX(Bang_F,MATCH(A882,Bang_Z,1))+(A882-INDEX(Bang_Z,MATCH(A882,Bang_Z,1)))*(INDEX(Bang_F,MATCH(A882,Bang_Z,1)+1)-INDEX(Bang_F,MATCH(A882,Bang_Z,1)))</f>
        <v>8.969</v>
      </c>
      <c r="C882" s="25" t="n">
        <f aca="false">INDEX(Bang_W,MATCH(A882,Bang_Z,1))+(A882-INDEX(Bang_Z,MATCH(A882,Bang_Z,1)))*(INDEX(Bang_F,MATCH(A882,Bang_Z,1))+B882)/2</f>
        <v>74.673615</v>
      </c>
      <c r="D882" s="26" t="n">
        <f aca="false">MAX(A882-TC_Z,0)</f>
        <v>5.06999999999999</v>
      </c>
      <c r="E882" s="27" t="n">
        <f aca="false">1-0.2*(TC_xmb+(TC_n-1)*TC_xmt)*D882/(TC_n*TC_b)</f>
        <v>0.798138888888889</v>
      </c>
      <c r="F882" s="28" t="n">
        <f aca="false">TC_s*E882*TC_m*TC_n*TC_b*SQRT(2*g_)*D882^1.5</f>
        <v>392.289042539333</v>
      </c>
      <c r="G882" s="29" t="n">
        <f aca="false">MAX(A882-SC_Z,0)</f>
        <v>8.77</v>
      </c>
      <c r="H882" s="30" t="n">
        <f aca="false">1-0.2*(SC_xmb+(SC_n-1)*SC_xmt)*G882/(SC_n*SC_b)</f>
        <v>0.75444</v>
      </c>
      <c r="I882" s="31" t="n">
        <f aca="false">SC_s*H882*SC_m*SC_n*SC_b*SQRT(2*g_)*G882^1.5</f>
        <v>195.279257932958</v>
      </c>
      <c r="J882" s="32" t="n">
        <f aca="false">F882+I882</f>
        <v>587.568300472291</v>
      </c>
      <c r="K882" s="32" t="n">
        <f aca="false">F882</f>
        <v>392.289042539333</v>
      </c>
      <c r="L882" s="32" t="n">
        <f aca="false">C882*1000000/dt_s+J882/2</f>
        <v>21036.4549835695</v>
      </c>
      <c r="M882" s="32" t="n">
        <f aca="false">C882*1000000/dt_s+K882/2</f>
        <v>20938.815354603</v>
      </c>
    </row>
    <row r="883" customFormat="false" ht="15" hidden="false" customHeight="false" outlineLevel="0" collapsed="false">
      <c r="A883" s="24" t="n">
        <f aca="false">ROUND(A882+0.01,2)</f>
        <v>79.78</v>
      </c>
      <c r="B883" s="25" t="n">
        <f aca="false">INDEX(Bang_F,MATCH(A883,Bang_Z,1))+(A883-INDEX(Bang_Z,MATCH(A883,Bang_Z,1)))*(INDEX(Bang_F,MATCH(A883,Bang_Z,1)+1)-INDEX(Bang_F,MATCH(A883,Bang_Z,1)))</f>
        <v>8.976</v>
      </c>
      <c r="C883" s="25" t="n">
        <f aca="false">INDEX(Bang_W,MATCH(A883,Bang_Z,1))+(A883-INDEX(Bang_Z,MATCH(A883,Bang_Z,1)))*(INDEX(Bang_F,MATCH(A883,Bang_Z,1))+B883)/2</f>
        <v>74.76334</v>
      </c>
      <c r="D883" s="26" t="n">
        <f aca="false">MAX(A883-TC_Z,0)</f>
        <v>5.08</v>
      </c>
      <c r="E883" s="27" t="n">
        <f aca="false">1-0.2*(TC_xmb+(TC_n-1)*TC_xmt)*D883/(TC_n*TC_b)</f>
        <v>0.797740740740741</v>
      </c>
      <c r="F883" s="28" t="n">
        <f aca="false">TC_s*E883*TC_m*TC_n*TC_b*SQRT(2*g_)*D883^1.5</f>
        <v>393.253962162769</v>
      </c>
      <c r="G883" s="29" t="n">
        <f aca="false">MAX(A883-SC_Z,0)</f>
        <v>8.78</v>
      </c>
      <c r="H883" s="30" t="n">
        <f aca="false">1-0.2*(SC_xmb+(SC_n-1)*SC_xmt)*G883/(SC_n*SC_b)</f>
        <v>0.75416</v>
      </c>
      <c r="I883" s="31" t="n">
        <f aca="false">SC_s*H883*SC_m*SC_n*SC_b*SQRT(2*g_)*G883^1.5</f>
        <v>195.540754939104</v>
      </c>
      <c r="J883" s="32" t="n">
        <f aca="false">F883+I883</f>
        <v>588.794717101873</v>
      </c>
      <c r="K883" s="32" t="n">
        <f aca="false">F883</f>
        <v>393.253962162769</v>
      </c>
      <c r="L883" s="32" t="n">
        <f aca="false">C883*1000000/dt_s+J883/2</f>
        <v>21061.9918029954</v>
      </c>
      <c r="M883" s="32" t="n">
        <f aca="false">C883*1000000/dt_s+K883/2</f>
        <v>20964.2214255258</v>
      </c>
    </row>
    <row r="884" customFormat="false" ht="15" hidden="false" customHeight="false" outlineLevel="0" collapsed="false">
      <c r="A884" s="24" t="n">
        <f aca="false">ROUND(A883+0.01,2)</f>
        <v>79.79</v>
      </c>
      <c r="B884" s="25" t="n">
        <f aca="false">INDEX(Bang_F,MATCH(A884,Bang_Z,1))+(A884-INDEX(Bang_Z,MATCH(A884,Bang_Z,1)))*(INDEX(Bang_F,MATCH(A884,Bang_Z,1)+1)-INDEX(Bang_F,MATCH(A884,Bang_Z,1)))</f>
        <v>8.983</v>
      </c>
      <c r="C884" s="25" t="n">
        <f aca="false">INDEX(Bang_W,MATCH(A884,Bang_Z,1))+(A884-INDEX(Bang_Z,MATCH(A884,Bang_Z,1)))*(INDEX(Bang_F,MATCH(A884,Bang_Z,1))+B884)/2</f>
        <v>74.8531350000001</v>
      </c>
      <c r="D884" s="26" t="n">
        <f aca="false">MAX(A884-TC_Z,0)</f>
        <v>5.09</v>
      </c>
      <c r="E884" s="27" t="n">
        <f aca="false">1-0.2*(TC_xmb+(TC_n-1)*TC_xmt)*D884/(TC_n*TC_b)</f>
        <v>0.797342592592592</v>
      </c>
      <c r="F884" s="28" t="n">
        <f aca="false">TC_s*E884*TC_m*TC_n*TC_b*SQRT(2*g_)*D884^1.5</f>
        <v>394.218865602841</v>
      </c>
      <c r="G884" s="29" t="n">
        <f aca="false">MAX(A884-SC_Z,0)</f>
        <v>8.79000000000001</v>
      </c>
      <c r="H884" s="30" t="n">
        <f aca="false">1-0.2*(SC_xmb+(SC_n-1)*SC_xmt)*G884/(SC_n*SC_b)</f>
        <v>0.75388</v>
      </c>
      <c r="I884" s="31" t="n">
        <f aca="false">SC_s*H884*SC_m*SC_n*SC_b*SQRT(2*g_)*G884^1.5</f>
        <v>195.802194127601</v>
      </c>
      <c r="J884" s="32" t="n">
        <f aca="false">F884+I884</f>
        <v>590.021059730442</v>
      </c>
      <c r="K884" s="32" t="n">
        <f aca="false">F884</f>
        <v>394.218865602841</v>
      </c>
      <c r="L884" s="32" t="n">
        <f aca="false">C884*1000000/dt_s+J884/2</f>
        <v>21087.5480298652</v>
      </c>
      <c r="M884" s="32" t="n">
        <f aca="false">C884*1000000/dt_s+K884/2</f>
        <v>20989.6469328014</v>
      </c>
    </row>
    <row r="885" customFormat="false" ht="15" hidden="false" customHeight="false" outlineLevel="0" collapsed="false">
      <c r="A885" s="24" t="n">
        <f aca="false">ROUND(A884+0.01,2)</f>
        <v>79.8</v>
      </c>
      <c r="B885" s="25" t="n">
        <f aca="false">INDEX(Bang_F,MATCH(A885,Bang_Z,1))+(A885-INDEX(Bang_Z,MATCH(A885,Bang_Z,1)))*(INDEX(Bang_F,MATCH(A885,Bang_Z,1)+1)-INDEX(Bang_F,MATCH(A885,Bang_Z,1)))</f>
        <v>8.99</v>
      </c>
      <c r="C885" s="25" t="n">
        <f aca="false">INDEX(Bang_W,MATCH(A885,Bang_Z,1))+(A885-INDEX(Bang_Z,MATCH(A885,Bang_Z,1)))*(INDEX(Bang_F,MATCH(A885,Bang_Z,1))+B885)/2</f>
        <v>74.943</v>
      </c>
      <c r="D885" s="26" t="n">
        <f aca="false">MAX(A885-TC_Z,0)</f>
        <v>5.09999999999999</v>
      </c>
      <c r="E885" s="27" t="n">
        <f aca="false">1-0.2*(TC_xmb+(TC_n-1)*TC_xmt)*D885/(TC_n*TC_b)</f>
        <v>0.796944444444445</v>
      </c>
      <c r="F885" s="28" t="n">
        <f aca="false">TC_s*E885*TC_m*TC_n*TC_b*SQRT(2*g_)*D885^1.5</f>
        <v>395.183750026186</v>
      </c>
      <c r="G885" s="29" t="n">
        <f aca="false">MAX(A885-SC_Z,0)</f>
        <v>8.8</v>
      </c>
      <c r="H885" s="30" t="n">
        <f aca="false">1-0.2*(SC_xmb+(SC_n-1)*SC_xmt)*G885/(SC_n*SC_b)</f>
        <v>0.7536</v>
      </c>
      <c r="I885" s="31" t="n">
        <f aca="false">SC_s*H885*SC_m*SC_n*SC_b*SQRT(2*g_)*G885^1.5</f>
        <v>196.063575178386</v>
      </c>
      <c r="J885" s="32" t="n">
        <f aca="false">F885+I885</f>
        <v>591.247325204573</v>
      </c>
      <c r="K885" s="32" t="n">
        <f aca="false">F885</f>
        <v>395.183750026186</v>
      </c>
      <c r="L885" s="32" t="n">
        <f aca="false">C885*1000000/dt_s+J885/2</f>
        <v>21113.1236626023</v>
      </c>
      <c r="M885" s="32" t="n">
        <f aca="false">C885*1000000/dt_s+K885/2</f>
        <v>21015.0918750131</v>
      </c>
    </row>
    <row r="886" customFormat="false" ht="15" hidden="false" customHeight="false" outlineLevel="0" collapsed="false">
      <c r="A886" s="24" t="n">
        <f aca="false">ROUND(A885+0.01,2)</f>
        <v>79.81</v>
      </c>
      <c r="B886" s="25" t="n">
        <f aca="false">INDEX(Bang_F,MATCH(A886,Bang_Z,1))+(A886-INDEX(Bang_Z,MATCH(A886,Bang_Z,1)))*(INDEX(Bang_F,MATCH(A886,Bang_Z,1)+1)-INDEX(Bang_F,MATCH(A886,Bang_Z,1)))</f>
        <v>8.997</v>
      </c>
      <c r="C886" s="25" t="n">
        <f aca="false">INDEX(Bang_W,MATCH(A886,Bang_Z,1))+(A886-INDEX(Bang_Z,MATCH(A886,Bang_Z,1)))*(INDEX(Bang_F,MATCH(A886,Bang_Z,1))+B886)/2</f>
        <v>75.032935</v>
      </c>
      <c r="D886" s="26" t="n">
        <f aca="false">MAX(A886-TC_Z,0)</f>
        <v>5.11</v>
      </c>
      <c r="E886" s="27" t="n">
        <f aca="false">1-0.2*(TC_xmb+(TC_n-1)*TC_xmt)*D886/(TC_n*TC_b)</f>
        <v>0.796546296296296</v>
      </c>
      <c r="F886" s="28" t="n">
        <f aca="false">TC_s*E886*TC_m*TC_n*TC_b*SQRT(2*g_)*D886^1.5</f>
        <v>396.148612604989</v>
      </c>
      <c r="G886" s="29" t="n">
        <f aca="false">MAX(A886-SC_Z,0)</f>
        <v>8.81</v>
      </c>
      <c r="H886" s="30" t="n">
        <f aca="false">1-0.2*(SC_xmb+(SC_n-1)*SC_xmt)*G886/(SC_n*SC_b)</f>
        <v>0.75332</v>
      </c>
      <c r="I886" s="31" t="n">
        <f aca="false">SC_s*H886*SC_m*SC_n*SC_b*SQRT(2*g_)*G886^1.5</f>
        <v>196.324897771742</v>
      </c>
      <c r="J886" s="32" t="n">
        <f aca="false">F886+I886</f>
        <v>592.473510376731</v>
      </c>
      <c r="K886" s="32" t="n">
        <f aca="false">F886</f>
        <v>396.148612604989</v>
      </c>
      <c r="L886" s="32" t="n">
        <f aca="false">C886*1000000/dt_s+J886/2</f>
        <v>21138.7186996328</v>
      </c>
      <c r="M886" s="32" t="n">
        <f aca="false">C886*1000000/dt_s+K886/2</f>
        <v>21040.5562507469</v>
      </c>
    </row>
    <row r="887" customFormat="false" ht="15" hidden="false" customHeight="false" outlineLevel="0" collapsed="false">
      <c r="A887" s="24" t="n">
        <f aca="false">ROUND(A886+0.01,2)</f>
        <v>79.82</v>
      </c>
      <c r="B887" s="25" t="n">
        <f aca="false">INDEX(Bang_F,MATCH(A887,Bang_Z,1))+(A887-INDEX(Bang_Z,MATCH(A887,Bang_Z,1)))*(INDEX(Bang_F,MATCH(A887,Bang_Z,1)+1)-INDEX(Bang_F,MATCH(A887,Bang_Z,1)))</f>
        <v>9.004</v>
      </c>
      <c r="C887" s="25" t="n">
        <f aca="false">INDEX(Bang_W,MATCH(A887,Bang_Z,1))+(A887-INDEX(Bang_Z,MATCH(A887,Bang_Z,1)))*(INDEX(Bang_F,MATCH(A887,Bang_Z,1))+B887)/2</f>
        <v>75.1229399999999</v>
      </c>
      <c r="D887" s="26" t="n">
        <f aca="false">MAX(A887-TC_Z,0)</f>
        <v>5.11999999999999</v>
      </c>
      <c r="E887" s="27" t="n">
        <f aca="false">1-0.2*(TC_xmb+(TC_n-1)*TC_xmt)*D887/(TC_n*TC_b)</f>
        <v>0.796148148148149</v>
      </c>
      <c r="F887" s="28" t="n">
        <f aca="false">TC_s*E887*TC_m*TC_n*TC_b*SQRT(2*g_)*D887^1.5</f>
        <v>397.113450516945</v>
      </c>
      <c r="G887" s="29" t="n">
        <f aca="false">MAX(A887-SC_Z,0)</f>
        <v>8.81999999999999</v>
      </c>
      <c r="H887" s="30" t="n">
        <f aca="false">1-0.2*(SC_xmb+(SC_n-1)*SC_xmt)*G887/(SC_n*SC_b)</f>
        <v>0.75304</v>
      </c>
      <c r="I887" s="31" t="n">
        <f aca="false">SC_s*H887*SC_m*SC_n*SC_b*SQRT(2*g_)*G887^1.5</f>
        <v>196.586161588293</v>
      </c>
      <c r="J887" s="32" t="n">
        <f aca="false">F887+I887</f>
        <v>593.699612105238</v>
      </c>
      <c r="K887" s="32" t="n">
        <f aca="false">F887</f>
        <v>397.113450516945</v>
      </c>
      <c r="L887" s="32" t="n">
        <f aca="false">C887*1000000/dt_s+J887/2</f>
        <v>21164.3331393859</v>
      </c>
      <c r="M887" s="32" t="n">
        <f aca="false">C887*1000000/dt_s+K887/2</f>
        <v>21066.0400585918</v>
      </c>
    </row>
    <row r="888" customFormat="false" ht="15" hidden="false" customHeight="false" outlineLevel="0" collapsed="false">
      <c r="A888" s="24" t="n">
        <f aca="false">ROUND(A887+0.01,2)</f>
        <v>79.83</v>
      </c>
      <c r="B888" s="25" t="n">
        <f aca="false">INDEX(Bang_F,MATCH(A888,Bang_Z,1))+(A888-INDEX(Bang_Z,MATCH(A888,Bang_Z,1)))*(INDEX(Bang_F,MATCH(A888,Bang_Z,1)+1)-INDEX(Bang_F,MATCH(A888,Bang_Z,1)))</f>
        <v>9.011</v>
      </c>
      <c r="C888" s="25" t="n">
        <f aca="false">INDEX(Bang_W,MATCH(A888,Bang_Z,1))+(A888-INDEX(Bang_Z,MATCH(A888,Bang_Z,1)))*(INDEX(Bang_F,MATCH(A888,Bang_Z,1))+B888)/2</f>
        <v>75.213015</v>
      </c>
      <c r="D888" s="26" t="n">
        <f aca="false">MAX(A888-TC_Z,0)</f>
        <v>5.13</v>
      </c>
      <c r="E888" s="27" t="n">
        <f aca="false">1-0.2*(TC_xmb+(TC_n-1)*TC_xmt)*D888/(TC_n*TC_b)</f>
        <v>0.79575</v>
      </c>
      <c r="F888" s="28" t="n">
        <f aca="false">TC_s*E888*TC_m*TC_n*TC_b*SQRT(2*g_)*D888^1.5</f>
        <v>398.078260945252</v>
      </c>
      <c r="G888" s="29" t="n">
        <f aca="false">MAX(A888-SC_Z,0)</f>
        <v>8.83</v>
      </c>
      <c r="H888" s="30" t="n">
        <f aca="false">1-0.2*(SC_xmb+(SC_n-1)*SC_xmt)*G888/(SC_n*SC_b)</f>
        <v>0.75276</v>
      </c>
      <c r="I888" s="31" t="n">
        <f aca="false">SC_s*H888*SC_m*SC_n*SC_b*SQRT(2*g_)*G888^1.5</f>
        <v>196.84736630901</v>
      </c>
      <c r="J888" s="32" t="n">
        <f aca="false">F888+I888</f>
        <v>594.925627254262</v>
      </c>
      <c r="K888" s="32" t="n">
        <f aca="false">F888</f>
        <v>398.078260945252</v>
      </c>
      <c r="L888" s="32" t="n">
        <f aca="false">C888*1000000/dt_s+J888/2</f>
        <v>21189.9669802938</v>
      </c>
      <c r="M888" s="32" t="n">
        <f aca="false">C888*1000000/dt_s+K888/2</f>
        <v>21091.5432971393</v>
      </c>
    </row>
    <row r="889" customFormat="false" ht="15" hidden="false" customHeight="false" outlineLevel="0" collapsed="false">
      <c r="A889" s="24" t="n">
        <f aca="false">ROUND(A888+0.01,2)</f>
        <v>79.84</v>
      </c>
      <c r="B889" s="25" t="n">
        <f aca="false">INDEX(Bang_F,MATCH(A889,Bang_Z,1))+(A889-INDEX(Bang_Z,MATCH(A889,Bang_Z,1)))*(INDEX(Bang_F,MATCH(A889,Bang_Z,1)+1)-INDEX(Bang_F,MATCH(A889,Bang_Z,1)))</f>
        <v>9.018</v>
      </c>
      <c r="C889" s="25" t="n">
        <f aca="false">INDEX(Bang_W,MATCH(A889,Bang_Z,1))+(A889-INDEX(Bang_Z,MATCH(A889,Bang_Z,1)))*(INDEX(Bang_F,MATCH(A889,Bang_Z,1))+B889)/2</f>
        <v>75.30316</v>
      </c>
      <c r="D889" s="26" t="n">
        <f aca="false">MAX(A889-TC_Z,0)</f>
        <v>5.14</v>
      </c>
      <c r="E889" s="27" t="n">
        <f aca="false">1-0.2*(TC_xmb+(TC_n-1)*TC_xmt)*D889/(TC_n*TC_b)</f>
        <v>0.795351851851852</v>
      </c>
      <c r="F889" s="28" t="n">
        <f aca="false">TC_s*E889*TC_m*TC_n*TC_b*SQRT(2*g_)*D889^1.5</f>
        <v>399.043041078571</v>
      </c>
      <c r="G889" s="29" t="n">
        <f aca="false">MAX(A889-SC_Z,0)</f>
        <v>8.84</v>
      </c>
      <c r="H889" s="30" t="n">
        <f aca="false">1-0.2*(SC_xmb+(SC_n-1)*SC_xmt)*G889/(SC_n*SC_b)</f>
        <v>0.75248</v>
      </c>
      <c r="I889" s="31" t="n">
        <f aca="false">SC_s*H889*SC_m*SC_n*SC_b*SQRT(2*g_)*G889^1.5</f>
        <v>197.108511615203</v>
      </c>
      <c r="J889" s="32" t="n">
        <f aca="false">F889+I889</f>
        <v>596.151552693774</v>
      </c>
      <c r="K889" s="32" t="n">
        <f aca="false">F889</f>
        <v>399.043041078571</v>
      </c>
      <c r="L889" s="32" t="n">
        <f aca="false">C889*1000000/dt_s+J889/2</f>
        <v>21215.6202207913</v>
      </c>
      <c r="M889" s="32" t="n">
        <f aca="false">C889*1000000/dt_s+K889/2</f>
        <v>21117.0659649837</v>
      </c>
    </row>
    <row r="890" customFormat="false" ht="15" hidden="false" customHeight="false" outlineLevel="0" collapsed="false">
      <c r="A890" s="24" t="n">
        <f aca="false">ROUND(A889+0.01,2)</f>
        <v>79.85</v>
      </c>
      <c r="B890" s="25" t="n">
        <f aca="false">INDEX(Bang_F,MATCH(A890,Bang_Z,1))+(A890-INDEX(Bang_Z,MATCH(A890,Bang_Z,1)))*(INDEX(Bang_F,MATCH(A890,Bang_Z,1)+1)-INDEX(Bang_F,MATCH(A890,Bang_Z,1)))</f>
        <v>9.025</v>
      </c>
      <c r="C890" s="25" t="n">
        <f aca="false">INDEX(Bang_W,MATCH(A890,Bang_Z,1))+(A890-INDEX(Bang_Z,MATCH(A890,Bang_Z,1)))*(INDEX(Bang_F,MATCH(A890,Bang_Z,1))+B890)/2</f>
        <v>75.393375</v>
      </c>
      <c r="D890" s="26" t="n">
        <f aca="false">MAX(A890-TC_Z,0)</f>
        <v>5.14999999999999</v>
      </c>
      <c r="E890" s="27" t="n">
        <f aca="false">1-0.2*(TC_xmb+(TC_n-1)*TC_xmt)*D890/(TC_n*TC_b)</f>
        <v>0.794953703703704</v>
      </c>
      <c r="F890" s="28" t="n">
        <f aca="false">TC_s*E890*TC_m*TC_n*TC_b*SQRT(2*g_)*D890^1.5</f>
        <v>400.007788111012</v>
      </c>
      <c r="G890" s="29" t="n">
        <f aca="false">MAX(A890-SC_Z,0)</f>
        <v>8.84999999999999</v>
      </c>
      <c r="H890" s="30" t="n">
        <f aca="false">1-0.2*(SC_xmb+(SC_n-1)*SC_xmt)*G890/(SC_n*SC_b)</f>
        <v>0.7522</v>
      </c>
      <c r="I890" s="31" t="n">
        <f aca="false">SC_s*H890*SC_m*SC_n*SC_b*SQRT(2*g_)*G890^1.5</f>
        <v>197.369597188526</v>
      </c>
      <c r="J890" s="32" t="n">
        <f aca="false">F890+I890</f>
        <v>597.377385299538</v>
      </c>
      <c r="K890" s="32" t="n">
        <f aca="false">F890</f>
        <v>400.007788111012</v>
      </c>
      <c r="L890" s="32" t="n">
        <f aca="false">C890*1000000/dt_s+J890/2</f>
        <v>21241.2928593164</v>
      </c>
      <c r="M890" s="32" t="n">
        <f aca="false">C890*1000000/dt_s+K890/2</f>
        <v>21142.6080607222</v>
      </c>
    </row>
    <row r="891" customFormat="false" ht="15" hidden="false" customHeight="false" outlineLevel="0" collapsed="false">
      <c r="A891" s="24" t="n">
        <f aca="false">ROUND(A890+0.01,2)</f>
        <v>79.86</v>
      </c>
      <c r="B891" s="25" t="n">
        <f aca="false">INDEX(Bang_F,MATCH(A891,Bang_Z,1))+(A891-INDEX(Bang_Z,MATCH(A891,Bang_Z,1)))*(INDEX(Bang_F,MATCH(A891,Bang_Z,1)+1)-INDEX(Bang_F,MATCH(A891,Bang_Z,1)))</f>
        <v>9.032</v>
      </c>
      <c r="C891" s="25" t="n">
        <f aca="false">INDEX(Bang_W,MATCH(A891,Bang_Z,1))+(A891-INDEX(Bang_Z,MATCH(A891,Bang_Z,1)))*(INDEX(Bang_F,MATCH(A891,Bang_Z,1))+B891)/2</f>
        <v>75.48366</v>
      </c>
      <c r="D891" s="26" t="n">
        <f aca="false">MAX(A891-TC_Z,0)</f>
        <v>5.16</v>
      </c>
      <c r="E891" s="27" t="n">
        <f aca="false">1-0.2*(TC_xmb+(TC_n-1)*TC_xmt)*D891/(TC_n*TC_b)</f>
        <v>0.794555555555556</v>
      </c>
      <c r="F891" s="28" t="n">
        <f aca="false">TC_s*E891*TC_m*TC_n*TC_b*SQRT(2*g_)*D891^1.5</f>
        <v>400.972499242108</v>
      </c>
      <c r="G891" s="29" t="n">
        <f aca="false">MAX(A891-SC_Z,0)</f>
        <v>8.86</v>
      </c>
      <c r="H891" s="30" t="n">
        <f aca="false">1-0.2*(SC_xmb+(SC_n-1)*SC_xmt)*G891/(SC_n*SC_b)</f>
        <v>0.75192</v>
      </c>
      <c r="I891" s="31" t="n">
        <f aca="false">SC_s*H891*SC_m*SC_n*SC_b*SQRT(2*g_)*G891^1.5</f>
        <v>197.630622710974</v>
      </c>
      <c r="J891" s="32" t="n">
        <f aca="false">F891+I891</f>
        <v>598.603121953082</v>
      </c>
      <c r="K891" s="32" t="n">
        <f aca="false">F891</f>
        <v>400.972499242108</v>
      </c>
      <c r="L891" s="32" t="n">
        <f aca="false">C891*1000000/dt_s+J891/2</f>
        <v>21266.9848943099</v>
      </c>
      <c r="M891" s="32" t="n">
        <f aca="false">C891*1000000/dt_s+K891/2</f>
        <v>21168.1695829544</v>
      </c>
    </row>
    <row r="892" customFormat="false" ht="15" hidden="false" customHeight="false" outlineLevel="0" collapsed="false">
      <c r="A892" s="24" t="n">
        <f aca="false">ROUND(A891+0.01,2)</f>
        <v>79.87</v>
      </c>
      <c r="B892" s="25" t="n">
        <f aca="false">INDEX(Bang_F,MATCH(A892,Bang_Z,1))+(A892-INDEX(Bang_Z,MATCH(A892,Bang_Z,1)))*(INDEX(Bang_F,MATCH(A892,Bang_Z,1)+1)-INDEX(Bang_F,MATCH(A892,Bang_Z,1)))</f>
        <v>9.039</v>
      </c>
      <c r="C892" s="25" t="n">
        <f aca="false">INDEX(Bang_W,MATCH(A892,Bang_Z,1))+(A892-INDEX(Bang_Z,MATCH(A892,Bang_Z,1)))*(INDEX(Bang_F,MATCH(A892,Bang_Z,1))+B892)/2</f>
        <v>75.574015</v>
      </c>
      <c r="D892" s="26" t="n">
        <f aca="false">MAX(A892-TC_Z,0)</f>
        <v>5.17</v>
      </c>
      <c r="E892" s="27" t="n">
        <f aca="false">1-0.2*(TC_xmb+(TC_n-1)*TC_xmt)*D892/(TC_n*TC_b)</f>
        <v>0.794157407407407</v>
      </c>
      <c r="F892" s="28" t="n">
        <f aca="false">TC_s*E892*TC_m*TC_n*TC_b*SQRT(2*g_)*D892^1.5</f>
        <v>401.93717167679</v>
      </c>
      <c r="G892" s="29" t="n">
        <f aca="false">MAX(A892-SC_Z,0)</f>
        <v>8.87000000000001</v>
      </c>
      <c r="H892" s="30" t="n">
        <f aca="false">1-0.2*(SC_xmb+(SC_n-1)*SC_xmt)*G892/(SC_n*SC_b)</f>
        <v>0.75164</v>
      </c>
      <c r="I892" s="31" t="n">
        <f aca="false">SC_s*H892*SC_m*SC_n*SC_b*SQRT(2*g_)*G892^1.5</f>
        <v>197.891587864881</v>
      </c>
      <c r="J892" s="32" t="n">
        <f aca="false">F892+I892</f>
        <v>599.828759541671</v>
      </c>
      <c r="K892" s="32" t="n">
        <f aca="false">F892</f>
        <v>401.93717167679</v>
      </c>
      <c r="L892" s="32" t="n">
        <f aca="false">C892*1000000/dt_s+J892/2</f>
        <v>21292.6963242153</v>
      </c>
      <c r="M892" s="32" t="n">
        <f aca="false">C892*1000000/dt_s+K892/2</f>
        <v>21193.7505302829</v>
      </c>
    </row>
    <row r="893" customFormat="false" ht="15" hidden="false" customHeight="false" outlineLevel="0" collapsed="false">
      <c r="A893" s="24" t="n">
        <f aca="false">ROUND(A892+0.01,2)</f>
        <v>79.88</v>
      </c>
      <c r="B893" s="25" t="n">
        <f aca="false">INDEX(Bang_F,MATCH(A893,Bang_Z,1))+(A893-INDEX(Bang_Z,MATCH(A893,Bang_Z,1)))*(INDEX(Bang_F,MATCH(A893,Bang_Z,1)+1)-INDEX(Bang_F,MATCH(A893,Bang_Z,1)))</f>
        <v>9.046</v>
      </c>
      <c r="C893" s="25" t="n">
        <f aca="false">INDEX(Bang_W,MATCH(A893,Bang_Z,1))+(A893-INDEX(Bang_Z,MATCH(A893,Bang_Z,1)))*(INDEX(Bang_F,MATCH(A893,Bang_Z,1))+B893)/2</f>
        <v>75.66444</v>
      </c>
      <c r="D893" s="26" t="n">
        <f aca="false">MAX(A893-TC_Z,0)</f>
        <v>5.17999999999999</v>
      </c>
      <c r="E893" s="27" t="n">
        <f aca="false">1-0.2*(TC_xmb+(TC_n-1)*TC_xmt)*D893/(TC_n*TC_b)</f>
        <v>0.79375925925926</v>
      </c>
      <c r="F893" s="28" t="n">
        <f aca="false">TC_s*E893*TC_m*TC_n*TC_b*SQRT(2*g_)*D893^1.5</f>
        <v>402.901802625362</v>
      </c>
      <c r="G893" s="29" t="n">
        <f aca="false">MAX(A893-SC_Z,0)</f>
        <v>8.88</v>
      </c>
      <c r="H893" s="30" t="n">
        <f aca="false">1-0.2*(SC_xmb+(SC_n-1)*SC_xmt)*G893/(SC_n*SC_b)</f>
        <v>0.75136</v>
      </c>
      <c r="I893" s="31" t="n">
        <f aca="false">SC_s*H893*SC_m*SC_n*SC_b*SQRT(2*g_)*G893^1.5</f>
        <v>198.152492332919</v>
      </c>
      <c r="J893" s="32" t="n">
        <f aca="false">F893+I893</f>
        <v>601.054294958281</v>
      </c>
      <c r="K893" s="32" t="n">
        <f aca="false">F893</f>
        <v>402.901802625362</v>
      </c>
      <c r="L893" s="32" t="n">
        <f aca="false">C893*1000000/dt_s+J893/2</f>
        <v>21318.4271474791</v>
      </c>
      <c r="M893" s="32" t="n">
        <f aca="false">C893*1000000/dt_s+K893/2</f>
        <v>21219.3509013127</v>
      </c>
    </row>
    <row r="894" customFormat="false" ht="15" hidden="false" customHeight="false" outlineLevel="0" collapsed="false">
      <c r="A894" s="24" t="n">
        <f aca="false">ROUND(A893+0.01,2)</f>
        <v>79.89</v>
      </c>
      <c r="B894" s="25" t="n">
        <f aca="false">INDEX(Bang_F,MATCH(A894,Bang_Z,1))+(A894-INDEX(Bang_Z,MATCH(A894,Bang_Z,1)))*(INDEX(Bang_F,MATCH(A894,Bang_Z,1)+1)-INDEX(Bang_F,MATCH(A894,Bang_Z,1)))</f>
        <v>9.053</v>
      </c>
      <c r="C894" s="25" t="n">
        <f aca="false">INDEX(Bang_W,MATCH(A894,Bang_Z,1))+(A894-INDEX(Bang_Z,MATCH(A894,Bang_Z,1)))*(INDEX(Bang_F,MATCH(A894,Bang_Z,1))+B894)/2</f>
        <v>75.754935</v>
      </c>
      <c r="D894" s="26" t="n">
        <f aca="false">MAX(A894-TC_Z,0)</f>
        <v>5.19</v>
      </c>
      <c r="E894" s="27" t="n">
        <f aca="false">1-0.2*(TC_xmb+(TC_n-1)*TC_xmt)*D894/(TC_n*TC_b)</f>
        <v>0.793361111111111</v>
      </c>
      <c r="F894" s="28" t="n">
        <f aca="false">TC_s*E894*TC_m*TC_n*TC_b*SQRT(2*g_)*D894^1.5</f>
        <v>403.866389303485</v>
      </c>
      <c r="G894" s="29" t="n">
        <f aca="false">MAX(A894-SC_Z,0)</f>
        <v>8.89</v>
      </c>
      <c r="H894" s="30" t="n">
        <f aca="false">1-0.2*(SC_xmb+(SC_n-1)*SC_xmt)*G894/(SC_n*SC_b)</f>
        <v>0.75108</v>
      </c>
      <c r="I894" s="31" t="n">
        <f aca="false">SC_s*H894*SC_m*SC_n*SC_b*SQRT(2*g_)*G894^1.5</f>
        <v>198.413335798101</v>
      </c>
      <c r="J894" s="32" t="n">
        <f aca="false">F894+I894</f>
        <v>602.279725101586</v>
      </c>
      <c r="K894" s="32" t="n">
        <f aca="false">F894</f>
        <v>403.866389303485</v>
      </c>
      <c r="L894" s="32" t="n">
        <f aca="false">C894*1000000/dt_s+J894/2</f>
        <v>21344.1773625508</v>
      </c>
      <c r="M894" s="32" t="n">
        <f aca="false">C894*1000000/dt_s+K894/2</f>
        <v>21244.9706946517</v>
      </c>
    </row>
    <row r="895" customFormat="false" ht="15" hidden="false" customHeight="false" outlineLevel="0" collapsed="false">
      <c r="A895" s="24" t="n">
        <f aca="false">ROUND(A894+0.01,2)</f>
        <v>79.9</v>
      </c>
      <c r="B895" s="25" t="n">
        <f aca="false">INDEX(Bang_F,MATCH(A895,Bang_Z,1))+(A895-INDEX(Bang_Z,MATCH(A895,Bang_Z,1)))*(INDEX(Bang_F,MATCH(A895,Bang_Z,1)+1)-INDEX(Bang_F,MATCH(A895,Bang_Z,1)))</f>
        <v>9.06</v>
      </c>
      <c r="C895" s="25" t="n">
        <f aca="false">INDEX(Bang_W,MATCH(A895,Bang_Z,1))+(A895-INDEX(Bang_Z,MATCH(A895,Bang_Z,1)))*(INDEX(Bang_F,MATCH(A895,Bang_Z,1))+B895)/2</f>
        <v>75.8455</v>
      </c>
      <c r="D895" s="26" t="n">
        <f aca="false">MAX(A895-TC_Z,0)</f>
        <v>5.2</v>
      </c>
      <c r="E895" s="27" t="n">
        <f aca="false">1-0.2*(TC_xmb+(TC_n-1)*TC_xmt)*D895/(TC_n*TC_b)</f>
        <v>0.792962962962963</v>
      </c>
      <c r="F895" s="28" t="n">
        <f aca="false">TC_s*E895*TC_m*TC_n*TC_b*SQRT(2*g_)*D895^1.5</f>
        <v>404.830928932145</v>
      </c>
      <c r="G895" s="29" t="n">
        <f aca="false">MAX(A895-SC_Z,0)</f>
        <v>8.90000000000001</v>
      </c>
      <c r="H895" s="30" t="n">
        <f aca="false">1-0.2*(SC_xmb+(SC_n-1)*SC_xmt)*G895/(SC_n*SC_b)</f>
        <v>0.7508</v>
      </c>
      <c r="I895" s="31" t="n">
        <f aca="false">SC_s*H895*SC_m*SC_n*SC_b*SQRT(2*g_)*G895^1.5</f>
        <v>198.674117943776</v>
      </c>
      <c r="J895" s="32" t="n">
        <f aca="false">F895+I895</f>
        <v>603.505046875921</v>
      </c>
      <c r="K895" s="32" t="n">
        <f aca="false">F895</f>
        <v>404.830928932145</v>
      </c>
      <c r="L895" s="32" t="n">
        <f aca="false">C895*1000000/dt_s+J895/2</f>
        <v>21369.9469678824</v>
      </c>
      <c r="M895" s="32" t="n">
        <f aca="false">C895*1000000/dt_s+K895/2</f>
        <v>21270.6099089105</v>
      </c>
    </row>
    <row r="896" customFormat="false" ht="15" hidden="false" customHeight="false" outlineLevel="0" collapsed="false">
      <c r="A896" s="24" t="n">
        <f aca="false">ROUND(A895+0.01,2)</f>
        <v>79.91</v>
      </c>
      <c r="B896" s="25" t="n">
        <f aca="false">INDEX(Bang_F,MATCH(A896,Bang_Z,1))+(A896-INDEX(Bang_Z,MATCH(A896,Bang_Z,1)))*(INDEX(Bang_F,MATCH(A896,Bang_Z,1)+1)-INDEX(Bang_F,MATCH(A896,Bang_Z,1)))</f>
        <v>9.067</v>
      </c>
      <c r="C896" s="25" t="n">
        <f aca="false">INDEX(Bang_W,MATCH(A896,Bang_Z,1))+(A896-INDEX(Bang_Z,MATCH(A896,Bang_Z,1)))*(INDEX(Bang_F,MATCH(A896,Bang_Z,1))+B896)/2</f>
        <v>75.936135</v>
      </c>
      <c r="D896" s="26" t="n">
        <f aca="false">MAX(A896-TC_Z,0)</f>
        <v>5.20999999999999</v>
      </c>
      <c r="E896" s="27" t="n">
        <f aca="false">1-0.2*(TC_xmb+(TC_n-1)*TC_xmt)*D896/(TC_n*TC_b)</f>
        <v>0.792564814814815</v>
      </c>
      <c r="F896" s="28" t="n">
        <f aca="false">TC_s*E896*TC_m*TC_n*TC_b*SQRT(2*g_)*D896^1.5</f>
        <v>405.795418737633</v>
      </c>
      <c r="G896" s="29" t="n">
        <f aca="false">MAX(A896-SC_Z,0)</f>
        <v>8.91</v>
      </c>
      <c r="H896" s="30" t="n">
        <f aca="false">1-0.2*(SC_xmb+(SC_n-1)*SC_xmt)*G896/(SC_n*SC_b)</f>
        <v>0.75052</v>
      </c>
      <c r="I896" s="31" t="n">
        <f aca="false">SC_s*H896*SC_m*SC_n*SC_b*SQRT(2*g_)*G896^1.5</f>
        <v>198.934838453629</v>
      </c>
      <c r="J896" s="32" t="n">
        <f aca="false">F896+I896</f>
        <v>604.730257191262</v>
      </c>
      <c r="K896" s="32" t="n">
        <f aca="false">F896</f>
        <v>405.795418737633</v>
      </c>
      <c r="L896" s="32" t="n">
        <f aca="false">C896*1000000/dt_s+J896/2</f>
        <v>21395.735961929</v>
      </c>
      <c r="M896" s="32" t="n">
        <f aca="false">C896*1000000/dt_s+K896/2</f>
        <v>21296.2685427021</v>
      </c>
    </row>
    <row r="897" customFormat="false" ht="15" hidden="false" customHeight="false" outlineLevel="0" collapsed="false">
      <c r="A897" s="24" t="n">
        <f aca="false">ROUND(A896+0.01,2)</f>
        <v>79.92</v>
      </c>
      <c r="B897" s="25" t="n">
        <f aca="false">INDEX(Bang_F,MATCH(A897,Bang_Z,1))+(A897-INDEX(Bang_Z,MATCH(A897,Bang_Z,1)))*(INDEX(Bang_F,MATCH(A897,Bang_Z,1)+1)-INDEX(Bang_F,MATCH(A897,Bang_Z,1)))</f>
        <v>9.074</v>
      </c>
      <c r="C897" s="25" t="n">
        <f aca="false">INDEX(Bang_W,MATCH(A897,Bang_Z,1))+(A897-INDEX(Bang_Z,MATCH(A897,Bang_Z,1)))*(INDEX(Bang_F,MATCH(A897,Bang_Z,1))+B897)/2</f>
        <v>76.02684</v>
      </c>
      <c r="D897" s="26" t="n">
        <f aca="false">MAX(A897-TC_Z,0)</f>
        <v>5.22</v>
      </c>
      <c r="E897" s="27" t="n">
        <f aca="false">1-0.2*(TC_xmb+(TC_n-1)*TC_xmt)*D897/(TC_n*TC_b)</f>
        <v>0.792166666666667</v>
      </c>
      <c r="F897" s="28" t="n">
        <f aca="false">TC_s*E897*TC_m*TC_n*TC_b*SQRT(2*g_)*D897^1.5</f>
        <v>406.759855951527</v>
      </c>
      <c r="G897" s="29" t="n">
        <f aca="false">MAX(A897-SC_Z,0)</f>
        <v>8.92</v>
      </c>
      <c r="H897" s="30" t="n">
        <f aca="false">1-0.2*(SC_xmb+(SC_n-1)*SC_xmt)*G897/(SC_n*SC_b)</f>
        <v>0.75024</v>
      </c>
      <c r="I897" s="31" t="n">
        <f aca="false">SC_s*H897*SC_m*SC_n*SC_b*SQRT(2*g_)*G897^1.5</f>
        <v>199.195497011683</v>
      </c>
      <c r="J897" s="32" t="n">
        <f aca="false">F897+I897</f>
        <v>605.95535296321</v>
      </c>
      <c r="K897" s="32" t="n">
        <f aca="false">F897</f>
        <v>406.759855951527</v>
      </c>
      <c r="L897" s="32" t="n">
        <f aca="false">C897*1000000/dt_s+J897/2</f>
        <v>21421.5443431483</v>
      </c>
      <c r="M897" s="32" t="n">
        <f aca="false">C897*1000000/dt_s+K897/2</f>
        <v>21321.9465946424</v>
      </c>
    </row>
    <row r="898" customFormat="false" ht="15" hidden="false" customHeight="false" outlineLevel="0" collapsed="false">
      <c r="A898" s="24" t="n">
        <f aca="false">ROUND(A897+0.01,2)</f>
        <v>79.93</v>
      </c>
      <c r="B898" s="25" t="n">
        <f aca="false">INDEX(Bang_F,MATCH(A898,Bang_Z,1))+(A898-INDEX(Bang_Z,MATCH(A898,Bang_Z,1)))*(INDEX(Bang_F,MATCH(A898,Bang_Z,1)+1)-INDEX(Bang_F,MATCH(A898,Bang_Z,1)))</f>
        <v>9.08100000000001</v>
      </c>
      <c r="C898" s="25" t="n">
        <f aca="false">INDEX(Bang_W,MATCH(A898,Bang_Z,1))+(A898-INDEX(Bang_Z,MATCH(A898,Bang_Z,1)))*(INDEX(Bang_F,MATCH(A898,Bang_Z,1))+B898)/2</f>
        <v>76.1176150000001</v>
      </c>
      <c r="D898" s="26" t="n">
        <f aca="false">MAX(A898-TC_Z,0)</f>
        <v>5.23</v>
      </c>
      <c r="E898" s="27" t="n">
        <f aca="false">1-0.2*(TC_xmb+(TC_n-1)*TC_xmt)*D898/(TC_n*TC_b)</f>
        <v>0.791768518518518</v>
      </c>
      <c r="F898" s="28" t="n">
        <f aca="false">TC_s*E898*TC_m*TC_n*TC_b*SQRT(2*g_)*D898^1.5</f>
        <v>407.724237810662</v>
      </c>
      <c r="G898" s="29" t="n">
        <f aca="false">MAX(A898-SC_Z,0)</f>
        <v>8.93000000000001</v>
      </c>
      <c r="H898" s="30" t="n">
        <f aca="false">1-0.2*(SC_xmb+(SC_n-1)*SC_xmt)*G898/(SC_n*SC_b)</f>
        <v>0.74996</v>
      </c>
      <c r="I898" s="31" t="n">
        <f aca="false">SC_s*H898*SC_m*SC_n*SC_b*SQRT(2*g_)*G898^1.5</f>
        <v>199.456093302292</v>
      </c>
      <c r="J898" s="32" t="n">
        <f aca="false">F898+I898</f>
        <v>607.180331112954</v>
      </c>
      <c r="K898" s="32" t="n">
        <f aca="false">F898</f>
        <v>407.724237810662</v>
      </c>
      <c r="L898" s="32" t="n">
        <f aca="false">C898*1000000/dt_s+J898/2</f>
        <v>21447.3721100009</v>
      </c>
      <c r="M898" s="32" t="n">
        <f aca="false">C898*1000000/dt_s+K898/2</f>
        <v>21347.6440633498</v>
      </c>
    </row>
    <row r="899" customFormat="false" ht="15" hidden="false" customHeight="false" outlineLevel="0" collapsed="false">
      <c r="A899" s="24" t="n">
        <f aca="false">ROUND(A898+0.01,2)</f>
        <v>79.94</v>
      </c>
      <c r="B899" s="25" t="n">
        <f aca="false">INDEX(Bang_F,MATCH(A899,Bang_Z,1))+(A899-INDEX(Bang_Z,MATCH(A899,Bang_Z,1)))*(INDEX(Bang_F,MATCH(A899,Bang_Z,1)+1)-INDEX(Bang_F,MATCH(A899,Bang_Z,1)))</f>
        <v>9.088</v>
      </c>
      <c r="C899" s="25" t="n">
        <f aca="false">INDEX(Bang_W,MATCH(A899,Bang_Z,1))+(A899-INDEX(Bang_Z,MATCH(A899,Bang_Z,1)))*(INDEX(Bang_F,MATCH(A899,Bang_Z,1))+B899)/2</f>
        <v>76.20846</v>
      </c>
      <c r="D899" s="26" t="n">
        <f aca="false">MAX(A899-TC_Z,0)</f>
        <v>5.24</v>
      </c>
      <c r="E899" s="27" t="n">
        <f aca="false">1-0.2*(TC_xmb+(TC_n-1)*TC_xmt)*D899/(TC_n*TC_b)</f>
        <v>0.791370370370371</v>
      </c>
      <c r="F899" s="28" t="n">
        <f aca="false">TC_s*E899*TC_m*TC_n*TC_b*SQRT(2*g_)*D899^1.5</f>
        <v>408.68856155711</v>
      </c>
      <c r="G899" s="29" t="n">
        <f aca="false">MAX(A899-SC_Z,0)</f>
        <v>8.94</v>
      </c>
      <c r="H899" s="30" t="n">
        <f aca="false">1-0.2*(SC_xmb+(SC_n-1)*SC_xmt)*G899/(SC_n*SC_b)</f>
        <v>0.74968</v>
      </c>
      <c r="I899" s="31" t="n">
        <f aca="false">SC_s*H899*SC_m*SC_n*SC_b*SQRT(2*g_)*G899^1.5</f>
        <v>199.716627010148</v>
      </c>
      <c r="J899" s="32" t="n">
        <f aca="false">F899+I899</f>
        <v>608.405188567257</v>
      </c>
      <c r="K899" s="32" t="n">
        <f aca="false">F899</f>
        <v>408.68856155711</v>
      </c>
      <c r="L899" s="32" t="n">
        <f aca="false">C899*1000000/dt_s+J899/2</f>
        <v>21473.2192609503</v>
      </c>
      <c r="M899" s="32" t="n">
        <f aca="false">C899*1000000/dt_s+K899/2</f>
        <v>21373.3609474452</v>
      </c>
    </row>
    <row r="900" customFormat="false" ht="15" hidden="false" customHeight="false" outlineLevel="0" collapsed="false">
      <c r="A900" s="24" t="n">
        <f aca="false">ROUND(A899+0.01,2)</f>
        <v>79.95</v>
      </c>
      <c r="B900" s="25" t="n">
        <f aca="false">INDEX(Bang_F,MATCH(A900,Bang_Z,1))+(A900-INDEX(Bang_Z,MATCH(A900,Bang_Z,1)))*(INDEX(Bang_F,MATCH(A900,Bang_Z,1)+1)-INDEX(Bang_F,MATCH(A900,Bang_Z,1)))</f>
        <v>9.095</v>
      </c>
      <c r="C900" s="25" t="n">
        <f aca="false">INDEX(Bang_W,MATCH(A900,Bang_Z,1))+(A900-INDEX(Bang_Z,MATCH(A900,Bang_Z,1)))*(INDEX(Bang_F,MATCH(A900,Bang_Z,1))+B900)/2</f>
        <v>76.299375</v>
      </c>
      <c r="D900" s="26" t="n">
        <f aca="false">MAX(A900-TC_Z,0)</f>
        <v>5.25</v>
      </c>
      <c r="E900" s="27" t="n">
        <f aca="false">1-0.2*(TC_xmb+(TC_n-1)*TC_xmt)*D900/(TC_n*TC_b)</f>
        <v>0.790972222222222</v>
      </c>
      <c r="F900" s="28" t="n">
        <f aca="false">TC_s*E900*TC_m*TC_n*TC_b*SQRT(2*g_)*D900^1.5</f>
        <v>409.652824438162</v>
      </c>
      <c r="G900" s="29" t="n">
        <f aca="false">MAX(A900-SC_Z,0)</f>
        <v>8.95</v>
      </c>
      <c r="H900" s="30" t="n">
        <f aca="false">1-0.2*(SC_xmb+(SC_n-1)*SC_xmt)*G900/(SC_n*SC_b)</f>
        <v>0.7494</v>
      </c>
      <c r="I900" s="31" t="n">
        <f aca="false">SC_s*H900*SC_m*SC_n*SC_b*SQRT(2*g_)*G900^1.5</f>
        <v>199.977097820274</v>
      </c>
      <c r="J900" s="32" t="n">
        <f aca="false">F900+I900</f>
        <v>609.629922258436</v>
      </c>
      <c r="K900" s="32" t="n">
        <f aca="false">F900</f>
        <v>409.652824438162</v>
      </c>
      <c r="L900" s="32" t="n">
        <f aca="false">C900*1000000/dt_s+J900/2</f>
        <v>21499.0857944626</v>
      </c>
      <c r="M900" s="32" t="n">
        <f aca="false">C900*1000000/dt_s+K900/2</f>
        <v>21399.0972455524</v>
      </c>
    </row>
    <row r="901" customFormat="false" ht="15" hidden="false" customHeight="false" outlineLevel="0" collapsed="false">
      <c r="A901" s="24" t="n">
        <f aca="false">ROUND(A900+0.01,2)</f>
        <v>79.96</v>
      </c>
      <c r="B901" s="25" t="n">
        <f aca="false">INDEX(Bang_F,MATCH(A901,Bang_Z,1))+(A901-INDEX(Bang_Z,MATCH(A901,Bang_Z,1)))*(INDEX(Bang_F,MATCH(A901,Bang_Z,1)+1)-INDEX(Bang_F,MATCH(A901,Bang_Z,1)))</f>
        <v>9.102</v>
      </c>
      <c r="C901" s="25" t="n">
        <f aca="false">INDEX(Bang_W,MATCH(A901,Bang_Z,1))+(A901-INDEX(Bang_Z,MATCH(A901,Bang_Z,1)))*(INDEX(Bang_F,MATCH(A901,Bang_Z,1))+B901)/2</f>
        <v>76.3903599999999</v>
      </c>
      <c r="D901" s="26" t="n">
        <f aca="false">MAX(A901-TC_Z,0)</f>
        <v>5.25999999999999</v>
      </c>
      <c r="E901" s="27" t="n">
        <f aca="false">1-0.2*(TC_xmb+(TC_n-1)*TC_xmt)*D901/(TC_n*TC_b)</f>
        <v>0.790574074074074</v>
      </c>
      <c r="F901" s="28" t="n">
        <f aca="false">TC_s*E901*TC_m*TC_n*TC_b*SQRT(2*g_)*D901^1.5</f>
        <v>410.617023706297</v>
      </c>
      <c r="G901" s="29" t="n">
        <f aca="false">MAX(A901-SC_Z,0)</f>
        <v>8.95999999999999</v>
      </c>
      <c r="H901" s="30" t="n">
        <f aca="false">1-0.2*(SC_xmb+(SC_n-1)*SC_xmt)*G901/(SC_n*SC_b)</f>
        <v>0.74912</v>
      </c>
      <c r="I901" s="31" t="n">
        <f aca="false">SC_s*H901*SC_m*SC_n*SC_b*SQRT(2*g_)*G901^1.5</f>
        <v>200.237505418027</v>
      </c>
      <c r="J901" s="32" t="n">
        <f aca="false">F901+I901</f>
        <v>610.854529124324</v>
      </c>
      <c r="K901" s="32" t="n">
        <f aca="false">F901</f>
        <v>410.617023706297</v>
      </c>
      <c r="L901" s="32" t="n">
        <f aca="false">C901*1000000/dt_s+J901/2</f>
        <v>21524.9717090066</v>
      </c>
      <c r="M901" s="32" t="n">
        <f aca="false">C901*1000000/dt_s+K901/2</f>
        <v>21424.8529562976</v>
      </c>
    </row>
    <row r="902" customFormat="false" ht="15" hidden="false" customHeight="false" outlineLevel="0" collapsed="false">
      <c r="A902" s="24" t="n">
        <f aca="false">ROUND(A901+0.01,2)</f>
        <v>79.97</v>
      </c>
      <c r="B902" s="25" t="n">
        <f aca="false">INDEX(Bang_F,MATCH(A902,Bang_Z,1))+(A902-INDEX(Bang_Z,MATCH(A902,Bang_Z,1)))*(INDEX(Bang_F,MATCH(A902,Bang_Z,1)+1)-INDEX(Bang_F,MATCH(A902,Bang_Z,1)))</f>
        <v>9.109</v>
      </c>
      <c r="C902" s="25" t="n">
        <f aca="false">INDEX(Bang_W,MATCH(A902,Bang_Z,1))+(A902-INDEX(Bang_Z,MATCH(A902,Bang_Z,1)))*(INDEX(Bang_F,MATCH(A902,Bang_Z,1))+B902)/2</f>
        <v>76.481415</v>
      </c>
      <c r="D902" s="26" t="n">
        <f aca="false">MAX(A902-TC_Z,0)</f>
        <v>5.27</v>
      </c>
      <c r="E902" s="27" t="n">
        <f aca="false">1-0.2*(TC_xmb+(TC_n-1)*TC_xmt)*D902/(TC_n*TC_b)</f>
        <v>0.790175925925926</v>
      </c>
      <c r="F902" s="28" t="n">
        <f aca="false">TC_s*E902*TC_m*TC_n*TC_b*SQRT(2*g_)*D902^1.5</f>
        <v>411.58115661917</v>
      </c>
      <c r="G902" s="29" t="n">
        <f aca="false">MAX(A902-SC_Z,0)</f>
        <v>8.97</v>
      </c>
      <c r="H902" s="30" t="n">
        <f aca="false">1-0.2*(SC_xmb+(SC_n-1)*SC_xmt)*G902/(SC_n*SC_b)</f>
        <v>0.74884</v>
      </c>
      <c r="I902" s="31" t="n">
        <f aca="false">SC_s*H902*SC_m*SC_n*SC_b*SQRT(2*g_)*G902^1.5</f>
        <v>200.497849489094</v>
      </c>
      <c r="J902" s="32" t="n">
        <f aca="false">F902+I902</f>
        <v>612.079006108265</v>
      </c>
      <c r="K902" s="32" t="n">
        <f aca="false">F902</f>
        <v>411.58115661917</v>
      </c>
      <c r="L902" s="32" t="n">
        <f aca="false">C902*1000000/dt_s+J902/2</f>
        <v>21550.8770030541</v>
      </c>
      <c r="M902" s="32" t="n">
        <f aca="false">C902*1000000/dt_s+K902/2</f>
        <v>21450.6280783096</v>
      </c>
    </row>
    <row r="903" customFormat="false" ht="15" hidden="false" customHeight="false" outlineLevel="0" collapsed="false">
      <c r="A903" s="24" t="n">
        <f aca="false">ROUND(A902+0.01,2)</f>
        <v>79.98</v>
      </c>
      <c r="B903" s="25" t="n">
        <f aca="false">INDEX(Bang_F,MATCH(A903,Bang_Z,1))+(A903-INDEX(Bang_Z,MATCH(A903,Bang_Z,1)))*(INDEX(Bang_F,MATCH(A903,Bang_Z,1)+1)-INDEX(Bang_F,MATCH(A903,Bang_Z,1)))</f>
        <v>9.116</v>
      </c>
      <c r="C903" s="25" t="n">
        <f aca="false">INDEX(Bang_W,MATCH(A903,Bang_Z,1))+(A903-INDEX(Bang_Z,MATCH(A903,Bang_Z,1)))*(INDEX(Bang_F,MATCH(A903,Bang_Z,1))+B903)/2</f>
        <v>76.57254</v>
      </c>
      <c r="D903" s="26" t="n">
        <f aca="false">MAX(A903-TC_Z,0)</f>
        <v>5.28</v>
      </c>
      <c r="E903" s="27" t="n">
        <f aca="false">1-0.2*(TC_xmb+(TC_n-1)*TC_xmt)*D903/(TC_n*TC_b)</f>
        <v>0.789777777777778</v>
      </c>
      <c r="F903" s="28" t="n">
        <f aca="false">TC_s*E903*TC_m*TC_n*TC_b*SQRT(2*g_)*D903^1.5</f>
        <v>412.545220439582</v>
      </c>
      <c r="G903" s="29" t="n">
        <f aca="false">MAX(A903-SC_Z,0)</f>
        <v>8.98</v>
      </c>
      <c r="H903" s="30" t="n">
        <f aca="false">1-0.2*(SC_xmb+(SC_n-1)*SC_xmt)*G903/(SC_n*SC_b)</f>
        <v>0.74856</v>
      </c>
      <c r="I903" s="31" t="n">
        <f aca="false">SC_s*H903*SC_m*SC_n*SC_b*SQRT(2*g_)*G903^1.5</f>
        <v>200.758129719495</v>
      </c>
      <c r="J903" s="32" t="n">
        <f aca="false">F903+I903</f>
        <v>613.303350159077</v>
      </c>
      <c r="K903" s="32" t="n">
        <f aca="false">F903</f>
        <v>412.545220439582</v>
      </c>
      <c r="L903" s="32" t="n">
        <f aca="false">C903*1000000/dt_s+J903/2</f>
        <v>21576.8016750795</v>
      </c>
      <c r="M903" s="32" t="n">
        <f aca="false">C903*1000000/dt_s+K903/2</f>
        <v>21476.4226102198</v>
      </c>
    </row>
    <row r="904" customFormat="false" ht="15" hidden="false" customHeight="false" outlineLevel="0" collapsed="false">
      <c r="A904" s="24" t="n">
        <f aca="false">ROUND(A903+0.01,2)</f>
        <v>79.99</v>
      </c>
      <c r="B904" s="25" t="n">
        <f aca="false">INDEX(Bang_F,MATCH(A904,Bang_Z,1))+(A904-INDEX(Bang_Z,MATCH(A904,Bang_Z,1)))*(INDEX(Bang_F,MATCH(A904,Bang_Z,1)+1)-INDEX(Bang_F,MATCH(A904,Bang_Z,1)))</f>
        <v>9.123</v>
      </c>
      <c r="C904" s="25" t="n">
        <f aca="false">INDEX(Bang_W,MATCH(A904,Bang_Z,1))+(A904-INDEX(Bang_Z,MATCH(A904,Bang_Z,1)))*(INDEX(Bang_F,MATCH(A904,Bang_Z,1))+B904)/2</f>
        <v>76.663735</v>
      </c>
      <c r="D904" s="26" t="n">
        <f aca="false">MAX(A904-TC_Z,0)</f>
        <v>5.28999999999999</v>
      </c>
      <c r="E904" s="27" t="n">
        <f aca="false">1-0.2*(TC_xmb+(TC_n-1)*TC_xmt)*D904/(TC_n*TC_b)</f>
        <v>0.78937962962963</v>
      </c>
      <c r="F904" s="28" t="n">
        <f aca="false">TC_s*E904*TC_m*TC_n*TC_b*SQRT(2*g_)*D904^1.5</f>
        <v>413.509212435457</v>
      </c>
      <c r="G904" s="29" t="n">
        <f aca="false">MAX(A904-SC_Z,0)</f>
        <v>8.99</v>
      </c>
      <c r="H904" s="30" t="n">
        <f aca="false">1-0.2*(SC_xmb+(SC_n-1)*SC_xmt)*G904/(SC_n*SC_b)</f>
        <v>0.74828</v>
      </c>
      <c r="I904" s="31" t="n">
        <f aca="false">SC_s*H904*SC_m*SC_n*SC_b*SQRT(2*g_)*G904^1.5</f>
        <v>201.018345795577</v>
      </c>
      <c r="J904" s="32" t="n">
        <f aca="false">F904+I904</f>
        <v>614.527558231035</v>
      </c>
      <c r="K904" s="32" t="n">
        <f aca="false">F904</f>
        <v>413.509212435457</v>
      </c>
      <c r="L904" s="32" t="n">
        <f aca="false">C904*1000000/dt_s+J904/2</f>
        <v>21602.7457235599</v>
      </c>
      <c r="M904" s="32" t="n">
        <f aca="false">C904*1000000/dt_s+K904/2</f>
        <v>21502.2365506622</v>
      </c>
    </row>
    <row r="905" customFormat="false" ht="15" hidden="false" customHeight="false" outlineLevel="0" collapsed="false">
      <c r="A905" s="24" t="n">
        <f aca="false">ROUND(A904+0.01,2)</f>
        <v>80</v>
      </c>
      <c r="B905" s="25" t="n">
        <f aca="false">INDEX(Bang_F,MATCH(A905,Bang_Z,1))+(A905-INDEX(Bang_Z,MATCH(A905,Bang_Z,1)))*(INDEX(Bang_F,MATCH(A905,Bang_Z,1)+1)-INDEX(Bang_F,MATCH(A905,Bang_Z,1)))</f>
        <v>9.13</v>
      </c>
      <c r="C905" s="25" t="n">
        <f aca="false">INDEX(Bang_W,MATCH(A905,Bang_Z,1))+(A905-INDEX(Bang_Z,MATCH(A905,Bang_Z,1)))*(INDEX(Bang_F,MATCH(A905,Bang_Z,1))+B905)/2</f>
        <v>76.755</v>
      </c>
      <c r="D905" s="26" t="n">
        <f aca="false">MAX(A905-TC_Z,0)</f>
        <v>5.3</v>
      </c>
      <c r="E905" s="27" t="n">
        <f aca="false">1-0.2*(TC_xmb+(TC_n-1)*TC_xmt)*D905/(TC_n*TC_b)</f>
        <v>0.788981481481482</v>
      </c>
      <c r="F905" s="28" t="n">
        <f aca="false">TC_s*E905*TC_m*TC_n*TC_b*SQRT(2*g_)*D905^1.5</f>
        <v>414.473129879833</v>
      </c>
      <c r="G905" s="29" t="n">
        <f aca="false">MAX(A905-SC_Z,0)</f>
        <v>9</v>
      </c>
      <c r="H905" s="30" t="n">
        <f aca="false">1-0.2*(SC_xmb+(SC_n-1)*SC_xmt)*G905/(SC_n*SC_b)</f>
        <v>0.748</v>
      </c>
      <c r="I905" s="31" t="n">
        <f aca="false">SC_s*H905*SC_m*SC_n*SC_b*SQRT(2*g_)*G905^1.5</f>
        <v>201.27849740402</v>
      </c>
      <c r="J905" s="32" t="n">
        <f aca="false">F905+I905</f>
        <v>615.751627283853</v>
      </c>
      <c r="K905" s="32" t="n">
        <f aca="false">F905</f>
        <v>414.473129879833</v>
      </c>
      <c r="L905" s="32" t="n">
        <f aca="false">C905*1000000/dt_s+J905/2</f>
        <v>21628.7091469753</v>
      </c>
      <c r="M905" s="32" t="n">
        <f aca="false">C905*1000000/dt_s+K905/2</f>
        <v>21528.0698982733</v>
      </c>
    </row>
    <row r="906" customFormat="false" ht="15" hidden="false" customHeight="false" outlineLevel="0" collapsed="false">
      <c r="A906" s="24" t="n">
        <f aca="false">ROUND(A905+0.01,2)</f>
        <v>80.01</v>
      </c>
      <c r="B906" s="25" t="n">
        <f aca="false">INDEX(Bang_F,MATCH(A906,Bang_Z,1))+(A906-INDEX(Bang_Z,MATCH(A906,Bang_Z,1)))*(INDEX(Bang_F,MATCH(A906,Bang_Z,1)+1)-INDEX(Bang_F,MATCH(A906,Bang_Z,1)))</f>
        <v>9.13860000000001</v>
      </c>
      <c r="C906" s="25" t="n">
        <f aca="false">INDEX(Bang_W,MATCH(A906,Bang_Z,1))+(A906-INDEX(Bang_Z,MATCH(A906,Bang_Z,1)))*(INDEX(Bang_F,MATCH(A906,Bang_Z,1))+B906)/2</f>
        <v>76.8463430000001</v>
      </c>
      <c r="D906" s="26" t="n">
        <f aca="false">MAX(A906-TC_Z,0)</f>
        <v>5.31</v>
      </c>
      <c r="E906" s="27" t="n">
        <f aca="false">1-0.2*(TC_xmb+(TC_n-1)*TC_xmt)*D906/(TC_n*TC_b)</f>
        <v>0.788583333333333</v>
      </c>
      <c r="F906" s="28" t="n">
        <f aca="false">TC_s*E906*TC_m*TC_n*TC_b*SQRT(2*g_)*D906^1.5</f>
        <v>415.436970050824</v>
      </c>
      <c r="G906" s="29" t="n">
        <f aca="false">MAX(A906-SC_Z,0)</f>
        <v>9.01000000000001</v>
      </c>
      <c r="H906" s="30" t="n">
        <f aca="false">1-0.2*(SC_xmb+(SC_n-1)*SC_xmt)*G906/(SC_n*SC_b)</f>
        <v>0.74772</v>
      </c>
      <c r="I906" s="31" t="n">
        <f aca="false">SC_s*H906*SC_m*SC_n*SC_b*SQRT(2*g_)*G906^1.5</f>
        <v>201.538584231828</v>
      </c>
      <c r="J906" s="32" t="n">
        <f aca="false">F906+I906</f>
        <v>616.975554282653</v>
      </c>
      <c r="K906" s="32" t="n">
        <f aca="false">F906</f>
        <v>415.436970050824</v>
      </c>
      <c r="L906" s="32" t="n">
        <f aca="false">C906*1000000/dt_s+J906/2</f>
        <v>21654.6941660302</v>
      </c>
      <c r="M906" s="32" t="n">
        <f aca="false">C906*1000000/dt_s+K906/2</f>
        <v>21553.9248739143</v>
      </c>
    </row>
    <row r="907" customFormat="false" ht="15" hidden="false" customHeight="false" outlineLevel="0" collapsed="false">
      <c r="A907" s="24" t="n">
        <f aca="false">ROUND(A906+0.01,2)</f>
        <v>80.02</v>
      </c>
      <c r="B907" s="25" t="n">
        <f aca="false">INDEX(Bang_F,MATCH(A907,Bang_Z,1))+(A907-INDEX(Bang_Z,MATCH(A907,Bang_Z,1)))*(INDEX(Bang_F,MATCH(A907,Bang_Z,1)+1)-INDEX(Bang_F,MATCH(A907,Bang_Z,1)))</f>
        <v>9.1472</v>
      </c>
      <c r="C907" s="25" t="n">
        <f aca="false">INDEX(Bang_W,MATCH(A907,Bang_Z,1))+(A907-INDEX(Bang_Z,MATCH(A907,Bang_Z,1)))*(INDEX(Bang_F,MATCH(A907,Bang_Z,1))+B907)/2</f>
        <v>76.937772</v>
      </c>
      <c r="D907" s="26" t="n">
        <f aca="false">MAX(A907-TC_Z,0)</f>
        <v>5.31999999999999</v>
      </c>
      <c r="E907" s="27" t="n">
        <f aca="false">1-0.2*(TC_xmb+(TC_n-1)*TC_xmt)*D907/(TC_n*TC_b)</f>
        <v>0.788185185185185</v>
      </c>
      <c r="F907" s="28" t="n">
        <f aca="false">TC_s*E907*TC_m*TC_n*TC_b*SQRT(2*g_)*D907^1.5</f>
        <v>416.400730231608</v>
      </c>
      <c r="G907" s="29" t="n">
        <f aca="false">MAX(A907-SC_Z,0)</f>
        <v>9.02</v>
      </c>
      <c r="H907" s="30" t="n">
        <f aca="false">1-0.2*(SC_xmb+(SC_n-1)*SC_xmt)*G907/(SC_n*SC_b)</f>
        <v>0.74744</v>
      </c>
      <c r="I907" s="31" t="n">
        <f aca="false">SC_s*H907*SC_m*SC_n*SC_b*SQRT(2*g_)*G907^1.5</f>
        <v>201.798605966337</v>
      </c>
      <c r="J907" s="32" t="n">
        <f aca="false">F907+I907</f>
        <v>618.199336197945</v>
      </c>
      <c r="K907" s="32" t="n">
        <f aca="false">F907</f>
        <v>416.400730231608</v>
      </c>
      <c r="L907" s="32" t="n">
        <f aca="false">C907*1000000/dt_s+J907/2</f>
        <v>21680.7030014323</v>
      </c>
      <c r="M907" s="32" t="n">
        <f aca="false">C907*1000000/dt_s+K907/2</f>
        <v>21579.8036984491</v>
      </c>
    </row>
    <row r="908" customFormat="false" ht="15" hidden="false" customHeight="false" outlineLevel="0" collapsed="false">
      <c r="A908" s="24" t="n">
        <f aca="false">ROUND(A907+0.01,2)</f>
        <v>80.03</v>
      </c>
      <c r="B908" s="25" t="n">
        <f aca="false">INDEX(Bang_F,MATCH(A908,Bang_Z,1))+(A908-INDEX(Bang_Z,MATCH(A908,Bang_Z,1)))*(INDEX(Bang_F,MATCH(A908,Bang_Z,1)+1)-INDEX(Bang_F,MATCH(A908,Bang_Z,1)))</f>
        <v>9.1558</v>
      </c>
      <c r="C908" s="25" t="n">
        <f aca="false">INDEX(Bang_W,MATCH(A908,Bang_Z,1))+(A908-INDEX(Bang_Z,MATCH(A908,Bang_Z,1)))*(INDEX(Bang_F,MATCH(A908,Bang_Z,1))+B908)/2</f>
        <v>77.029287</v>
      </c>
      <c r="D908" s="26" t="n">
        <f aca="false">MAX(A908-TC_Z,0)</f>
        <v>5.33</v>
      </c>
      <c r="E908" s="27" t="n">
        <f aca="false">1-0.2*(TC_xmb+(TC_n-1)*TC_xmt)*D908/(TC_n*TC_b)</f>
        <v>0.787787037037037</v>
      </c>
      <c r="F908" s="28" t="n">
        <f aca="false">TC_s*E908*TC_m*TC_n*TC_b*SQRT(2*g_)*D908^1.5</f>
        <v>417.364407710407</v>
      </c>
      <c r="G908" s="29" t="n">
        <f aca="false">MAX(A908-SC_Z,0)</f>
        <v>9.03</v>
      </c>
      <c r="H908" s="30" t="n">
        <f aca="false">1-0.2*(SC_xmb+(SC_n-1)*SC_xmt)*G908/(SC_n*SC_b)</f>
        <v>0.74716</v>
      </c>
      <c r="I908" s="31" t="n">
        <f aca="false">SC_s*H908*SC_m*SC_n*SC_b*SQRT(2*g_)*G908^1.5</f>
        <v>202.058562295206</v>
      </c>
      <c r="J908" s="32" t="n">
        <f aca="false">F908+I908</f>
        <v>619.422970005613</v>
      </c>
      <c r="K908" s="32" t="n">
        <f aca="false">F908</f>
        <v>417.364407710407</v>
      </c>
      <c r="L908" s="32" t="n">
        <f aca="false">C908*1000000/dt_s+J908/2</f>
        <v>21706.7356516695</v>
      </c>
      <c r="M908" s="32" t="n">
        <f aca="false">C908*1000000/dt_s+K908/2</f>
        <v>21605.7063705219</v>
      </c>
    </row>
    <row r="909" customFormat="false" ht="15" hidden="false" customHeight="false" outlineLevel="0" collapsed="false">
      <c r="A909" s="24" t="n">
        <f aca="false">ROUND(A908+0.01,2)</f>
        <v>80.04</v>
      </c>
      <c r="B909" s="25" t="n">
        <f aca="false">INDEX(Bang_F,MATCH(A909,Bang_Z,1))+(A909-INDEX(Bang_Z,MATCH(A909,Bang_Z,1)))*(INDEX(Bang_F,MATCH(A909,Bang_Z,1)+1)-INDEX(Bang_F,MATCH(A909,Bang_Z,1)))</f>
        <v>9.16440000000001</v>
      </c>
      <c r="C909" s="25" t="n">
        <f aca="false">INDEX(Bang_W,MATCH(A909,Bang_Z,1))+(A909-INDEX(Bang_Z,MATCH(A909,Bang_Z,1)))*(INDEX(Bang_F,MATCH(A909,Bang_Z,1))+B909)/2</f>
        <v>77.1208880000001</v>
      </c>
      <c r="D909" s="26" t="n">
        <f aca="false">MAX(A909-TC_Z,0)</f>
        <v>5.34</v>
      </c>
      <c r="E909" s="27" t="n">
        <f aca="false">1-0.2*(TC_xmb+(TC_n-1)*TC_xmt)*D909/(TC_n*TC_b)</f>
        <v>0.787388888888889</v>
      </c>
      <c r="F909" s="28" t="n">
        <f aca="false">TC_s*E909*TC_m*TC_n*TC_b*SQRT(2*g_)*D909^1.5</f>
        <v>418.327999780459</v>
      </c>
      <c r="G909" s="29" t="n">
        <f aca="false">MAX(A909-SC_Z,0)</f>
        <v>9.04000000000001</v>
      </c>
      <c r="H909" s="30" t="n">
        <f aca="false">1-0.2*(SC_xmb+(SC_n-1)*SC_xmt)*G909/(SC_n*SC_b)</f>
        <v>0.74688</v>
      </c>
      <c r="I909" s="31" t="n">
        <f aca="false">SC_s*H909*SC_m*SC_n*SC_b*SQRT(2*g_)*G909^1.5</f>
        <v>202.318452906423</v>
      </c>
      <c r="J909" s="32" t="n">
        <f aca="false">F909+I909</f>
        <v>620.646452686882</v>
      </c>
      <c r="K909" s="32" t="n">
        <f aca="false">F909</f>
        <v>418.327999780459</v>
      </c>
      <c r="L909" s="32" t="n">
        <f aca="false">C909*1000000/dt_s+J909/2</f>
        <v>21732.7921152323</v>
      </c>
      <c r="M909" s="32" t="n">
        <f aca="false">C909*1000000/dt_s+K909/2</f>
        <v>21631.6328887791</v>
      </c>
    </row>
    <row r="910" customFormat="false" ht="15" hidden="false" customHeight="false" outlineLevel="0" collapsed="false">
      <c r="A910" s="24" t="n">
        <f aca="false">ROUND(A909+0.01,2)</f>
        <v>80.05</v>
      </c>
      <c r="B910" s="25" t="n">
        <f aca="false">INDEX(Bang_F,MATCH(A910,Bang_Z,1))+(A910-INDEX(Bang_Z,MATCH(A910,Bang_Z,1)))*(INDEX(Bang_F,MATCH(A910,Bang_Z,1)+1)-INDEX(Bang_F,MATCH(A910,Bang_Z,1)))</f>
        <v>9.173</v>
      </c>
      <c r="C910" s="25" t="n">
        <f aca="false">INDEX(Bang_W,MATCH(A910,Bang_Z,1))+(A910-INDEX(Bang_Z,MATCH(A910,Bang_Z,1)))*(INDEX(Bang_F,MATCH(A910,Bang_Z,1))+B910)/2</f>
        <v>77.212575</v>
      </c>
      <c r="D910" s="26" t="n">
        <f aca="false">MAX(A910-TC_Z,0)</f>
        <v>5.34999999999999</v>
      </c>
      <c r="E910" s="27" t="n">
        <f aca="false">1-0.2*(TC_xmb+(TC_n-1)*TC_xmt)*D910/(TC_n*TC_b)</f>
        <v>0.786990740740741</v>
      </c>
      <c r="F910" s="28" t="n">
        <f aca="false">TC_s*E910*TC_m*TC_n*TC_b*SQRT(2*g_)*D910^1.5</f>
        <v>419.29150374</v>
      </c>
      <c r="G910" s="29" t="n">
        <f aca="false">MAX(A910-SC_Z,0)</f>
        <v>9.05</v>
      </c>
      <c r="H910" s="30" t="n">
        <f aca="false">1-0.2*(SC_xmb+(SC_n-1)*SC_xmt)*G910/(SC_n*SC_b)</f>
        <v>0.7466</v>
      </c>
      <c r="I910" s="31" t="n">
        <f aca="false">SC_s*H910*SC_m*SC_n*SC_b*SQRT(2*g_)*G910^1.5</f>
        <v>202.578277488298</v>
      </c>
      <c r="J910" s="32" t="n">
        <f aca="false">F910+I910</f>
        <v>621.869781228299</v>
      </c>
      <c r="K910" s="32" t="n">
        <f aca="false">F910</f>
        <v>419.29150374</v>
      </c>
      <c r="L910" s="32" t="n">
        <f aca="false">C910*1000000/dt_s+J910/2</f>
        <v>21758.8723906141</v>
      </c>
      <c r="M910" s="32" t="n">
        <f aca="false">C910*1000000/dt_s+K910/2</f>
        <v>21657.58325187</v>
      </c>
    </row>
    <row r="911" customFormat="false" ht="15" hidden="false" customHeight="false" outlineLevel="0" collapsed="false">
      <c r="A911" s="24" t="n">
        <f aca="false">ROUND(A910+0.01,2)</f>
        <v>80.06</v>
      </c>
      <c r="B911" s="25" t="n">
        <f aca="false">INDEX(Bang_F,MATCH(A911,Bang_Z,1))+(A911-INDEX(Bang_Z,MATCH(A911,Bang_Z,1)))*(INDEX(Bang_F,MATCH(A911,Bang_Z,1)+1)-INDEX(Bang_F,MATCH(A911,Bang_Z,1)))</f>
        <v>9.1816</v>
      </c>
      <c r="C911" s="25" t="n">
        <f aca="false">INDEX(Bang_W,MATCH(A911,Bang_Z,1))+(A911-INDEX(Bang_Z,MATCH(A911,Bang_Z,1)))*(INDEX(Bang_F,MATCH(A911,Bang_Z,1))+B911)/2</f>
        <v>77.304348</v>
      </c>
      <c r="D911" s="26" t="n">
        <f aca="false">MAX(A911-TC_Z,0)</f>
        <v>5.36</v>
      </c>
      <c r="E911" s="27" t="n">
        <f aca="false">1-0.2*(TC_xmb+(TC_n-1)*TC_xmt)*D911/(TC_n*TC_b)</f>
        <v>0.786592592592593</v>
      </c>
      <c r="F911" s="28" t="n">
        <f aca="false">TC_s*E911*TC_m*TC_n*TC_b*SQRT(2*g_)*D911^1.5</f>
        <v>420.254916892248</v>
      </c>
      <c r="G911" s="29" t="n">
        <f aca="false">MAX(A911-SC_Z,0)</f>
        <v>9.06</v>
      </c>
      <c r="H911" s="30" t="n">
        <f aca="false">1-0.2*(SC_xmb+(SC_n-1)*SC_xmt)*G911/(SC_n*SC_b)</f>
        <v>0.74632</v>
      </c>
      <c r="I911" s="31" t="n">
        <f aca="false">SC_s*H911*SC_m*SC_n*SC_b*SQRT(2*g_)*G911^1.5</f>
        <v>202.83803572947</v>
      </c>
      <c r="J911" s="32" t="n">
        <f aca="false">F911+I911</f>
        <v>623.092952621718</v>
      </c>
      <c r="K911" s="32" t="n">
        <f aca="false">F911</f>
        <v>420.254916892248</v>
      </c>
      <c r="L911" s="32" t="n">
        <f aca="false">C911*1000000/dt_s+J911/2</f>
        <v>21784.9764763109</v>
      </c>
      <c r="M911" s="32" t="n">
        <f aca="false">C911*1000000/dt_s+K911/2</f>
        <v>21683.5574584461</v>
      </c>
    </row>
    <row r="912" customFormat="false" ht="15" hidden="false" customHeight="false" outlineLevel="0" collapsed="false">
      <c r="A912" s="24" t="n">
        <f aca="false">ROUND(A911+0.01,2)</f>
        <v>80.07</v>
      </c>
      <c r="B912" s="25" t="n">
        <f aca="false">INDEX(Bang_F,MATCH(A912,Bang_Z,1))+(A912-INDEX(Bang_Z,MATCH(A912,Bang_Z,1)))*(INDEX(Bang_F,MATCH(A912,Bang_Z,1)+1)-INDEX(Bang_F,MATCH(A912,Bang_Z,1)))</f>
        <v>9.1902</v>
      </c>
      <c r="C912" s="25" t="n">
        <f aca="false">INDEX(Bang_W,MATCH(A912,Bang_Z,1))+(A912-INDEX(Bang_Z,MATCH(A912,Bang_Z,1)))*(INDEX(Bang_F,MATCH(A912,Bang_Z,1))+B912)/2</f>
        <v>77.3962069999999</v>
      </c>
      <c r="D912" s="26" t="n">
        <f aca="false">MAX(A912-TC_Z,0)</f>
        <v>5.36999999999999</v>
      </c>
      <c r="E912" s="27" t="n">
        <f aca="false">1-0.2*(TC_xmb+(TC_n-1)*TC_xmt)*D912/(TC_n*TC_b)</f>
        <v>0.786194444444445</v>
      </c>
      <c r="F912" s="28" t="n">
        <f aca="false">TC_s*E912*TC_m*TC_n*TC_b*SQRT(2*g_)*D912^1.5</f>
        <v>421.218236545372</v>
      </c>
      <c r="G912" s="29" t="n">
        <f aca="false">MAX(A912-SC_Z,0)</f>
        <v>9.06999999999999</v>
      </c>
      <c r="H912" s="30" t="n">
        <f aca="false">1-0.2*(SC_xmb+(SC_n-1)*SC_xmt)*G912/(SC_n*SC_b)</f>
        <v>0.74604</v>
      </c>
      <c r="I912" s="31" t="n">
        <f aca="false">SC_s*H912*SC_m*SC_n*SC_b*SQRT(2*g_)*G912^1.5</f>
        <v>203.097727318897</v>
      </c>
      <c r="J912" s="32" t="n">
        <f aca="false">F912+I912</f>
        <v>624.315963864269</v>
      </c>
      <c r="K912" s="32" t="n">
        <f aca="false">F912</f>
        <v>421.218236545372</v>
      </c>
      <c r="L912" s="32" t="n">
        <f aca="false">C912*1000000/dt_s+J912/2</f>
        <v>21811.104370821</v>
      </c>
      <c r="M912" s="32" t="n">
        <f aca="false">C912*1000000/dt_s+K912/2</f>
        <v>21709.5555071616</v>
      </c>
    </row>
    <row r="913" customFormat="false" ht="15" hidden="false" customHeight="false" outlineLevel="0" collapsed="false">
      <c r="A913" s="24" t="n">
        <f aca="false">ROUND(A912+0.01,2)</f>
        <v>80.08</v>
      </c>
      <c r="B913" s="25" t="n">
        <f aca="false">INDEX(Bang_F,MATCH(A913,Bang_Z,1))+(A913-INDEX(Bang_Z,MATCH(A913,Bang_Z,1)))*(INDEX(Bang_F,MATCH(A913,Bang_Z,1)+1)-INDEX(Bang_F,MATCH(A913,Bang_Z,1)))</f>
        <v>9.1988</v>
      </c>
      <c r="C913" s="25" t="n">
        <f aca="false">INDEX(Bang_W,MATCH(A913,Bang_Z,1))+(A913-INDEX(Bang_Z,MATCH(A913,Bang_Z,1)))*(INDEX(Bang_F,MATCH(A913,Bang_Z,1))+B913)/2</f>
        <v>77.488152</v>
      </c>
      <c r="D913" s="26" t="n">
        <f aca="false">MAX(A913-TC_Z,0)</f>
        <v>5.38</v>
      </c>
      <c r="E913" s="27" t="n">
        <f aca="false">1-0.2*(TC_xmb+(TC_n-1)*TC_xmt)*D913/(TC_n*TC_b)</f>
        <v>0.785796296296296</v>
      </c>
      <c r="F913" s="28" t="n">
        <f aca="false">TC_s*E913*TC_m*TC_n*TC_b*SQRT(2*g_)*D913^1.5</f>
        <v>422.181460012483</v>
      </c>
      <c r="G913" s="29" t="n">
        <f aca="false">MAX(A913-SC_Z,0)</f>
        <v>9.08</v>
      </c>
      <c r="H913" s="30" t="n">
        <f aca="false">1-0.2*(SC_xmb+(SC_n-1)*SC_xmt)*G913/(SC_n*SC_b)</f>
        <v>0.74576</v>
      </c>
      <c r="I913" s="31" t="n">
        <f aca="false">SC_s*H913*SC_m*SC_n*SC_b*SQRT(2*g_)*G913^1.5</f>
        <v>203.357351945863</v>
      </c>
      <c r="J913" s="32" t="n">
        <f aca="false">F913+I913</f>
        <v>625.538811958346</v>
      </c>
      <c r="K913" s="32" t="n">
        <f aca="false">F913</f>
        <v>422.181460012483</v>
      </c>
      <c r="L913" s="32" t="n">
        <f aca="false">C913*1000000/dt_s+J913/2</f>
        <v>21837.2560726458</v>
      </c>
      <c r="M913" s="32" t="n">
        <f aca="false">C913*1000000/dt_s+K913/2</f>
        <v>21735.5773966729</v>
      </c>
    </row>
    <row r="914" customFormat="false" ht="15" hidden="false" customHeight="false" outlineLevel="0" collapsed="false">
      <c r="A914" s="24" t="n">
        <f aca="false">ROUND(A913+0.01,2)</f>
        <v>80.09</v>
      </c>
      <c r="B914" s="25" t="n">
        <f aca="false">INDEX(Bang_F,MATCH(A914,Bang_Z,1))+(A914-INDEX(Bang_Z,MATCH(A914,Bang_Z,1)))*(INDEX(Bang_F,MATCH(A914,Bang_Z,1)+1)-INDEX(Bang_F,MATCH(A914,Bang_Z,1)))</f>
        <v>9.2074</v>
      </c>
      <c r="C914" s="25" t="n">
        <f aca="false">INDEX(Bang_W,MATCH(A914,Bang_Z,1))+(A914-INDEX(Bang_Z,MATCH(A914,Bang_Z,1)))*(INDEX(Bang_F,MATCH(A914,Bang_Z,1))+B914)/2</f>
        <v>77.580183</v>
      </c>
      <c r="D914" s="26" t="n">
        <f aca="false">MAX(A914-TC_Z,0)</f>
        <v>5.39</v>
      </c>
      <c r="E914" s="27" t="n">
        <f aca="false">1-0.2*(TC_xmb+(TC_n-1)*TC_xmt)*D914/(TC_n*TC_b)</f>
        <v>0.785398148148148</v>
      </c>
      <c r="F914" s="28" t="n">
        <f aca="false">TC_s*E914*TC_m*TC_n*TC_b*SQRT(2*g_)*D914^1.5</f>
        <v>423.144584611603</v>
      </c>
      <c r="G914" s="29" t="n">
        <f aca="false">MAX(A914-SC_Z,0)</f>
        <v>9.09</v>
      </c>
      <c r="H914" s="30" t="n">
        <f aca="false">1-0.2*(SC_xmb+(SC_n-1)*SC_xmt)*G914/(SC_n*SC_b)</f>
        <v>0.74548</v>
      </c>
      <c r="I914" s="31" t="n">
        <f aca="false">SC_s*H914*SC_m*SC_n*SC_b*SQRT(2*g_)*G914^1.5</f>
        <v>203.616909299972</v>
      </c>
      <c r="J914" s="32" t="n">
        <f aca="false">F914+I914</f>
        <v>626.761493911574</v>
      </c>
      <c r="K914" s="32" t="n">
        <f aca="false">F914</f>
        <v>423.144584611603</v>
      </c>
      <c r="L914" s="32" t="n">
        <f aca="false">C914*1000000/dt_s+J914/2</f>
        <v>21863.4315802891</v>
      </c>
      <c r="M914" s="32" t="n">
        <f aca="false">C914*1000000/dt_s+K914/2</f>
        <v>21761.6231256391</v>
      </c>
    </row>
    <row r="915" customFormat="false" ht="15" hidden="false" customHeight="false" outlineLevel="0" collapsed="false">
      <c r="A915" s="24" t="n">
        <f aca="false">ROUND(A914+0.01,2)</f>
        <v>80.1</v>
      </c>
      <c r="B915" s="25" t="n">
        <f aca="false">INDEX(Bang_F,MATCH(A915,Bang_Z,1))+(A915-INDEX(Bang_Z,MATCH(A915,Bang_Z,1)))*(INDEX(Bang_F,MATCH(A915,Bang_Z,1)+1)-INDEX(Bang_F,MATCH(A915,Bang_Z,1)))</f>
        <v>9.216</v>
      </c>
      <c r="C915" s="25" t="n">
        <f aca="false">INDEX(Bang_W,MATCH(A915,Bang_Z,1))+(A915-INDEX(Bang_Z,MATCH(A915,Bang_Z,1)))*(INDEX(Bang_F,MATCH(A915,Bang_Z,1))+B915)/2</f>
        <v>77.6723</v>
      </c>
      <c r="D915" s="26" t="n">
        <f aca="false">MAX(A915-TC_Z,0)</f>
        <v>5.39999999999999</v>
      </c>
      <c r="E915" s="27" t="n">
        <f aca="false">1-0.2*(TC_xmb+(TC_n-1)*TC_xmt)*D915/(TC_n*TC_b)</f>
        <v>0.785</v>
      </c>
      <c r="F915" s="28" t="n">
        <f aca="false">TC_s*E915*TC_m*TC_n*TC_b*SQRT(2*g_)*D915^1.5</f>
        <v>424.107607665649</v>
      </c>
      <c r="G915" s="29" t="n">
        <f aca="false">MAX(A915-SC_Z,0)</f>
        <v>9.09999999999999</v>
      </c>
      <c r="H915" s="30" t="n">
        <f aca="false">1-0.2*(SC_xmb+(SC_n-1)*SC_xmt)*G915/(SC_n*SC_b)</f>
        <v>0.7452</v>
      </c>
      <c r="I915" s="31" t="n">
        <f aca="false">SC_s*H915*SC_m*SC_n*SC_b*SQRT(2*g_)*G915^1.5</f>
        <v>203.876399071149</v>
      </c>
      <c r="J915" s="32" t="n">
        <f aca="false">F915+I915</f>
        <v>627.984006736799</v>
      </c>
      <c r="K915" s="32" t="n">
        <f aca="false">F915</f>
        <v>424.107607665649</v>
      </c>
      <c r="L915" s="32" t="n">
        <f aca="false">C915*1000000/dt_s+J915/2</f>
        <v>21889.6308922573</v>
      </c>
      <c r="M915" s="32" t="n">
        <f aca="false">C915*1000000/dt_s+K915/2</f>
        <v>21787.6926927217</v>
      </c>
    </row>
    <row r="916" customFormat="false" ht="15" hidden="false" customHeight="false" outlineLevel="0" collapsed="false">
      <c r="A916" s="24" t="n">
        <f aca="false">ROUND(A915+0.01,2)</f>
        <v>80.11</v>
      </c>
      <c r="B916" s="25" t="n">
        <f aca="false">INDEX(Bang_F,MATCH(A916,Bang_Z,1))+(A916-INDEX(Bang_Z,MATCH(A916,Bang_Z,1)))*(INDEX(Bang_F,MATCH(A916,Bang_Z,1)+1)-INDEX(Bang_F,MATCH(A916,Bang_Z,1)))</f>
        <v>9.2246</v>
      </c>
      <c r="C916" s="25" t="n">
        <f aca="false">INDEX(Bang_W,MATCH(A916,Bang_Z,1))+(A916-INDEX(Bang_Z,MATCH(A916,Bang_Z,1)))*(INDEX(Bang_F,MATCH(A916,Bang_Z,1))+B916)/2</f>
        <v>77.764503</v>
      </c>
      <c r="D916" s="26" t="n">
        <f aca="false">MAX(A916-TC_Z,0)</f>
        <v>5.41</v>
      </c>
      <c r="E916" s="27" t="n">
        <f aca="false">1-0.2*(TC_xmb+(TC_n-1)*TC_xmt)*D916/(TC_n*TC_b)</f>
        <v>0.784601851851852</v>
      </c>
      <c r="F916" s="28" t="n">
        <f aca="false">TC_s*E916*TC_m*TC_n*TC_b*SQRT(2*g_)*D916^1.5</f>
        <v>425.070526502419</v>
      </c>
      <c r="G916" s="29" t="n">
        <f aca="false">MAX(A916-SC_Z,0)</f>
        <v>9.11</v>
      </c>
      <c r="H916" s="30" t="n">
        <f aca="false">1-0.2*(SC_xmb+(SC_n-1)*SC_xmt)*G916/(SC_n*SC_b)</f>
        <v>0.74492</v>
      </c>
      <c r="I916" s="31" t="n">
        <f aca="false">SC_s*H916*SC_m*SC_n*SC_b*SQRT(2*g_)*G916^1.5</f>
        <v>204.135820949643</v>
      </c>
      <c r="J916" s="32" t="n">
        <f aca="false">F916+I916</f>
        <v>629.206347452062</v>
      </c>
      <c r="K916" s="32" t="n">
        <f aca="false">F916</f>
        <v>425.070526502419</v>
      </c>
      <c r="L916" s="32" t="n">
        <f aca="false">C916*1000000/dt_s+J916/2</f>
        <v>21915.8540070594</v>
      </c>
      <c r="M916" s="32" t="n">
        <f aca="false">C916*1000000/dt_s+K916/2</f>
        <v>21813.7860965845</v>
      </c>
    </row>
    <row r="917" customFormat="false" ht="15" hidden="false" customHeight="false" outlineLevel="0" collapsed="false">
      <c r="A917" s="24" t="n">
        <f aca="false">ROUND(A916+0.01,2)</f>
        <v>80.12</v>
      </c>
      <c r="B917" s="25" t="n">
        <f aca="false">INDEX(Bang_F,MATCH(A917,Bang_Z,1))+(A917-INDEX(Bang_Z,MATCH(A917,Bang_Z,1)))*(INDEX(Bang_F,MATCH(A917,Bang_Z,1)+1)-INDEX(Bang_F,MATCH(A917,Bang_Z,1)))</f>
        <v>9.23320000000001</v>
      </c>
      <c r="C917" s="25" t="n">
        <f aca="false">INDEX(Bang_W,MATCH(A917,Bang_Z,1))+(A917-INDEX(Bang_Z,MATCH(A917,Bang_Z,1)))*(INDEX(Bang_F,MATCH(A917,Bang_Z,1))+B917)/2</f>
        <v>77.856792</v>
      </c>
      <c r="D917" s="26" t="n">
        <f aca="false">MAX(A917-TC_Z,0)</f>
        <v>5.42</v>
      </c>
      <c r="E917" s="27" t="n">
        <f aca="false">1-0.2*(TC_xmb+(TC_n-1)*TC_xmt)*D917/(TC_n*TC_b)</f>
        <v>0.784203703703704</v>
      </c>
      <c r="F917" s="28" t="n">
        <f aca="false">TC_s*E917*TC_m*TC_n*TC_b*SQRT(2*g_)*D917^1.5</f>
        <v>426.033338454559</v>
      </c>
      <c r="G917" s="29" t="n">
        <f aca="false">MAX(A917-SC_Z,0)</f>
        <v>9.12000000000001</v>
      </c>
      <c r="H917" s="30" t="n">
        <f aca="false">1-0.2*(SC_xmb+(SC_n-1)*SC_xmt)*G917/(SC_n*SC_b)</f>
        <v>0.74464</v>
      </c>
      <c r="I917" s="31" t="n">
        <f aca="false">SC_s*H917*SC_m*SC_n*SC_b*SQRT(2*g_)*G917^1.5</f>
        <v>204.395174626019</v>
      </c>
      <c r="J917" s="32" t="n">
        <f aca="false">F917+I917</f>
        <v>630.428513080577</v>
      </c>
      <c r="K917" s="32" t="n">
        <f aca="false">F917</f>
        <v>426.033338454559</v>
      </c>
      <c r="L917" s="32" t="n">
        <f aca="false">C917*1000000/dt_s+J917/2</f>
        <v>21942.100923207</v>
      </c>
      <c r="M917" s="32" t="n">
        <f aca="false">C917*1000000/dt_s+K917/2</f>
        <v>21839.903335894</v>
      </c>
    </row>
    <row r="918" customFormat="false" ht="15" hidden="false" customHeight="false" outlineLevel="0" collapsed="false">
      <c r="A918" s="24" t="n">
        <f aca="false">ROUND(A917+0.01,2)</f>
        <v>80.13</v>
      </c>
      <c r="B918" s="25" t="n">
        <f aca="false">INDEX(Bang_F,MATCH(A918,Bang_Z,1))+(A918-INDEX(Bang_Z,MATCH(A918,Bang_Z,1)))*(INDEX(Bang_F,MATCH(A918,Bang_Z,1)+1)-INDEX(Bang_F,MATCH(A918,Bang_Z,1)))</f>
        <v>9.2418</v>
      </c>
      <c r="C918" s="25" t="n">
        <f aca="false">INDEX(Bang_W,MATCH(A918,Bang_Z,1))+(A918-INDEX(Bang_Z,MATCH(A918,Bang_Z,1)))*(INDEX(Bang_F,MATCH(A918,Bang_Z,1))+B918)/2</f>
        <v>77.949167</v>
      </c>
      <c r="D918" s="26" t="n">
        <f aca="false">MAX(A918-TC_Z,0)</f>
        <v>5.42999999999999</v>
      </c>
      <c r="E918" s="27" t="n">
        <f aca="false">1-0.2*(TC_xmb+(TC_n-1)*TC_xmt)*D918/(TC_n*TC_b)</f>
        <v>0.783805555555556</v>
      </c>
      <c r="F918" s="28" t="n">
        <f aca="false">TC_s*E918*TC_m*TC_n*TC_b*SQRT(2*g_)*D918^1.5</f>
        <v>426.99604085955</v>
      </c>
      <c r="G918" s="29" t="n">
        <f aca="false">MAX(A918-SC_Z,0)</f>
        <v>9.13</v>
      </c>
      <c r="H918" s="30" t="n">
        <f aca="false">1-0.2*(SC_xmb+(SC_n-1)*SC_xmt)*G918/(SC_n*SC_b)</f>
        <v>0.74436</v>
      </c>
      <c r="I918" s="31" t="n">
        <f aca="false">SC_s*H918*SC_m*SC_n*SC_b*SQRT(2*g_)*G918^1.5</f>
        <v>204.654459791162</v>
      </c>
      <c r="J918" s="32" t="n">
        <f aca="false">F918+I918</f>
        <v>631.650500650712</v>
      </c>
      <c r="K918" s="32" t="n">
        <f aca="false">F918</f>
        <v>426.99604085955</v>
      </c>
      <c r="L918" s="32" t="n">
        <f aca="false">C918*1000000/dt_s+J918/2</f>
        <v>21968.3716392142</v>
      </c>
      <c r="M918" s="32" t="n">
        <f aca="false">C918*1000000/dt_s+K918/2</f>
        <v>21866.0444093187</v>
      </c>
    </row>
    <row r="919" customFormat="false" ht="15" hidden="false" customHeight="false" outlineLevel="0" collapsed="false">
      <c r="A919" s="24" t="n">
        <f aca="false">ROUND(A918+0.01,2)</f>
        <v>80.14</v>
      </c>
      <c r="B919" s="25" t="n">
        <f aca="false">INDEX(Bang_F,MATCH(A919,Bang_Z,1))+(A919-INDEX(Bang_Z,MATCH(A919,Bang_Z,1)))*(INDEX(Bang_F,MATCH(A919,Bang_Z,1)+1)-INDEX(Bang_F,MATCH(A919,Bang_Z,1)))</f>
        <v>9.2504</v>
      </c>
      <c r="C919" s="25" t="n">
        <f aca="false">INDEX(Bang_W,MATCH(A919,Bang_Z,1))+(A919-INDEX(Bang_Z,MATCH(A919,Bang_Z,1)))*(INDEX(Bang_F,MATCH(A919,Bang_Z,1))+B919)/2</f>
        <v>78.041628</v>
      </c>
      <c r="D919" s="26" t="n">
        <f aca="false">MAX(A919-TC_Z,0)</f>
        <v>5.44</v>
      </c>
      <c r="E919" s="27" t="n">
        <f aca="false">1-0.2*(TC_xmb+(TC_n-1)*TC_xmt)*D919/(TC_n*TC_b)</f>
        <v>0.783407407407407</v>
      </c>
      <c r="F919" s="28" t="n">
        <f aca="false">TC_s*E919*TC_m*TC_n*TC_b*SQRT(2*g_)*D919^1.5</f>
        <v>427.958631059693</v>
      </c>
      <c r="G919" s="29" t="n">
        <f aca="false">MAX(A919-SC_Z,0)</f>
        <v>9.14</v>
      </c>
      <c r="H919" s="30" t="n">
        <f aca="false">1-0.2*(SC_xmb+(SC_n-1)*SC_xmt)*G919/(SC_n*SC_b)</f>
        <v>0.74408</v>
      </c>
      <c r="I919" s="31" t="n">
        <f aca="false">SC_s*H919*SC_m*SC_n*SC_b*SQRT(2*g_)*G919^1.5</f>
        <v>204.913676136276</v>
      </c>
      <c r="J919" s="32" t="n">
        <f aca="false">F919+I919</f>
        <v>632.872307195969</v>
      </c>
      <c r="K919" s="32" t="n">
        <f aca="false">F919</f>
        <v>427.958631059693</v>
      </c>
      <c r="L919" s="32" t="n">
        <f aca="false">C919*1000000/dt_s+J919/2</f>
        <v>21994.666153598</v>
      </c>
      <c r="M919" s="32" t="n">
        <f aca="false">C919*1000000/dt_s+K919/2</f>
        <v>21892.2093155298</v>
      </c>
    </row>
    <row r="920" customFormat="false" ht="15" hidden="false" customHeight="false" outlineLevel="0" collapsed="false">
      <c r="A920" s="24" t="n">
        <f aca="false">ROUND(A919+0.01,2)</f>
        <v>80.15</v>
      </c>
      <c r="B920" s="25" t="n">
        <f aca="false">INDEX(Bang_F,MATCH(A920,Bang_Z,1))+(A920-INDEX(Bang_Z,MATCH(A920,Bang_Z,1)))*(INDEX(Bang_F,MATCH(A920,Bang_Z,1)+1)-INDEX(Bang_F,MATCH(A920,Bang_Z,1)))</f>
        <v>9.25900000000001</v>
      </c>
      <c r="C920" s="25" t="n">
        <f aca="false">INDEX(Bang_W,MATCH(A920,Bang_Z,1))+(A920-INDEX(Bang_Z,MATCH(A920,Bang_Z,1)))*(INDEX(Bang_F,MATCH(A920,Bang_Z,1))+B920)/2</f>
        <v>78.134175</v>
      </c>
      <c r="D920" s="26" t="n">
        <f aca="false">MAX(A920-TC_Z,0)</f>
        <v>5.45</v>
      </c>
      <c r="E920" s="27" t="n">
        <f aca="false">1-0.2*(TC_xmb+(TC_n-1)*TC_xmt)*D920/(TC_n*TC_b)</f>
        <v>0.783009259259259</v>
      </c>
      <c r="F920" s="28" t="n">
        <f aca="false">TC_s*E920*TC_m*TC_n*TC_b*SQRT(2*g_)*D920^1.5</f>
        <v>428.92110640208</v>
      </c>
      <c r="G920" s="29" t="n">
        <f aca="false">MAX(A920-SC_Z,0)</f>
        <v>9.15000000000001</v>
      </c>
      <c r="H920" s="30" t="n">
        <f aca="false">1-0.2*(SC_xmb+(SC_n-1)*SC_xmt)*G920/(SC_n*SC_b)</f>
        <v>0.7438</v>
      </c>
      <c r="I920" s="31" t="n">
        <f aca="false">SC_s*H920*SC_m*SC_n*SC_b*SQRT(2*g_)*G920^1.5</f>
        <v>205.172823352881</v>
      </c>
      <c r="J920" s="32" t="n">
        <f aca="false">F920+I920</f>
        <v>634.093929754961</v>
      </c>
      <c r="K920" s="32" t="n">
        <f aca="false">F920</f>
        <v>428.92110640208</v>
      </c>
      <c r="L920" s="32" t="n">
        <f aca="false">C920*1000000/dt_s+J920/2</f>
        <v>22020.9844648775</v>
      </c>
      <c r="M920" s="32" t="n">
        <f aca="false">C920*1000000/dt_s+K920/2</f>
        <v>21918.3980532011</v>
      </c>
    </row>
    <row r="921" customFormat="false" ht="15" hidden="false" customHeight="false" outlineLevel="0" collapsed="false">
      <c r="A921" s="24" t="n">
        <f aca="false">ROUND(A920+0.01,2)</f>
        <v>80.16</v>
      </c>
      <c r="B921" s="25" t="n">
        <f aca="false">INDEX(Bang_F,MATCH(A921,Bang_Z,1))+(A921-INDEX(Bang_Z,MATCH(A921,Bang_Z,1)))*(INDEX(Bang_F,MATCH(A921,Bang_Z,1)+1)-INDEX(Bang_F,MATCH(A921,Bang_Z,1)))</f>
        <v>9.2676</v>
      </c>
      <c r="C921" s="25" t="n">
        <f aca="false">INDEX(Bang_W,MATCH(A921,Bang_Z,1))+(A921-INDEX(Bang_Z,MATCH(A921,Bang_Z,1)))*(INDEX(Bang_F,MATCH(A921,Bang_Z,1))+B921)/2</f>
        <v>78.226808</v>
      </c>
      <c r="D921" s="26" t="n">
        <f aca="false">MAX(A921-TC_Z,0)</f>
        <v>5.45999999999999</v>
      </c>
      <c r="E921" s="27" t="n">
        <f aca="false">1-0.2*(TC_xmb+(TC_n-1)*TC_xmt)*D921/(TC_n*TC_b)</f>
        <v>0.782611111111111</v>
      </c>
      <c r="F921" s="28" t="n">
        <f aca="false">TC_s*E921*TC_m*TC_n*TC_b*SQRT(2*g_)*D921^1.5</f>
        <v>429.883464238576</v>
      </c>
      <c r="G921" s="29" t="n">
        <f aca="false">MAX(A921-SC_Z,0)</f>
        <v>9.16</v>
      </c>
      <c r="H921" s="30" t="n">
        <f aca="false">1-0.2*(SC_xmb+(SC_n-1)*SC_xmt)*G921/(SC_n*SC_b)</f>
        <v>0.74352</v>
      </c>
      <c r="I921" s="31" t="n">
        <f aca="false">SC_s*H921*SC_m*SC_n*SC_b*SQRT(2*g_)*G921^1.5</f>
        <v>205.431901132815</v>
      </c>
      <c r="J921" s="32" t="n">
        <f aca="false">F921+I921</f>
        <v>635.315365371392</v>
      </c>
      <c r="K921" s="32" t="n">
        <f aca="false">F921</f>
        <v>429.883464238576</v>
      </c>
      <c r="L921" s="32" t="n">
        <f aca="false">C921*1000000/dt_s+J921/2</f>
        <v>22047.3265715746</v>
      </c>
      <c r="M921" s="32" t="n">
        <f aca="false">C921*1000000/dt_s+K921/2</f>
        <v>21944.6106210082</v>
      </c>
    </row>
    <row r="922" customFormat="false" ht="15" hidden="false" customHeight="false" outlineLevel="0" collapsed="false">
      <c r="A922" s="24" t="n">
        <f aca="false">ROUND(A921+0.01,2)</f>
        <v>80.17</v>
      </c>
      <c r="B922" s="25" t="n">
        <f aca="false">INDEX(Bang_F,MATCH(A922,Bang_Z,1))+(A922-INDEX(Bang_Z,MATCH(A922,Bang_Z,1)))*(INDEX(Bang_F,MATCH(A922,Bang_Z,1)+1)-INDEX(Bang_F,MATCH(A922,Bang_Z,1)))</f>
        <v>9.2762</v>
      </c>
      <c r="C922" s="25" t="n">
        <f aca="false">INDEX(Bang_W,MATCH(A922,Bang_Z,1))+(A922-INDEX(Bang_Z,MATCH(A922,Bang_Z,1)))*(INDEX(Bang_F,MATCH(A922,Bang_Z,1))+B922)/2</f>
        <v>78.319527</v>
      </c>
      <c r="D922" s="26" t="n">
        <f aca="false">MAX(A922-TC_Z,0)</f>
        <v>5.47</v>
      </c>
      <c r="E922" s="27" t="n">
        <f aca="false">1-0.2*(TC_xmb+(TC_n-1)*TC_xmt)*D922/(TC_n*TC_b)</f>
        <v>0.782212962962963</v>
      </c>
      <c r="F922" s="28" t="n">
        <f aca="false">TC_s*E922*TC_m*TC_n*TC_b*SQRT(2*g_)*D922^1.5</f>
        <v>430.845701925809</v>
      </c>
      <c r="G922" s="29" t="n">
        <f aca="false">MAX(A922-SC_Z,0)</f>
        <v>9.17</v>
      </c>
      <c r="H922" s="30" t="n">
        <f aca="false">1-0.2*(SC_xmb+(SC_n-1)*SC_xmt)*G922/(SC_n*SC_b)</f>
        <v>0.74324</v>
      </c>
      <c r="I922" s="31" t="n">
        <f aca="false">SC_s*H922*SC_m*SC_n*SC_b*SQRT(2*g_)*G922^1.5</f>
        <v>205.690909168232</v>
      </c>
      <c r="J922" s="32" t="n">
        <f aca="false">F922+I922</f>
        <v>636.536611094041</v>
      </c>
      <c r="K922" s="32" t="n">
        <f aca="false">F922</f>
        <v>430.845701925809</v>
      </c>
      <c r="L922" s="32" t="n">
        <f aca="false">C922*1000000/dt_s+J922/2</f>
        <v>22073.6924722137</v>
      </c>
      <c r="M922" s="32" t="n">
        <f aca="false">C922*1000000/dt_s+K922/2</f>
        <v>21970.8470176296</v>
      </c>
    </row>
    <row r="923" customFormat="false" ht="15" hidden="false" customHeight="false" outlineLevel="0" collapsed="false">
      <c r="A923" s="24" t="n">
        <f aca="false">ROUND(A922+0.01,2)</f>
        <v>80.18</v>
      </c>
      <c r="B923" s="25" t="n">
        <f aca="false">INDEX(Bang_F,MATCH(A923,Bang_Z,1))+(A923-INDEX(Bang_Z,MATCH(A923,Bang_Z,1)))*(INDEX(Bang_F,MATCH(A923,Bang_Z,1)+1)-INDEX(Bang_F,MATCH(A923,Bang_Z,1)))</f>
        <v>9.28480000000001</v>
      </c>
      <c r="C923" s="25" t="n">
        <f aca="false">INDEX(Bang_W,MATCH(A923,Bang_Z,1))+(A923-INDEX(Bang_Z,MATCH(A923,Bang_Z,1)))*(INDEX(Bang_F,MATCH(A923,Bang_Z,1))+B923)/2</f>
        <v>78.4123320000001</v>
      </c>
      <c r="D923" s="26" t="n">
        <f aca="false">MAX(A923-TC_Z,0)</f>
        <v>5.48</v>
      </c>
      <c r="E923" s="27" t="n">
        <f aca="false">1-0.2*(TC_xmb+(TC_n-1)*TC_xmt)*D923/(TC_n*TC_b)</f>
        <v>0.781814814814815</v>
      </c>
      <c r="F923" s="28" t="n">
        <f aca="false">TC_s*E923*TC_m*TC_n*TC_b*SQRT(2*g_)*D923^1.5</f>
        <v>431.807816825137</v>
      </c>
      <c r="G923" s="29" t="n">
        <f aca="false">MAX(A923-SC_Z,0)</f>
        <v>9.18000000000001</v>
      </c>
      <c r="H923" s="30" t="n">
        <f aca="false">1-0.2*(SC_xmb+(SC_n-1)*SC_xmt)*G923/(SC_n*SC_b)</f>
        <v>0.74296</v>
      </c>
      <c r="I923" s="31" t="n">
        <f aca="false">SC_s*H923*SC_m*SC_n*SC_b*SQRT(2*g_)*G923^1.5</f>
        <v>205.9498471516</v>
      </c>
      <c r="J923" s="32" t="n">
        <f aca="false">F923+I923</f>
        <v>637.757663976737</v>
      </c>
      <c r="K923" s="32" t="n">
        <f aca="false">F923</f>
        <v>431.807816825137</v>
      </c>
      <c r="L923" s="32" t="n">
        <f aca="false">C923*1000000/dt_s+J923/2</f>
        <v>22100.0821653217</v>
      </c>
      <c r="M923" s="32" t="n">
        <f aca="false">C923*1000000/dt_s+K923/2</f>
        <v>21997.1072417459</v>
      </c>
    </row>
    <row r="924" customFormat="false" ht="15" hidden="false" customHeight="false" outlineLevel="0" collapsed="false">
      <c r="A924" s="24" t="n">
        <f aca="false">ROUND(A923+0.01,2)</f>
        <v>80.19</v>
      </c>
      <c r="B924" s="25" t="n">
        <f aca="false">INDEX(Bang_F,MATCH(A924,Bang_Z,1))+(A924-INDEX(Bang_Z,MATCH(A924,Bang_Z,1)))*(INDEX(Bang_F,MATCH(A924,Bang_Z,1)+1)-INDEX(Bang_F,MATCH(A924,Bang_Z,1)))</f>
        <v>9.2934</v>
      </c>
      <c r="C924" s="25" t="n">
        <f aca="false">INDEX(Bang_W,MATCH(A924,Bang_Z,1))+(A924-INDEX(Bang_Z,MATCH(A924,Bang_Z,1)))*(INDEX(Bang_F,MATCH(A924,Bang_Z,1))+B924)/2</f>
        <v>78.505223</v>
      </c>
      <c r="D924" s="26" t="n">
        <f aca="false">MAX(A924-TC_Z,0)</f>
        <v>5.49</v>
      </c>
      <c r="E924" s="27" t="n">
        <f aca="false">1-0.2*(TC_xmb+(TC_n-1)*TC_xmt)*D924/(TC_n*TC_b)</f>
        <v>0.781416666666667</v>
      </c>
      <c r="F924" s="28" t="n">
        <f aca="false">TC_s*E924*TC_m*TC_n*TC_b*SQRT(2*g_)*D924^1.5</f>
        <v>432.769806302635</v>
      </c>
      <c r="G924" s="29" t="n">
        <f aca="false">MAX(A924-SC_Z,0)</f>
        <v>9.19</v>
      </c>
      <c r="H924" s="30" t="n">
        <f aca="false">1-0.2*(SC_xmb+(SC_n-1)*SC_xmt)*G924/(SC_n*SC_b)</f>
        <v>0.74268</v>
      </c>
      <c r="I924" s="31" t="n">
        <f aca="false">SC_s*H924*SC_m*SC_n*SC_b*SQRT(2*g_)*G924^1.5</f>
        <v>206.208714775701</v>
      </c>
      <c r="J924" s="32" t="n">
        <f aca="false">F924+I924</f>
        <v>638.978521078336</v>
      </c>
      <c r="K924" s="32" t="n">
        <f aca="false">F924</f>
        <v>432.769806302635</v>
      </c>
      <c r="L924" s="32" t="n">
        <f aca="false">C924*1000000/dt_s+J924/2</f>
        <v>22126.4956494281</v>
      </c>
      <c r="M924" s="32" t="n">
        <f aca="false">C924*1000000/dt_s+K924/2</f>
        <v>22023.3912920402</v>
      </c>
    </row>
    <row r="925" customFormat="false" ht="15" hidden="false" customHeight="false" outlineLevel="0" collapsed="false">
      <c r="A925" s="24" t="n">
        <f aca="false">ROUND(A924+0.01,2)</f>
        <v>80.2</v>
      </c>
      <c r="B925" s="25" t="n">
        <f aca="false">INDEX(Bang_F,MATCH(A925,Bang_Z,1))+(A925-INDEX(Bang_Z,MATCH(A925,Bang_Z,1)))*(INDEX(Bang_F,MATCH(A925,Bang_Z,1)+1)-INDEX(Bang_F,MATCH(A925,Bang_Z,1)))</f>
        <v>9.302</v>
      </c>
      <c r="C925" s="25" t="n">
        <f aca="false">INDEX(Bang_W,MATCH(A925,Bang_Z,1))+(A925-INDEX(Bang_Z,MATCH(A925,Bang_Z,1)))*(INDEX(Bang_F,MATCH(A925,Bang_Z,1))+B925)/2</f>
        <v>78.5982</v>
      </c>
      <c r="D925" s="26" t="n">
        <f aca="false">MAX(A925-TC_Z,0)</f>
        <v>5.5</v>
      </c>
      <c r="E925" s="27" t="n">
        <f aca="false">1-0.2*(TC_xmb+(TC_n-1)*TC_xmt)*D925/(TC_n*TC_b)</f>
        <v>0.781018518518519</v>
      </c>
      <c r="F925" s="28" t="n">
        <f aca="false">TC_s*E925*TC_m*TC_n*TC_b*SQRT(2*g_)*D925^1.5</f>
        <v>433.73166772908</v>
      </c>
      <c r="G925" s="29" t="n">
        <f aca="false">MAX(A925-SC_Z,0)</f>
        <v>9.2</v>
      </c>
      <c r="H925" s="30" t="n">
        <f aca="false">1-0.2*(SC_xmb+(SC_n-1)*SC_xmt)*G925/(SC_n*SC_b)</f>
        <v>0.7424</v>
      </c>
      <c r="I925" s="31" t="n">
        <f aca="false">SC_s*H925*SC_m*SC_n*SC_b*SQRT(2*g_)*G925^1.5</f>
        <v>206.467511733632</v>
      </c>
      <c r="J925" s="32" t="n">
        <f aca="false">F925+I925</f>
        <v>640.199179462713</v>
      </c>
      <c r="K925" s="32" t="n">
        <f aca="false">F925</f>
        <v>433.73166772908</v>
      </c>
      <c r="L925" s="32" t="n">
        <f aca="false">C925*1000000/dt_s+J925/2</f>
        <v>22152.9329230647</v>
      </c>
      <c r="M925" s="32" t="n">
        <f aca="false">C925*1000000/dt_s+K925/2</f>
        <v>22049.6991671979</v>
      </c>
    </row>
    <row r="926" customFormat="false" ht="15" hidden="false" customHeight="false" outlineLevel="0" collapsed="false">
      <c r="A926" s="24" t="n">
        <f aca="false">ROUND(A925+0.01,2)</f>
        <v>80.21</v>
      </c>
      <c r="B926" s="25" t="n">
        <f aca="false">INDEX(Bang_F,MATCH(A926,Bang_Z,1))+(A926-INDEX(Bang_Z,MATCH(A926,Bang_Z,1)))*(INDEX(Bang_F,MATCH(A926,Bang_Z,1)+1)-INDEX(Bang_F,MATCH(A926,Bang_Z,1)))</f>
        <v>9.3106</v>
      </c>
      <c r="C926" s="25" t="n">
        <f aca="false">INDEX(Bang_W,MATCH(A926,Bang_Z,1))+(A926-INDEX(Bang_Z,MATCH(A926,Bang_Z,1)))*(INDEX(Bang_F,MATCH(A926,Bang_Z,1))+B926)/2</f>
        <v>78.6912629999999</v>
      </c>
      <c r="D926" s="26" t="n">
        <f aca="false">MAX(A926-TC_Z,0)</f>
        <v>5.50999999999999</v>
      </c>
      <c r="E926" s="27" t="n">
        <f aca="false">1-0.2*(TC_xmb+(TC_n-1)*TC_xmt)*D926/(TC_n*TC_b)</f>
        <v>0.780620370370371</v>
      </c>
      <c r="F926" s="28" t="n">
        <f aca="false">TC_s*E926*TC_m*TC_n*TC_b*SQRT(2*g_)*D926^1.5</f>
        <v>434.693398479924</v>
      </c>
      <c r="G926" s="29" t="n">
        <f aca="false">MAX(A926-SC_Z,0)</f>
        <v>9.20999999999999</v>
      </c>
      <c r="H926" s="30" t="n">
        <f aca="false">1-0.2*(SC_xmb+(SC_n-1)*SC_xmt)*G926/(SC_n*SC_b)</f>
        <v>0.74212</v>
      </c>
      <c r="I926" s="31" t="n">
        <f aca="false">SC_s*H926*SC_m*SC_n*SC_b*SQRT(2*g_)*G926^1.5</f>
        <v>206.726237718803</v>
      </c>
      <c r="J926" s="32" t="n">
        <f aca="false">F926+I926</f>
        <v>641.419636198727</v>
      </c>
      <c r="K926" s="32" t="n">
        <f aca="false">F926</f>
        <v>434.693398479924</v>
      </c>
      <c r="L926" s="32" t="n">
        <f aca="false">C926*1000000/dt_s+J926/2</f>
        <v>22179.393984766</v>
      </c>
      <c r="M926" s="32" t="n">
        <f aca="false">C926*1000000/dt_s+K926/2</f>
        <v>22076.0308659066</v>
      </c>
    </row>
    <row r="927" customFormat="false" ht="15" hidden="false" customHeight="false" outlineLevel="0" collapsed="false">
      <c r="A927" s="24" t="n">
        <f aca="false">ROUND(A926+0.01,2)</f>
        <v>80.22</v>
      </c>
      <c r="B927" s="25" t="n">
        <f aca="false">INDEX(Bang_F,MATCH(A927,Bang_Z,1))+(A927-INDEX(Bang_Z,MATCH(A927,Bang_Z,1)))*(INDEX(Bang_F,MATCH(A927,Bang_Z,1)+1)-INDEX(Bang_F,MATCH(A927,Bang_Z,1)))</f>
        <v>9.3192</v>
      </c>
      <c r="C927" s="25" t="n">
        <f aca="false">INDEX(Bang_W,MATCH(A927,Bang_Z,1))+(A927-INDEX(Bang_Z,MATCH(A927,Bang_Z,1)))*(INDEX(Bang_F,MATCH(A927,Bang_Z,1))+B927)/2</f>
        <v>78.784412</v>
      </c>
      <c r="D927" s="26" t="n">
        <f aca="false">MAX(A927-TC_Z,0)</f>
        <v>5.52</v>
      </c>
      <c r="E927" s="27" t="n">
        <f aca="false">1-0.2*(TC_xmb+(TC_n-1)*TC_xmt)*D927/(TC_n*TC_b)</f>
        <v>0.780222222222222</v>
      </c>
      <c r="F927" s="28" t="n">
        <f aca="false">TC_s*E927*TC_m*TC_n*TC_b*SQRT(2*g_)*D927^1.5</f>
        <v>435.654995935282</v>
      </c>
      <c r="G927" s="29" t="n">
        <f aca="false">MAX(A927-SC_Z,0)</f>
        <v>9.22</v>
      </c>
      <c r="H927" s="30" t="n">
        <f aca="false">1-0.2*(SC_xmb+(SC_n-1)*SC_xmt)*G927/(SC_n*SC_b)</f>
        <v>0.74184</v>
      </c>
      <c r="I927" s="31" t="n">
        <f aca="false">SC_s*H927*SC_m*SC_n*SC_b*SQRT(2*g_)*G927^1.5</f>
        <v>206.984892424935</v>
      </c>
      <c r="J927" s="32" t="n">
        <f aca="false">F927+I927</f>
        <v>642.639888360216</v>
      </c>
      <c r="K927" s="32" t="n">
        <f aca="false">F927</f>
        <v>435.654995935282</v>
      </c>
      <c r="L927" s="32" t="n">
        <f aca="false">C927*1000000/dt_s+J927/2</f>
        <v>22205.878833069</v>
      </c>
      <c r="M927" s="32" t="n">
        <f aca="false">C927*1000000/dt_s+K927/2</f>
        <v>22102.3863868565</v>
      </c>
    </row>
    <row r="928" customFormat="false" ht="15" hidden="false" customHeight="false" outlineLevel="0" collapsed="false">
      <c r="A928" s="24" t="n">
        <f aca="false">ROUND(A927+0.01,2)</f>
        <v>80.23</v>
      </c>
      <c r="B928" s="25" t="n">
        <f aca="false">INDEX(Bang_F,MATCH(A928,Bang_Z,1))+(A928-INDEX(Bang_Z,MATCH(A928,Bang_Z,1)))*(INDEX(Bang_F,MATCH(A928,Bang_Z,1)+1)-INDEX(Bang_F,MATCH(A928,Bang_Z,1)))</f>
        <v>9.3278</v>
      </c>
      <c r="C928" s="25" t="n">
        <f aca="false">INDEX(Bang_W,MATCH(A928,Bang_Z,1))+(A928-INDEX(Bang_Z,MATCH(A928,Bang_Z,1)))*(INDEX(Bang_F,MATCH(A928,Bang_Z,1))+B928)/2</f>
        <v>78.877647</v>
      </c>
      <c r="D928" s="26" t="n">
        <f aca="false">MAX(A928-TC_Z,0)</f>
        <v>5.53</v>
      </c>
      <c r="E928" s="27" t="n">
        <f aca="false">1-0.2*(TC_xmb+(TC_n-1)*TC_xmt)*D928/(TC_n*TC_b)</f>
        <v>0.779824074074074</v>
      </c>
      <c r="F928" s="28" t="n">
        <f aca="false">TC_s*E928*TC_m*TC_n*TC_b*SQRT(2*g_)*D928^1.5</f>
        <v>436.616457479906</v>
      </c>
      <c r="G928" s="29" t="n">
        <f aca="false">MAX(A928-SC_Z,0)</f>
        <v>9.23</v>
      </c>
      <c r="H928" s="30" t="n">
        <f aca="false">1-0.2*(SC_xmb+(SC_n-1)*SC_xmt)*G928/(SC_n*SC_b)</f>
        <v>0.74156</v>
      </c>
      <c r="I928" s="31" t="n">
        <f aca="false">SC_s*H928*SC_m*SC_n*SC_b*SQRT(2*g_)*G928^1.5</f>
        <v>207.24347554606</v>
      </c>
      <c r="J928" s="32" t="n">
        <f aca="false">F928+I928</f>
        <v>643.859933025965</v>
      </c>
      <c r="K928" s="32" t="n">
        <f aca="false">F928</f>
        <v>436.616457479906</v>
      </c>
      <c r="L928" s="32" t="n">
        <f aca="false">C928*1000000/dt_s+J928/2</f>
        <v>22232.387466513</v>
      </c>
      <c r="M928" s="32" t="n">
        <f aca="false">C928*1000000/dt_s+K928/2</f>
        <v>22128.76572874</v>
      </c>
    </row>
    <row r="929" customFormat="false" ht="15" hidden="false" customHeight="false" outlineLevel="0" collapsed="false">
      <c r="A929" s="24" t="n">
        <f aca="false">ROUND(A928+0.01,2)</f>
        <v>80.24</v>
      </c>
      <c r="B929" s="25" t="n">
        <f aca="false">INDEX(Bang_F,MATCH(A929,Bang_Z,1))+(A929-INDEX(Bang_Z,MATCH(A929,Bang_Z,1)))*(INDEX(Bang_F,MATCH(A929,Bang_Z,1)+1)-INDEX(Bang_F,MATCH(A929,Bang_Z,1)))</f>
        <v>9.3364</v>
      </c>
      <c r="C929" s="25" t="n">
        <f aca="false">INDEX(Bang_W,MATCH(A929,Bang_Z,1))+(A929-INDEX(Bang_Z,MATCH(A929,Bang_Z,1)))*(INDEX(Bang_F,MATCH(A929,Bang_Z,1))+B929)/2</f>
        <v>78.9709679999999</v>
      </c>
      <c r="D929" s="26" t="n">
        <f aca="false">MAX(A929-TC_Z,0)</f>
        <v>5.53999999999999</v>
      </c>
      <c r="E929" s="27" t="n">
        <f aca="false">1-0.2*(TC_xmb+(TC_n-1)*TC_xmt)*D929/(TC_n*TC_b)</f>
        <v>0.779425925925926</v>
      </c>
      <c r="F929" s="28" t="n">
        <f aca="false">TC_s*E929*TC_m*TC_n*TC_b*SQRT(2*g_)*D929^1.5</f>
        <v>437.57778050317</v>
      </c>
      <c r="G929" s="29" t="n">
        <f aca="false">MAX(A929-SC_Z,0)</f>
        <v>9.24</v>
      </c>
      <c r="H929" s="30" t="n">
        <f aca="false">1-0.2*(SC_xmb+(SC_n-1)*SC_xmt)*G929/(SC_n*SC_b)</f>
        <v>0.74128</v>
      </c>
      <c r="I929" s="31" t="n">
        <f aca="false">SC_s*H929*SC_m*SC_n*SC_b*SQRT(2*g_)*G929^1.5</f>
        <v>207.501986776522</v>
      </c>
      <c r="J929" s="32" t="n">
        <f aca="false">F929+I929</f>
        <v>645.079767279692</v>
      </c>
      <c r="K929" s="32" t="n">
        <f aca="false">F929</f>
        <v>437.57778050317</v>
      </c>
      <c r="L929" s="32" t="n">
        <f aca="false">C929*1000000/dt_s+J929/2</f>
        <v>22258.9198836398</v>
      </c>
      <c r="M929" s="32" t="n">
        <f aca="false">C929*1000000/dt_s+K929/2</f>
        <v>22155.1688902516</v>
      </c>
    </row>
    <row r="930" customFormat="false" ht="15" hidden="false" customHeight="false" outlineLevel="0" collapsed="false">
      <c r="A930" s="24" t="n">
        <f aca="false">ROUND(A929+0.01,2)</f>
        <v>80.25</v>
      </c>
      <c r="B930" s="25" t="n">
        <f aca="false">INDEX(Bang_F,MATCH(A930,Bang_Z,1))+(A930-INDEX(Bang_Z,MATCH(A930,Bang_Z,1)))*(INDEX(Bang_F,MATCH(A930,Bang_Z,1)+1)-INDEX(Bang_F,MATCH(A930,Bang_Z,1)))</f>
        <v>9.345</v>
      </c>
      <c r="C930" s="25" t="n">
        <f aca="false">INDEX(Bang_W,MATCH(A930,Bang_Z,1))+(A930-INDEX(Bang_Z,MATCH(A930,Bang_Z,1)))*(INDEX(Bang_F,MATCH(A930,Bang_Z,1))+B930)/2</f>
        <v>79.064375</v>
      </c>
      <c r="D930" s="26" t="n">
        <f aca="false">MAX(A930-TC_Z,0)</f>
        <v>5.55</v>
      </c>
      <c r="E930" s="27" t="n">
        <f aca="false">1-0.2*(TC_xmb+(TC_n-1)*TC_xmt)*D930/(TC_n*TC_b)</f>
        <v>0.779027777777778</v>
      </c>
      <c r="F930" s="28" t="n">
        <f aca="false">TC_s*E930*TC_m*TC_n*TC_b*SQRT(2*g_)*D930^1.5</f>
        <v>438.538962399057</v>
      </c>
      <c r="G930" s="29" t="n">
        <f aca="false">MAX(A930-SC_Z,0)</f>
        <v>9.25</v>
      </c>
      <c r="H930" s="30" t="n">
        <f aca="false">1-0.2*(SC_xmb+(SC_n-1)*SC_xmt)*G930/(SC_n*SC_b)</f>
        <v>0.741</v>
      </c>
      <c r="I930" s="31" t="n">
        <f aca="false">SC_s*H930*SC_m*SC_n*SC_b*SQRT(2*g_)*G930^1.5</f>
        <v>207.760425810975</v>
      </c>
      <c r="J930" s="32" t="n">
        <f aca="false">F930+I930</f>
        <v>646.299388210032</v>
      </c>
      <c r="K930" s="32" t="n">
        <f aca="false">F930</f>
        <v>438.538962399057</v>
      </c>
      <c r="L930" s="32" t="n">
        <f aca="false">C930*1000000/dt_s+J930/2</f>
        <v>22285.4760829939</v>
      </c>
      <c r="M930" s="32" t="n">
        <f aca="false">C930*1000000/dt_s+K930/2</f>
        <v>22181.5958700884</v>
      </c>
    </row>
    <row r="931" customFormat="false" ht="15" hidden="false" customHeight="false" outlineLevel="0" collapsed="false">
      <c r="A931" s="24" t="n">
        <f aca="false">ROUND(A930+0.01,2)</f>
        <v>80.26</v>
      </c>
      <c r="B931" s="25" t="n">
        <f aca="false">INDEX(Bang_F,MATCH(A931,Bang_Z,1))+(A931-INDEX(Bang_Z,MATCH(A931,Bang_Z,1)))*(INDEX(Bang_F,MATCH(A931,Bang_Z,1)+1)-INDEX(Bang_F,MATCH(A931,Bang_Z,1)))</f>
        <v>9.35360000000001</v>
      </c>
      <c r="C931" s="25" t="n">
        <f aca="false">INDEX(Bang_W,MATCH(A931,Bang_Z,1))+(A931-INDEX(Bang_Z,MATCH(A931,Bang_Z,1)))*(INDEX(Bang_F,MATCH(A931,Bang_Z,1))+B931)/2</f>
        <v>79.1578680000001</v>
      </c>
      <c r="D931" s="26" t="n">
        <f aca="false">MAX(A931-TC_Z,0)</f>
        <v>5.56</v>
      </c>
      <c r="E931" s="27" t="n">
        <f aca="false">1-0.2*(TC_xmb+(TC_n-1)*TC_xmt)*D931/(TC_n*TC_b)</f>
        <v>0.77862962962963</v>
      </c>
      <c r="F931" s="28" t="n">
        <f aca="false">TC_s*E931*TC_m*TC_n*TC_b*SQRT(2*g_)*D931^1.5</f>
        <v>439.500000566129</v>
      </c>
      <c r="G931" s="29" t="n">
        <f aca="false">MAX(A931-SC_Z,0)</f>
        <v>9.26000000000001</v>
      </c>
      <c r="H931" s="30" t="n">
        <f aca="false">1-0.2*(SC_xmb+(SC_n-1)*SC_xmt)*G931/(SC_n*SC_b)</f>
        <v>0.74072</v>
      </c>
      <c r="I931" s="31" t="n">
        <f aca="false">SC_s*H931*SC_m*SC_n*SC_b*SQRT(2*g_)*G931^1.5</f>
        <v>208.018792344381</v>
      </c>
      <c r="J931" s="32" t="n">
        <f aca="false">F931+I931</f>
        <v>647.51879291051</v>
      </c>
      <c r="K931" s="32" t="n">
        <f aca="false">F931</f>
        <v>439.500000566129</v>
      </c>
      <c r="L931" s="32" t="n">
        <f aca="false">C931*1000000/dt_s+J931/2</f>
        <v>22312.0560631219</v>
      </c>
      <c r="M931" s="32" t="n">
        <f aca="false">C931*1000000/dt_s+K931/2</f>
        <v>22208.0466669497</v>
      </c>
    </row>
    <row r="932" customFormat="false" ht="15" hidden="false" customHeight="false" outlineLevel="0" collapsed="false">
      <c r="A932" s="24" t="n">
        <f aca="false">ROUND(A931+0.01,2)</f>
        <v>80.27</v>
      </c>
      <c r="B932" s="25" t="n">
        <f aca="false">INDEX(Bang_F,MATCH(A932,Bang_Z,1))+(A932-INDEX(Bang_Z,MATCH(A932,Bang_Z,1)))*(INDEX(Bang_F,MATCH(A932,Bang_Z,1)+1)-INDEX(Bang_F,MATCH(A932,Bang_Z,1)))</f>
        <v>9.3622</v>
      </c>
      <c r="C932" s="25" t="n">
        <f aca="false">INDEX(Bang_W,MATCH(A932,Bang_Z,1))+(A932-INDEX(Bang_Z,MATCH(A932,Bang_Z,1)))*(INDEX(Bang_F,MATCH(A932,Bang_Z,1))+B932)/2</f>
        <v>79.251447</v>
      </c>
      <c r="D932" s="26" t="n">
        <f aca="false">MAX(A932-TC_Z,0)</f>
        <v>5.56999999999999</v>
      </c>
      <c r="E932" s="27" t="n">
        <f aca="false">1-0.2*(TC_xmb+(TC_n-1)*TC_xmt)*D932/(TC_n*TC_b)</f>
        <v>0.778231481481482</v>
      </c>
      <c r="F932" s="28" t="n">
        <f aca="false">TC_s*E932*TC_m*TC_n*TC_b*SQRT(2*g_)*D932^1.5</f>
        <v>440.460892407516</v>
      </c>
      <c r="G932" s="29" t="n">
        <f aca="false">MAX(A932-SC_Z,0)</f>
        <v>9.27</v>
      </c>
      <c r="H932" s="30" t="n">
        <f aca="false">1-0.2*(SC_xmb+(SC_n-1)*SC_xmt)*G932/(SC_n*SC_b)</f>
        <v>0.74044</v>
      </c>
      <c r="I932" s="31" t="n">
        <f aca="false">SC_s*H932*SC_m*SC_n*SC_b*SQRT(2*g_)*G932^1.5</f>
        <v>208.27708607201</v>
      </c>
      <c r="J932" s="32" t="n">
        <f aca="false">F932+I932</f>
        <v>648.737978479527</v>
      </c>
      <c r="K932" s="32" t="n">
        <f aca="false">F932</f>
        <v>440.460892407516</v>
      </c>
      <c r="L932" s="32" t="n">
        <f aca="false">C932*1000000/dt_s+J932/2</f>
        <v>22338.6598225731</v>
      </c>
      <c r="M932" s="32" t="n">
        <f aca="false">C932*1000000/dt_s+K932/2</f>
        <v>22234.5212795371</v>
      </c>
    </row>
    <row r="933" customFormat="false" ht="15" hidden="false" customHeight="false" outlineLevel="0" collapsed="false">
      <c r="A933" s="24" t="n">
        <f aca="false">ROUND(A932+0.01,2)</f>
        <v>80.28</v>
      </c>
      <c r="B933" s="25" t="n">
        <f aca="false">INDEX(Bang_F,MATCH(A933,Bang_Z,1))+(A933-INDEX(Bang_Z,MATCH(A933,Bang_Z,1)))*(INDEX(Bang_F,MATCH(A933,Bang_Z,1)+1)-INDEX(Bang_F,MATCH(A933,Bang_Z,1)))</f>
        <v>9.3708</v>
      </c>
      <c r="C933" s="25" t="n">
        <f aca="false">INDEX(Bang_W,MATCH(A933,Bang_Z,1))+(A933-INDEX(Bang_Z,MATCH(A933,Bang_Z,1)))*(INDEX(Bang_F,MATCH(A933,Bang_Z,1))+B933)/2</f>
        <v>79.345112</v>
      </c>
      <c r="D933" s="26" t="n">
        <f aca="false">MAX(A933-TC_Z,0)</f>
        <v>5.58</v>
      </c>
      <c r="E933" s="27" t="n">
        <f aca="false">1-0.2*(TC_xmb+(TC_n-1)*TC_xmt)*D933/(TC_n*TC_b)</f>
        <v>0.777833333333333</v>
      </c>
      <c r="F933" s="28" t="n">
        <f aca="false">TC_s*E933*TC_m*TC_n*TC_b*SQRT(2*g_)*D933^1.5</f>
        <v>441.4216353309</v>
      </c>
      <c r="G933" s="29" t="n">
        <f aca="false">MAX(A933-SC_Z,0)</f>
        <v>9.28</v>
      </c>
      <c r="H933" s="30" t="n">
        <f aca="false">1-0.2*(SC_xmb+(SC_n-1)*SC_xmt)*G933/(SC_n*SC_b)</f>
        <v>0.74016</v>
      </c>
      <c r="I933" s="31" t="n">
        <f aca="false">SC_s*H933*SC_m*SC_n*SC_b*SQRT(2*g_)*G933^1.5</f>
        <v>208.535306689443</v>
      </c>
      <c r="J933" s="32" t="n">
        <f aca="false">F933+I933</f>
        <v>649.956942020343</v>
      </c>
      <c r="K933" s="32" t="n">
        <f aca="false">F933</f>
        <v>441.4216353309</v>
      </c>
      <c r="L933" s="32" t="n">
        <f aca="false">C933*1000000/dt_s+J933/2</f>
        <v>22365.2873598991</v>
      </c>
      <c r="M933" s="32" t="n">
        <f aca="false">C933*1000000/dt_s+K933/2</f>
        <v>22261.0197065543</v>
      </c>
    </row>
    <row r="934" customFormat="false" ht="15" hidden="false" customHeight="false" outlineLevel="0" collapsed="false">
      <c r="A934" s="24" t="n">
        <f aca="false">ROUND(A933+0.01,2)</f>
        <v>80.29</v>
      </c>
      <c r="B934" s="25" t="n">
        <f aca="false">INDEX(Bang_F,MATCH(A934,Bang_Z,1))+(A934-INDEX(Bang_Z,MATCH(A934,Bang_Z,1)))*(INDEX(Bang_F,MATCH(A934,Bang_Z,1)+1)-INDEX(Bang_F,MATCH(A934,Bang_Z,1)))</f>
        <v>9.37940000000001</v>
      </c>
      <c r="C934" s="25" t="n">
        <f aca="false">INDEX(Bang_W,MATCH(A934,Bang_Z,1))+(A934-INDEX(Bang_Z,MATCH(A934,Bang_Z,1)))*(INDEX(Bang_F,MATCH(A934,Bang_Z,1))+B934)/2</f>
        <v>79.4388630000001</v>
      </c>
      <c r="D934" s="26" t="n">
        <f aca="false">MAX(A934-TC_Z,0)</f>
        <v>5.59</v>
      </c>
      <c r="E934" s="27" t="n">
        <f aca="false">1-0.2*(TC_xmb+(TC_n-1)*TC_xmt)*D934/(TC_n*TC_b)</f>
        <v>0.777435185185185</v>
      </c>
      <c r="F934" s="28" t="n">
        <f aca="false">TC_s*E934*TC_m*TC_n*TC_b*SQRT(2*g_)*D934^1.5</f>
        <v>442.382226748488</v>
      </c>
      <c r="G934" s="29" t="n">
        <f aca="false">MAX(A934-SC_Z,0)</f>
        <v>9.29000000000001</v>
      </c>
      <c r="H934" s="30" t="n">
        <f aca="false">1-0.2*(SC_xmb+(SC_n-1)*SC_xmt)*G934/(SC_n*SC_b)</f>
        <v>0.73988</v>
      </c>
      <c r="I934" s="31" t="n">
        <f aca="false">SC_s*H934*SC_m*SC_n*SC_b*SQRT(2*g_)*G934^1.5</f>
        <v>208.793453892563</v>
      </c>
      <c r="J934" s="32" t="n">
        <f aca="false">F934+I934</f>
        <v>651.175680641051</v>
      </c>
      <c r="K934" s="32" t="n">
        <f aca="false">F934</f>
        <v>442.382226748488</v>
      </c>
      <c r="L934" s="32" t="n">
        <f aca="false">C934*1000000/dt_s+J934/2</f>
        <v>22391.9386736539</v>
      </c>
      <c r="M934" s="32" t="n">
        <f aca="false">C934*1000000/dt_s+K934/2</f>
        <v>22287.5419467076</v>
      </c>
    </row>
    <row r="935" customFormat="false" ht="15" hidden="false" customHeight="false" outlineLevel="0" collapsed="false">
      <c r="A935" s="24" t="n">
        <f aca="false">ROUND(A934+0.01,2)</f>
        <v>80.3</v>
      </c>
      <c r="B935" s="25" t="n">
        <f aca="false">INDEX(Bang_F,MATCH(A935,Bang_Z,1))+(A935-INDEX(Bang_Z,MATCH(A935,Bang_Z,1)))*(INDEX(Bang_F,MATCH(A935,Bang_Z,1)+1)-INDEX(Bang_F,MATCH(A935,Bang_Z,1)))</f>
        <v>9.388</v>
      </c>
      <c r="C935" s="25" t="n">
        <f aca="false">INDEX(Bang_W,MATCH(A935,Bang_Z,1))+(A935-INDEX(Bang_Z,MATCH(A935,Bang_Z,1)))*(INDEX(Bang_F,MATCH(A935,Bang_Z,1))+B935)/2</f>
        <v>79.5327</v>
      </c>
      <c r="D935" s="26" t="n">
        <f aca="false">MAX(A935-TC_Z,0)</f>
        <v>5.59999999999999</v>
      </c>
      <c r="E935" s="27" t="n">
        <f aca="false">1-0.2*(TC_xmb+(TC_n-1)*TC_xmt)*D935/(TC_n*TC_b)</f>
        <v>0.777037037037037</v>
      </c>
      <c r="F935" s="28" t="n">
        <f aca="false">TC_s*E935*TC_m*TC_n*TC_b*SQRT(2*g_)*D935^1.5</f>
        <v>443.342664076999</v>
      </c>
      <c r="G935" s="29" t="n">
        <f aca="false">MAX(A935-SC_Z,0)</f>
        <v>9.3</v>
      </c>
      <c r="H935" s="30" t="n">
        <f aca="false">1-0.2*(SC_xmb+(SC_n-1)*SC_xmt)*G935/(SC_n*SC_b)</f>
        <v>0.7396</v>
      </c>
      <c r="I935" s="31" t="n">
        <f aca="false">SC_s*H935*SC_m*SC_n*SC_b*SQRT(2*g_)*G935^1.5</f>
        <v>209.051527377563</v>
      </c>
      <c r="J935" s="32" t="n">
        <f aca="false">F935+I935</f>
        <v>652.394191454562</v>
      </c>
      <c r="K935" s="32" t="n">
        <f aca="false">F935</f>
        <v>443.342664076999</v>
      </c>
      <c r="L935" s="32" t="n">
        <f aca="false">C935*1000000/dt_s+J935/2</f>
        <v>22418.6137623939</v>
      </c>
      <c r="M935" s="32" t="n">
        <f aca="false">C935*1000000/dt_s+K935/2</f>
        <v>22314.0879987052</v>
      </c>
    </row>
    <row r="936" customFormat="false" ht="15" hidden="false" customHeight="false" outlineLevel="0" collapsed="false">
      <c r="A936" s="24" t="n">
        <f aca="false">ROUND(A935+0.01,2)</f>
        <v>80.31</v>
      </c>
      <c r="B936" s="25" t="n">
        <f aca="false">INDEX(Bang_F,MATCH(A936,Bang_Z,1))+(A936-INDEX(Bang_Z,MATCH(A936,Bang_Z,1)))*(INDEX(Bang_F,MATCH(A936,Bang_Z,1)+1)-INDEX(Bang_F,MATCH(A936,Bang_Z,1)))</f>
        <v>9.3966</v>
      </c>
      <c r="C936" s="25" t="n">
        <f aca="false">INDEX(Bang_W,MATCH(A936,Bang_Z,1))+(A936-INDEX(Bang_Z,MATCH(A936,Bang_Z,1)))*(INDEX(Bang_F,MATCH(A936,Bang_Z,1))+B936)/2</f>
        <v>79.626623</v>
      </c>
      <c r="D936" s="26" t="n">
        <f aca="false">MAX(A936-TC_Z,0)</f>
        <v>5.61</v>
      </c>
      <c r="E936" s="27" t="n">
        <f aca="false">1-0.2*(TC_xmb+(TC_n-1)*TC_xmt)*D936/(TC_n*TC_b)</f>
        <v>0.776638888888889</v>
      </c>
      <c r="F936" s="28" t="n">
        <f aca="false">TC_s*E936*TC_m*TC_n*TC_b*SQRT(2*g_)*D936^1.5</f>
        <v>444.302944737651</v>
      </c>
      <c r="G936" s="29" t="n">
        <f aca="false">MAX(A936-SC_Z,0)</f>
        <v>9.31</v>
      </c>
      <c r="H936" s="30" t="n">
        <f aca="false">1-0.2*(SC_xmb+(SC_n-1)*SC_xmt)*G936/(SC_n*SC_b)</f>
        <v>0.73932</v>
      </c>
      <c r="I936" s="31" t="n">
        <f aca="false">SC_s*H936*SC_m*SC_n*SC_b*SQRT(2*g_)*G936^1.5</f>
        <v>209.30952684094</v>
      </c>
      <c r="J936" s="32" t="n">
        <f aca="false">F936+I936</f>
        <v>653.612471578591</v>
      </c>
      <c r="K936" s="32" t="n">
        <f aca="false">F936</f>
        <v>444.302944737651</v>
      </c>
      <c r="L936" s="32" t="n">
        <f aca="false">C936*1000000/dt_s+J936/2</f>
        <v>22445.3126246782</v>
      </c>
      <c r="M936" s="32" t="n">
        <f aca="false">C936*1000000/dt_s+K936/2</f>
        <v>22340.6578612577</v>
      </c>
    </row>
    <row r="937" customFormat="false" ht="15" hidden="false" customHeight="false" outlineLevel="0" collapsed="false">
      <c r="A937" s="24" t="n">
        <f aca="false">ROUND(A936+0.01,2)</f>
        <v>80.32</v>
      </c>
      <c r="B937" s="25" t="n">
        <f aca="false">INDEX(Bang_F,MATCH(A937,Bang_Z,1))+(A937-INDEX(Bang_Z,MATCH(A937,Bang_Z,1)))*(INDEX(Bang_F,MATCH(A937,Bang_Z,1)+1)-INDEX(Bang_F,MATCH(A937,Bang_Z,1)))</f>
        <v>9.4052</v>
      </c>
      <c r="C937" s="25" t="n">
        <f aca="false">INDEX(Bang_W,MATCH(A937,Bang_Z,1))+(A937-INDEX(Bang_Z,MATCH(A937,Bang_Z,1)))*(INDEX(Bang_F,MATCH(A937,Bang_Z,1))+B937)/2</f>
        <v>79.7206319999999</v>
      </c>
      <c r="D937" s="26" t="n">
        <f aca="false">MAX(A937-TC_Z,0)</f>
        <v>5.61999999999999</v>
      </c>
      <c r="E937" s="27" t="n">
        <f aca="false">1-0.2*(TC_xmb+(TC_n-1)*TC_xmt)*D937/(TC_n*TC_b)</f>
        <v>0.776240740740741</v>
      </c>
      <c r="F937" s="28" t="n">
        <f aca="false">TC_s*E937*TC_m*TC_n*TC_b*SQRT(2*g_)*D937^1.5</f>
        <v>445.263066156133</v>
      </c>
      <c r="G937" s="29" t="n">
        <f aca="false">MAX(A937-SC_Z,0)</f>
        <v>9.31999999999999</v>
      </c>
      <c r="H937" s="30" t="n">
        <f aca="false">1-0.2*(SC_xmb+(SC_n-1)*SC_xmt)*G937/(SC_n*SC_b)</f>
        <v>0.73904</v>
      </c>
      <c r="I937" s="31" t="n">
        <f aca="false">SC_s*H937*SC_m*SC_n*SC_b*SQRT(2*g_)*G937^1.5</f>
        <v>209.567451979496</v>
      </c>
      <c r="J937" s="32" t="n">
        <f aca="false">F937+I937</f>
        <v>654.830518135629</v>
      </c>
      <c r="K937" s="32" t="n">
        <f aca="false">F937</f>
        <v>445.263066156133</v>
      </c>
      <c r="L937" s="32" t="n">
        <f aca="false">C937*1000000/dt_s+J937/2</f>
        <v>22472.0352590678</v>
      </c>
      <c r="M937" s="32" t="n">
        <f aca="false">C937*1000000/dt_s+K937/2</f>
        <v>22367.2515330781</v>
      </c>
    </row>
    <row r="938" customFormat="false" ht="15" hidden="false" customHeight="false" outlineLevel="0" collapsed="false">
      <c r="A938" s="24" t="n">
        <f aca="false">ROUND(A937+0.01,2)</f>
        <v>80.33</v>
      </c>
      <c r="B938" s="25" t="n">
        <f aca="false">INDEX(Bang_F,MATCH(A938,Bang_Z,1))+(A938-INDEX(Bang_Z,MATCH(A938,Bang_Z,1)))*(INDEX(Bang_F,MATCH(A938,Bang_Z,1)+1)-INDEX(Bang_F,MATCH(A938,Bang_Z,1)))</f>
        <v>9.4138</v>
      </c>
      <c r="C938" s="25" t="n">
        <f aca="false">INDEX(Bang_W,MATCH(A938,Bang_Z,1))+(A938-INDEX(Bang_Z,MATCH(A938,Bang_Z,1)))*(INDEX(Bang_F,MATCH(A938,Bang_Z,1))+B938)/2</f>
        <v>79.814727</v>
      </c>
      <c r="D938" s="26" t="n">
        <f aca="false">MAX(A938-TC_Z,0)</f>
        <v>5.63</v>
      </c>
      <c r="E938" s="27" t="n">
        <f aca="false">1-0.2*(TC_xmb+(TC_n-1)*TC_xmt)*D938/(TC_n*TC_b)</f>
        <v>0.775842592592593</v>
      </c>
      <c r="F938" s="28" t="n">
        <f aca="false">TC_s*E938*TC_m*TC_n*TC_b*SQRT(2*g_)*D938^1.5</f>
        <v>446.223025762596</v>
      </c>
      <c r="G938" s="29" t="n">
        <f aca="false">MAX(A938-SC_Z,0)</f>
        <v>9.33</v>
      </c>
      <c r="H938" s="30" t="n">
        <f aca="false">1-0.2*(SC_xmb+(SC_n-1)*SC_xmt)*G938/(SC_n*SC_b)</f>
        <v>0.73876</v>
      </c>
      <c r="I938" s="31" t="n">
        <f aca="false">SC_s*H938*SC_m*SC_n*SC_b*SQRT(2*g_)*G938^1.5</f>
        <v>209.825302490337</v>
      </c>
      <c r="J938" s="32" t="n">
        <f aca="false">F938+I938</f>
        <v>656.048328252933</v>
      </c>
      <c r="K938" s="32" t="n">
        <f aca="false">F938</f>
        <v>446.223025762596</v>
      </c>
      <c r="L938" s="32" t="n">
        <f aca="false">C938*1000000/dt_s+J938/2</f>
        <v>22498.7816641265</v>
      </c>
      <c r="M938" s="32" t="n">
        <f aca="false">C938*1000000/dt_s+K938/2</f>
        <v>22393.8690128813</v>
      </c>
    </row>
    <row r="939" customFormat="false" ht="15" hidden="false" customHeight="false" outlineLevel="0" collapsed="false">
      <c r="A939" s="24" t="n">
        <f aca="false">ROUND(A938+0.01,2)</f>
        <v>80.34</v>
      </c>
      <c r="B939" s="25" t="n">
        <f aca="false">INDEX(Bang_F,MATCH(A939,Bang_Z,1))+(A939-INDEX(Bang_Z,MATCH(A939,Bang_Z,1)))*(INDEX(Bang_F,MATCH(A939,Bang_Z,1)+1)-INDEX(Bang_F,MATCH(A939,Bang_Z,1)))</f>
        <v>9.4224</v>
      </c>
      <c r="C939" s="25" t="n">
        <f aca="false">INDEX(Bang_W,MATCH(A939,Bang_Z,1))+(A939-INDEX(Bang_Z,MATCH(A939,Bang_Z,1)))*(INDEX(Bang_F,MATCH(A939,Bang_Z,1))+B939)/2</f>
        <v>79.908908</v>
      </c>
      <c r="D939" s="26" t="n">
        <f aca="false">MAX(A939-TC_Z,0)</f>
        <v>5.64</v>
      </c>
      <c r="E939" s="27" t="n">
        <f aca="false">1-0.2*(TC_xmb+(TC_n-1)*TC_xmt)*D939/(TC_n*TC_b)</f>
        <v>0.775444444444444</v>
      </c>
      <c r="F939" s="28" t="n">
        <f aca="false">TC_s*E939*TC_m*TC_n*TC_b*SQRT(2*g_)*D939^1.5</f>
        <v>447.182820991628</v>
      </c>
      <c r="G939" s="29" t="n">
        <f aca="false">MAX(A939-SC_Z,0)</f>
        <v>9.34</v>
      </c>
      <c r="H939" s="30" t="n">
        <f aca="false">1-0.2*(SC_xmb+(SC_n-1)*SC_xmt)*G939/(SC_n*SC_b)</f>
        <v>0.73848</v>
      </c>
      <c r="I939" s="31" t="n">
        <f aca="false">SC_s*H939*SC_m*SC_n*SC_b*SQRT(2*g_)*G939^1.5</f>
        <v>210.083078070874</v>
      </c>
      <c r="J939" s="32" t="n">
        <f aca="false">F939+I939</f>
        <v>657.265899062502</v>
      </c>
      <c r="K939" s="32" t="n">
        <f aca="false">F939</f>
        <v>447.182820991628</v>
      </c>
      <c r="L939" s="32" t="n">
        <f aca="false">C939*1000000/dt_s+J939/2</f>
        <v>22525.5518384201</v>
      </c>
      <c r="M939" s="32" t="n">
        <f aca="false">C939*1000000/dt_s+K939/2</f>
        <v>22420.5102993847</v>
      </c>
    </row>
    <row r="940" customFormat="false" ht="15" hidden="false" customHeight="false" outlineLevel="0" collapsed="false">
      <c r="A940" s="24" t="n">
        <f aca="false">ROUND(A939+0.01,2)</f>
        <v>80.35</v>
      </c>
      <c r="B940" s="25" t="n">
        <f aca="false">INDEX(Bang_F,MATCH(A940,Bang_Z,1))+(A940-INDEX(Bang_Z,MATCH(A940,Bang_Z,1)))*(INDEX(Bang_F,MATCH(A940,Bang_Z,1)+1)-INDEX(Bang_F,MATCH(A940,Bang_Z,1)))</f>
        <v>9.431</v>
      </c>
      <c r="C940" s="25" t="n">
        <f aca="false">INDEX(Bang_W,MATCH(A940,Bang_Z,1))+(A940-INDEX(Bang_Z,MATCH(A940,Bang_Z,1)))*(INDEX(Bang_F,MATCH(A940,Bang_Z,1))+B940)/2</f>
        <v>80.0031749999999</v>
      </c>
      <c r="D940" s="26" t="n">
        <f aca="false">MAX(A940-TC_Z,0)</f>
        <v>5.64999999999999</v>
      </c>
      <c r="E940" s="27" t="n">
        <f aca="false">1-0.2*(TC_xmb+(TC_n-1)*TC_xmt)*D940/(TC_n*TC_b)</f>
        <v>0.775046296296297</v>
      </c>
      <c r="F940" s="28" t="n">
        <f aca="false">TC_s*E940*TC_m*TC_n*TC_b*SQRT(2*g_)*D940^1.5</f>
        <v>448.142449282242</v>
      </c>
      <c r="G940" s="29" t="n">
        <f aca="false">MAX(A940-SC_Z,0)</f>
        <v>9.34999999999999</v>
      </c>
      <c r="H940" s="30" t="n">
        <f aca="false">1-0.2*(SC_xmb+(SC_n-1)*SC_xmt)*G940/(SC_n*SC_b)</f>
        <v>0.7382</v>
      </c>
      <c r="I940" s="31" t="n">
        <f aca="false">SC_s*H940*SC_m*SC_n*SC_b*SQRT(2*g_)*G940^1.5</f>
        <v>210.340778418817</v>
      </c>
      <c r="J940" s="32" t="n">
        <f aca="false">F940+I940</f>
        <v>658.483227701059</v>
      </c>
      <c r="K940" s="32" t="n">
        <f aca="false">F940</f>
        <v>448.142449282242</v>
      </c>
      <c r="L940" s="32" t="n">
        <f aca="false">C940*1000000/dt_s+J940/2</f>
        <v>22552.3457805172</v>
      </c>
      <c r="M940" s="32" t="n">
        <f aca="false">C940*1000000/dt_s+K940/2</f>
        <v>22447.1753913078</v>
      </c>
    </row>
    <row r="941" customFormat="false" ht="15" hidden="false" customHeight="false" outlineLevel="0" collapsed="false">
      <c r="A941" s="24" t="n">
        <f aca="false">ROUND(A940+0.01,2)</f>
        <v>80.36</v>
      </c>
      <c r="B941" s="25" t="n">
        <f aca="false">INDEX(Bang_F,MATCH(A941,Bang_Z,1))+(A941-INDEX(Bang_Z,MATCH(A941,Bang_Z,1)))*(INDEX(Bang_F,MATCH(A941,Bang_Z,1)+1)-INDEX(Bang_F,MATCH(A941,Bang_Z,1)))</f>
        <v>9.4396</v>
      </c>
      <c r="C941" s="25" t="n">
        <f aca="false">INDEX(Bang_W,MATCH(A941,Bang_Z,1))+(A941-INDEX(Bang_Z,MATCH(A941,Bang_Z,1)))*(INDEX(Bang_F,MATCH(A941,Bang_Z,1))+B941)/2</f>
        <v>80.097528</v>
      </c>
      <c r="D941" s="26" t="n">
        <f aca="false">MAX(A941-TC_Z,0)</f>
        <v>5.66</v>
      </c>
      <c r="E941" s="27" t="n">
        <f aca="false">1-0.2*(TC_xmb+(TC_n-1)*TC_xmt)*D941/(TC_n*TC_b)</f>
        <v>0.774648148148148</v>
      </c>
      <c r="F941" s="28" t="n">
        <f aca="false">TC_s*E941*TC_m*TC_n*TC_b*SQRT(2*g_)*D941^1.5</f>
        <v>449.101908077859</v>
      </c>
      <c r="G941" s="29" t="n">
        <f aca="false">MAX(A941-SC_Z,0)</f>
        <v>9.36</v>
      </c>
      <c r="H941" s="30" t="n">
        <f aca="false">1-0.2*(SC_xmb+(SC_n-1)*SC_xmt)*G941/(SC_n*SC_b)</f>
        <v>0.73792</v>
      </c>
      <c r="I941" s="31" t="n">
        <f aca="false">SC_s*H941*SC_m*SC_n*SC_b*SQRT(2*g_)*G941^1.5</f>
        <v>210.598403232181</v>
      </c>
      <c r="J941" s="32" t="n">
        <f aca="false">F941+I941</f>
        <v>659.700311310041</v>
      </c>
      <c r="K941" s="32" t="n">
        <f aca="false">F941</f>
        <v>449.101908077859</v>
      </c>
      <c r="L941" s="32" t="n">
        <f aca="false">C941*1000000/dt_s+J941/2</f>
        <v>22579.1634889884</v>
      </c>
      <c r="M941" s="32" t="n">
        <f aca="false">C941*1000000/dt_s+K941/2</f>
        <v>22473.8642873723</v>
      </c>
    </row>
    <row r="942" customFormat="false" ht="15" hidden="false" customHeight="false" outlineLevel="0" collapsed="false">
      <c r="A942" s="24" t="n">
        <f aca="false">ROUND(A941+0.01,2)</f>
        <v>80.37</v>
      </c>
      <c r="B942" s="25" t="n">
        <f aca="false">INDEX(Bang_F,MATCH(A942,Bang_Z,1))+(A942-INDEX(Bang_Z,MATCH(A942,Bang_Z,1)))*(INDEX(Bang_F,MATCH(A942,Bang_Z,1)+1)-INDEX(Bang_F,MATCH(A942,Bang_Z,1)))</f>
        <v>9.44820000000001</v>
      </c>
      <c r="C942" s="25" t="n">
        <f aca="false">INDEX(Bang_W,MATCH(A942,Bang_Z,1))+(A942-INDEX(Bang_Z,MATCH(A942,Bang_Z,1)))*(INDEX(Bang_F,MATCH(A942,Bang_Z,1))+B942)/2</f>
        <v>80.191967</v>
      </c>
      <c r="D942" s="26" t="n">
        <f aca="false">MAX(A942-TC_Z,0)</f>
        <v>5.67</v>
      </c>
      <c r="E942" s="27" t="n">
        <f aca="false">1-0.2*(TC_xmb+(TC_n-1)*TC_xmt)*D942/(TC_n*TC_b)</f>
        <v>0.77425</v>
      </c>
      <c r="F942" s="28" t="n">
        <f aca="false">TC_s*E942*TC_m*TC_n*TC_b*SQRT(2*g_)*D942^1.5</f>
        <v>450.061194826285</v>
      </c>
      <c r="G942" s="29" t="n">
        <f aca="false">MAX(A942-SC_Z,0)</f>
        <v>9.37000000000001</v>
      </c>
      <c r="H942" s="30" t="n">
        <f aca="false">1-0.2*(SC_xmb+(SC_n-1)*SC_xmt)*G942/(SC_n*SC_b)</f>
        <v>0.73764</v>
      </c>
      <c r="I942" s="31" t="n">
        <f aca="false">SC_s*H942*SC_m*SC_n*SC_b*SQRT(2*g_)*G942^1.5</f>
        <v>210.855952209282</v>
      </c>
      <c r="J942" s="32" t="n">
        <f aca="false">F942+I942</f>
        <v>660.917147035567</v>
      </c>
      <c r="K942" s="32" t="n">
        <f aca="false">F942</f>
        <v>450.061194826285</v>
      </c>
      <c r="L942" s="32" t="n">
        <f aca="false">C942*1000000/dt_s+J942/2</f>
        <v>22606.0049624067</v>
      </c>
      <c r="M942" s="32" t="n">
        <f aca="false">C942*1000000/dt_s+K942/2</f>
        <v>22500.576986302</v>
      </c>
    </row>
    <row r="943" customFormat="false" ht="15" hidden="false" customHeight="false" outlineLevel="0" collapsed="false">
      <c r="A943" s="24" t="n">
        <f aca="false">ROUND(A942+0.01,2)</f>
        <v>80.38</v>
      </c>
      <c r="B943" s="25" t="n">
        <f aca="false">INDEX(Bang_F,MATCH(A943,Bang_Z,1))+(A943-INDEX(Bang_Z,MATCH(A943,Bang_Z,1)))*(INDEX(Bang_F,MATCH(A943,Bang_Z,1)+1)-INDEX(Bang_F,MATCH(A943,Bang_Z,1)))</f>
        <v>9.4568</v>
      </c>
      <c r="C943" s="25" t="n">
        <f aca="false">INDEX(Bang_W,MATCH(A943,Bang_Z,1))+(A943-INDEX(Bang_Z,MATCH(A943,Bang_Z,1)))*(INDEX(Bang_F,MATCH(A943,Bang_Z,1))+B943)/2</f>
        <v>80.286492</v>
      </c>
      <c r="D943" s="26" t="n">
        <f aca="false">MAX(A943-TC_Z,0)</f>
        <v>5.67999999999999</v>
      </c>
      <c r="E943" s="27" t="n">
        <f aca="false">1-0.2*(TC_xmb+(TC_n-1)*TC_xmt)*D943/(TC_n*TC_b)</f>
        <v>0.773851851851852</v>
      </c>
      <c r="F943" s="28" t="n">
        <f aca="false">TC_s*E943*TC_m*TC_n*TC_b*SQRT(2*g_)*D943^1.5</f>
        <v>451.020306979696</v>
      </c>
      <c r="G943" s="29" t="n">
        <f aca="false">MAX(A943-SC_Z,0)</f>
        <v>9.38</v>
      </c>
      <c r="H943" s="30" t="n">
        <f aca="false">1-0.2*(SC_xmb+(SC_n-1)*SC_xmt)*G943/(SC_n*SC_b)</f>
        <v>0.73736</v>
      </c>
      <c r="I943" s="31" t="n">
        <f aca="false">SC_s*H943*SC_m*SC_n*SC_b*SQRT(2*g_)*G943^1.5</f>
        <v>211.113425048735</v>
      </c>
      <c r="J943" s="32" t="n">
        <f aca="false">F943+I943</f>
        <v>662.133732028431</v>
      </c>
      <c r="K943" s="32" t="n">
        <f aca="false">F943</f>
        <v>451.020306979696</v>
      </c>
      <c r="L943" s="32" t="n">
        <f aca="false">C943*1000000/dt_s+J943/2</f>
        <v>22632.8701993475</v>
      </c>
      <c r="M943" s="32" t="n">
        <f aca="false">C943*1000000/dt_s+K943/2</f>
        <v>22527.3134868232</v>
      </c>
    </row>
    <row r="944" customFormat="false" ht="15" hidden="false" customHeight="false" outlineLevel="0" collapsed="false">
      <c r="A944" s="24" t="n">
        <f aca="false">ROUND(A943+0.01,2)</f>
        <v>80.39</v>
      </c>
      <c r="B944" s="25" t="n">
        <f aca="false">INDEX(Bang_F,MATCH(A944,Bang_Z,1))+(A944-INDEX(Bang_Z,MATCH(A944,Bang_Z,1)))*(INDEX(Bang_F,MATCH(A944,Bang_Z,1)+1)-INDEX(Bang_F,MATCH(A944,Bang_Z,1)))</f>
        <v>9.4654</v>
      </c>
      <c r="C944" s="25" t="n">
        <f aca="false">INDEX(Bang_W,MATCH(A944,Bang_Z,1))+(A944-INDEX(Bang_Z,MATCH(A944,Bang_Z,1)))*(INDEX(Bang_F,MATCH(A944,Bang_Z,1))+B944)/2</f>
        <v>80.381103</v>
      </c>
      <c r="D944" s="26" t="n">
        <f aca="false">MAX(A944-TC_Z,0)</f>
        <v>5.69</v>
      </c>
      <c r="E944" s="27" t="n">
        <f aca="false">1-0.2*(TC_xmb+(TC_n-1)*TC_xmt)*D944/(TC_n*TC_b)</f>
        <v>0.773453703703704</v>
      </c>
      <c r="F944" s="28" t="n">
        <f aca="false">TC_s*E944*TC_m*TC_n*TC_b*SQRT(2*g_)*D944^1.5</f>
        <v>451.979241994627</v>
      </c>
      <c r="G944" s="29" t="n">
        <f aca="false">MAX(A944-SC_Z,0)</f>
        <v>9.39</v>
      </c>
      <c r="H944" s="30" t="n">
        <f aca="false">1-0.2*(SC_xmb+(SC_n-1)*SC_xmt)*G944/(SC_n*SC_b)</f>
        <v>0.73708</v>
      </c>
      <c r="I944" s="31" t="n">
        <f aca="false">SC_s*H944*SC_m*SC_n*SC_b*SQRT(2*g_)*G944^1.5</f>
        <v>211.370821449455</v>
      </c>
      <c r="J944" s="32" t="n">
        <f aca="false">F944+I944</f>
        <v>663.350063444082</v>
      </c>
      <c r="K944" s="32" t="n">
        <f aca="false">F944</f>
        <v>451.979241994627</v>
      </c>
      <c r="L944" s="32" t="n">
        <f aca="false">C944*1000000/dt_s+J944/2</f>
        <v>22659.7591983887</v>
      </c>
      <c r="M944" s="32" t="n">
        <f aca="false">C944*1000000/dt_s+K944/2</f>
        <v>22554.073787664</v>
      </c>
    </row>
    <row r="945" customFormat="false" ht="15" hidden="false" customHeight="false" outlineLevel="0" collapsed="false">
      <c r="A945" s="24" t="n">
        <f aca="false">ROUND(A944+0.01,2)</f>
        <v>80.4</v>
      </c>
      <c r="B945" s="25" t="n">
        <f aca="false">INDEX(Bang_F,MATCH(A945,Bang_Z,1))+(A945-INDEX(Bang_Z,MATCH(A945,Bang_Z,1)))*(INDEX(Bang_F,MATCH(A945,Bang_Z,1)+1)-INDEX(Bang_F,MATCH(A945,Bang_Z,1)))</f>
        <v>9.47400000000001</v>
      </c>
      <c r="C945" s="25" t="n">
        <f aca="false">INDEX(Bang_W,MATCH(A945,Bang_Z,1))+(A945-INDEX(Bang_Z,MATCH(A945,Bang_Z,1)))*(INDEX(Bang_F,MATCH(A945,Bang_Z,1))+B945)/2</f>
        <v>80.4758000000001</v>
      </c>
      <c r="D945" s="26" t="n">
        <f aca="false">MAX(A945-TC_Z,0)</f>
        <v>5.7</v>
      </c>
      <c r="E945" s="27" t="n">
        <f aca="false">1-0.2*(TC_xmb+(TC_n-1)*TC_xmt)*D945/(TC_n*TC_b)</f>
        <v>0.773055555555555</v>
      </c>
      <c r="F945" s="28" t="n">
        <f aca="false">TC_s*E945*TC_m*TC_n*TC_b*SQRT(2*g_)*D945^1.5</f>
        <v>452.937997331945</v>
      </c>
      <c r="G945" s="29" t="n">
        <f aca="false">MAX(A945-SC_Z,0)</f>
        <v>9.40000000000001</v>
      </c>
      <c r="H945" s="30" t="n">
        <f aca="false">1-0.2*(SC_xmb+(SC_n-1)*SC_xmt)*G945/(SC_n*SC_b)</f>
        <v>0.7368</v>
      </c>
      <c r="I945" s="31" t="n">
        <f aca="false">SC_s*H945*SC_m*SC_n*SC_b*SQRT(2*g_)*G945^1.5</f>
        <v>211.628141110659</v>
      </c>
      <c r="J945" s="32" t="n">
        <f aca="false">F945+I945</f>
        <v>664.566138442604</v>
      </c>
      <c r="K945" s="32" t="n">
        <f aca="false">F945</f>
        <v>452.937997331945</v>
      </c>
      <c r="L945" s="32" t="n">
        <f aca="false">C945*1000000/dt_s+J945/2</f>
        <v>22686.6719581102</v>
      </c>
      <c r="M945" s="32" t="n">
        <f aca="false">C945*1000000/dt_s+K945/2</f>
        <v>22580.8578875549</v>
      </c>
    </row>
    <row r="946" customFormat="false" ht="15" hidden="false" customHeight="false" outlineLevel="0" collapsed="false">
      <c r="A946" s="24" t="n">
        <f aca="false">ROUND(A945+0.01,2)</f>
        <v>80.41</v>
      </c>
      <c r="B946" s="25" t="n">
        <f aca="false">INDEX(Bang_F,MATCH(A946,Bang_Z,1))+(A946-INDEX(Bang_Z,MATCH(A946,Bang_Z,1)))*(INDEX(Bang_F,MATCH(A946,Bang_Z,1)+1)-INDEX(Bang_F,MATCH(A946,Bang_Z,1)))</f>
        <v>9.4826</v>
      </c>
      <c r="C946" s="25" t="n">
        <f aca="false">INDEX(Bang_W,MATCH(A946,Bang_Z,1))+(A946-INDEX(Bang_Z,MATCH(A946,Bang_Z,1)))*(INDEX(Bang_F,MATCH(A946,Bang_Z,1))+B946)/2</f>
        <v>80.570583</v>
      </c>
      <c r="D946" s="26" t="n">
        <f aca="false">MAX(A946-TC_Z,0)</f>
        <v>5.70999999999999</v>
      </c>
      <c r="E946" s="27" t="n">
        <f aca="false">1-0.2*(TC_xmb+(TC_n-1)*TC_xmt)*D946/(TC_n*TC_b)</f>
        <v>0.772657407407408</v>
      </c>
      <c r="F946" s="28" t="n">
        <f aca="false">TC_s*E946*TC_m*TC_n*TC_b*SQRT(2*g_)*D946^1.5</f>
        <v>453.896570456838</v>
      </c>
      <c r="G946" s="29" t="n">
        <f aca="false">MAX(A946-SC_Z,0)</f>
        <v>9.41</v>
      </c>
      <c r="H946" s="30" t="n">
        <f aca="false">1-0.2*(SC_xmb+(SC_n-1)*SC_xmt)*G946/(SC_n*SC_b)</f>
        <v>0.73652</v>
      </c>
      <c r="I946" s="31" t="n">
        <f aca="false">SC_s*H946*SC_m*SC_n*SC_b*SQRT(2*g_)*G946^1.5</f>
        <v>211.885383731857</v>
      </c>
      <c r="J946" s="32" t="n">
        <f aca="false">F946+I946</f>
        <v>665.781954188695</v>
      </c>
      <c r="K946" s="32" t="n">
        <f aca="false">F946</f>
        <v>453.896570456838</v>
      </c>
      <c r="L946" s="32" t="n">
        <f aca="false">C946*1000000/dt_s+J946/2</f>
        <v>22713.6084770943</v>
      </c>
      <c r="M946" s="32" t="n">
        <f aca="false">C946*1000000/dt_s+K946/2</f>
        <v>22607.6657852284</v>
      </c>
    </row>
    <row r="947" customFormat="false" ht="15" hidden="false" customHeight="false" outlineLevel="0" collapsed="false">
      <c r="A947" s="24" t="n">
        <f aca="false">ROUND(A946+0.01,2)</f>
        <v>80.42</v>
      </c>
      <c r="B947" s="25" t="n">
        <f aca="false">INDEX(Bang_F,MATCH(A947,Bang_Z,1))+(A947-INDEX(Bang_Z,MATCH(A947,Bang_Z,1)))*(INDEX(Bang_F,MATCH(A947,Bang_Z,1)+1)-INDEX(Bang_F,MATCH(A947,Bang_Z,1)))</f>
        <v>9.4912</v>
      </c>
      <c r="C947" s="25" t="n">
        <f aca="false">INDEX(Bang_W,MATCH(A947,Bang_Z,1))+(A947-INDEX(Bang_Z,MATCH(A947,Bang_Z,1)))*(INDEX(Bang_F,MATCH(A947,Bang_Z,1))+B947)/2</f>
        <v>80.665452</v>
      </c>
      <c r="D947" s="26" t="n">
        <f aca="false">MAX(A947-TC_Z,0)</f>
        <v>5.72</v>
      </c>
      <c r="E947" s="27" t="n">
        <f aca="false">1-0.2*(TC_xmb+(TC_n-1)*TC_xmt)*D947/(TC_n*TC_b)</f>
        <v>0.772259259259259</v>
      </c>
      <c r="F947" s="28" t="n">
        <f aca="false">TC_s*E947*TC_m*TC_n*TC_b*SQRT(2*g_)*D947^1.5</f>
        <v>454.854958838801</v>
      </c>
      <c r="G947" s="29" t="n">
        <f aca="false">MAX(A947-SC_Z,0)</f>
        <v>9.42</v>
      </c>
      <c r="H947" s="30" t="n">
        <f aca="false">1-0.2*(SC_xmb+(SC_n-1)*SC_xmt)*G947/(SC_n*SC_b)</f>
        <v>0.73624</v>
      </c>
      <c r="I947" s="31" t="n">
        <f aca="false">SC_s*H947*SC_m*SC_n*SC_b*SQRT(2*g_)*G947^1.5</f>
        <v>212.142549012862</v>
      </c>
      <c r="J947" s="32" t="n">
        <f aca="false">F947+I947</f>
        <v>666.997507851663</v>
      </c>
      <c r="K947" s="32" t="n">
        <f aca="false">F947</f>
        <v>454.854958838801</v>
      </c>
      <c r="L947" s="32" t="n">
        <f aca="false">C947*1000000/dt_s+J947/2</f>
        <v>22740.5687539258</v>
      </c>
      <c r="M947" s="32" t="n">
        <f aca="false">C947*1000000/dt_s+K947/2</f>
        <v>22634.4974794194</v>
      </c>
    </row>
    <row r="948" customFormat="false" ht="15" hidden="false" customHeight="false" outlineLevel="0" collapsed="false">
      <c r="A948" s="24" t="n">
        <f aca="false">ROUND(A947+0.01,2)</f>
        <v>80.43</v>
      </c>
      <c r="B948" s="25" t="n">
        <f aca="false">INDEX(Bang_F,MATCH(A948,Bang_Z,1))+(A948-INDEX(Bang_Z,MATCH(A948,Bang_Z,1)))*(INDEX(Bang_F,MATCH(A948,Bang_Z,1)+1)-INDEX(Bang_F,MATCH(A948,Bang_Z,1)))</f>
        <v>9.49980000000001</v>
      </c>
      <c r="C948" s="25" t="n">
        <f aca="false">INDEX(Bang_W,MATCH(A948,Bang_Z,1))+(A948-INDEX(Bang_Z,MATCH(A948,Bang_Z,1)))*(INDEX(Bang_F,MATCH(A948,Bang_Z,1))+B948)/2</f>
        <v>80.7604070000001</v>
      </c>
      <c r="D948" s="26" t="n">
        <f aca="false">MAX(A948-TC_Z,0)</f>
        <v>5.73</v>
      </c>
      <c r="E948" s="27" t="n">
        <f aca="false">1-0.2*(TC_xmb+(TC_n-1)*TC_xmt)*D948/(TC_n*TC_b)</f>
        <v>0.771861111111111</v>
      </c>
      <c r="F948" s="28" t="n">
        <f aca="false">TC_s*E948*TC_m*TC_n*TC_b*SQRT(2*g_)*D948^1.5</f>
        <v>455.81315995161</v>
      </c>
      <c r="G948" s="29" t="n">
        <f aca="false">MAX(A948-SC_Z,0)</f>
        <v>9.43000000000001</v>
      </c>
      <c r="H948" s="30" t="n">
        <f aca="false">1-0.2*(SC_xmb+(SC_n-1)*SC_xmt)*G948/(SC_n*SC_b)</f>
        <v>0.73596</v>
      </c>
      <c r="I948" s="31" t="n">
        <f aca="false">SC_s*H948*SC_m*SC_n*SC_b*SQRT(2*g_)*G948^1.5</f>
        <v>212.399636653782</v>
      </c>
      <c r="J948" s="32" t="n">
        <f aca="false">F948+I948</f>
        <v>668.212796605391</v>
      </c>
      <c r="K948" s="32" t="n">
        <f aca="false">F948</f>
        <v>455.81315995161</v>
      </c>
      <c r="L948" s="32" t="n">
        <f aca="false">C948*1000000/dt_s+J948/2</f>
        <v>22767.5527871916</v>
      </c>
      <c r="M948" s="32" t="n">
        <f aca="false">C948*1000000/dt_s+K948/2</f>
        <v>22661.3529688647</v>
      </c>
    </row>
    <row r="949" customFormat="false" ht="15" hidden="false" customHeight="false" outlineLevel="0" collapsed="false">
      <c r="A949" s="24" t="n">
        <f aca="false">ROUND(A948+0.01,2)</f>
        <v>80.44</v>
      </c>
      <c r="B949" s="25" t="n">
        <f aca="false">INDEX(Bang_F,MATCH(A949,Bang_Z,1))+(A949-INDEX(Bang_Z,MATCH(A949,Bang_Z,1)))*(INDEX(Bang_F,MATCH(A949,Bang_Z,1)+1)-INDEX(Bang_F,MATCH(A949,Bang_Z,1)))</f>
        <v>9.5084</v>
      </c>
      <c r="C949" s="25" t="n">
        <f aca="false">INDEX(Bang_W,MATCH(A949,Bang_Z,1))+(A949-INDEX(Bang_Z,MATCH(A949,Bang_Z,1)))*(INDEX(Bang_F,MATCH(A949,Bang_Z,1))+B949)/2</f>
        <v>80.855448</v>
      </c>
      <c r="D949" s="26" t="n">
        <f aca="false">MAX(A949-TC_Z,0)</f>
        <v>5.74</v>
      </c>
      <c r="E949" s="27" t="n">
        <f aca="false">1-0.2*(TC_xmb+(TC_n-1)*TC_xmt)*D949/(TC_n*TC_b)</f>
        <v>0.771462962962963</v>
      </c>
      <c r="F949" s="28" t="n">
        <f aca="false">TC_s*E949*TC_m*TC_n*TC_b*SQRT(2*g_)*D949^1.5</f>
        <v>456.771171273311</v>
      </c>
      <c r="G949" s="29" t="n">
        <f aca="false">MAX(A949-SC_Z,0)</f>
        <v>9.44</v>
      </c>
      <c r="H949" s="30" t="n">
        <f aca="false">1-0.2*(SC_xmb+(SC_n-1)*SC_xmt)*G949/(SC_n*SC_b)</f>
        <v>0.73568</v>
      </c>
      <c r="I949" s="31" t="n">
        <f aca="false">SC_s*H949*SC_m*SC_n*SC_b*SQRT(2*g_)*G949^1.5</f>
        <v>212.656646355019</v>
      </c>
      <c r="J949" s="32" t="n">
        <f aca="false">F949+I949</f>
        <v>669.42781762833</v>
      </c>
      <c r="K949" s="32" t="n">
        <f aca="false">F949</f>
        <v>456.771171273311</v>
      </c>
      <c r="L949" s="32" t="n">
        <f aca="false">C949*1000000/dt_s+J949/2</f>
        <v>22794.5605754808</v>
      </c>
      <c r="M949" s="32" t="n">
        <f aca="false">C949*1000000/dt_s+K949/2</f>
        <v>22688.2322523033</v>
      </c>
    </row>
    <row r="950" customFormat="false" ht="15" hidden="false" customHeight="false" outlineLevel="0" collapsed="false">
      <c r="A950" s="24" t="n">
        <f aca="false">ROUND(A949+0.01,2)</f>
        <v>80.45</v>
      </c>
      <c r="B950" s="25" t="n">
        <f aca="false">INDEX(Bang_F,MATCH(A950,Bang_Z,1))+(A950-INDEX(Bang_Z,MATCH(A950,Bang_Z,1)))*(INDEX(Bang_F,MATCH(A950,Bang_Z,1)+1)-INDEX(Bang_F,MATCH(A950,Bang_Z,1)))</f>
        <v>9.517</v>
      </c>
      <c r="C950" s="25" t="n">
        <f aca="false">INDEX(Bang_W,MATCH(A950,Bang_Z,1))+(A950-INDEX(Bang_Z,MATCH(A950,Bang_Z,1)))*(INDEX(Bang_F,MATCH(A950,Bang_Z,1))+B950)/2</f>
        <v>80.950575</v>
      </c>
      <c r="D950" s="26" t="n">
        <f aca="false">MAX(A950-TC_Z,0)</f>
        <v>5.75</v>
      </c>
      <c r="E950" s="27" t="n">
        <f aca="false">1-0.2*(TC_xmb+(TC_n-1)*TC_xmt)*D950/(TC_n*TC_b)</f>
        <v>0.771064814814815</v>
      </c>
      <c r="F950" s="28" t="n">
        <f aca="false">TC_s*E950*TC_m*TC_n*TC_b*SQRT(2*g_)*D950^1.5</f>
        <v>457.728990286208</v>
      </c>
      <c r="G950" s="29" t="n">
        <f aca="false">MAX(A950-SC_Z,0)</f>
        <v>9.45</v>
      </c>
      <c r="H950" s="30" t="n">
        <f aca="false">1-0.2*(SC_xmb+(SC_n-1)*SC_xmt)*G950/(SC_n*SC_b)</f>
        <v>0.7354</v>
      </c>
      <c r="I950" s="31" t="n">
        <f aca="false">SC_s*H950*SC_m*SC_n*SC_b*SQRT(2*g_)*G950^1.5</f>
        <v>212.913577817276</v>
      </c>
      <c r="J950" s="32" t="n">
        <f aca="false">F950+I950</f>
        <v>670.642568103484</v>
      </c>
      <c r="K950" s="32" t="n">
        <f aca="false">F950</f>
        <v>457.728990286208</v>
      </c>
      <c r="L950" s="32" t="n">
        <f aca="false">C950*1000000/dt_s+J950/2</f>
        <v>22821.5921173851</v>
      </c>
      <c r="M950" s="32" t="n">
        <f aca="false">C950*1000000/dt_s+K950/2</f>
        <v>22715.1353284765</v>
      </c>
    </row>
    <row r="951" customFormat="false" ht="15" hidden="false" customHeight="false" outlineLevel="0" collapsed="false">
      <c r="A951" s="24" t="n">
        <f aca="false">ROUND(A950+0.01,2)</f>
        <v>80.46</v>
      </c>
      <c r="B951" s="25" t="n">
        <f aca="false">INDEX(Bang_F,MATCH(A951,Bang_Z,1))+(A951-INDEX(Bang_Z,MATCH(A951,Bang_Z,1)))*(INDEX(Bang_F,MATCH(A951,Bang_Z,1)+1)-INDEX(Bang_F,MATCH(A951,Bang_Z,1)))</f>
        <v>9.5256</v>
      </c>
      <c r="C951" s="25" t="n">
        <f aca="false">INDEX(Bang_W,MATCH(A951,Bang_Z,1))+(A951-INDEX(Bang_Z,MATCH(A951,Bang_Z,1)))*(INDEX(Bang_F,MATCH(A951,Bang_Z,1))+B951)/2</f>
        <v>81.0457879999999</v>
      </c>
      <c r="D951" s="26" t="n">
        <f aca="false">MAX(A951-TC_Z,0)</f>
        <v>5.75999999999999</v>
      </c>
      <c r="E951" s="27" t="n">
        <f aca="false">1-0.2*(TC_xmb+(TC_n-1)*TC_xmt)*D951/(TC_n*TC_b)</f>
        <v>0.770666666666667</v>
      </c>
      <c r="F951" s="28" t="n">
        <f aca="false">TC_s*E951*TC_m*TC_n*TC_b*SQRT(2*g_)*D951^1.5</f>
        <v>458.686614476837</v>
      </c>
      <c r="G951" s="29" t="n">
        <f aca="false">MAX(A951-SC_Z,0)</f>
        <v>9.45999999999999</v>
      </c>
      <c r="H951" s="30" t="n">
        <f aca="false">1-0.2*(SC_xmb+(SC_n-1)*SC_xmt)*G951/(SC_n*SC_b)</f>
        <v>0.73512</v>
      </c>
      <c r="I951" s="31" t="n">
        <f aca="false">SC_s*H951*SC_m*SC_n*SC_b*SQRT(2*g_)*G951^1.5</f>
        <v>213.170430741544</v>
      </c>
      <c r="J951" s="32" t="n">
        <f aca="false">F951+I951</f>
        <v>671.857045218381</v>
      </c>
      <c r="K951" s="32" t="n">
        <f aca="false">F951</f>
        <v>458.686614476837</v>
      </c>
      <c r="L951" s="32" t="n">
        <f aca="false">C951*1000000/dt_s+J951/2</f>
        <v>22848.6474114981</v>
      </c>
      <c r="M951" s="32" t="n">
        <f aca="false">C951*1000000/dt_s+K951/2</f>
        <v>22742.0621961273</v>
      </c>
    </row>
    <row r="952" customFormat="false" ht="15" hidden="false" customHeight="false" outlineLevel="0" collapsed="false">
      <c r="A952" s="24" t="n">
        <f aca="false">ROUND(A951+0.01,2)</f>
        <v>80.47</v>
      </c>
      <c r="B952" s="25" t="n">
        <f aca="false">INDEX(Bang_F,MATCH(A952,Bang_Z,1))+(A952-INDEX(Bang_Z,MATCH(A952,Bang_Z,1)))*(INDEX(Bang_F,MATCH(A952,Bang_Z,1)+1)-INDEX(Bang_F,MATCH(A952,Bang_Z,1)))</f>
        <v>9.5342</v>
      </c>
      <c r="C952" s="25" t="n">
        <f aca="false">INDEX(Bang_W,MATCH(A952,Bang_Z,1))+(A952-INDEX(Bang_Z,MATCH(A952,Bang_Z,1)))*(INDEX(Bang_F,MATCH(A952,Bang_Z,1))+B952)/2</f>
        <v>81.141087</v>
      </c>
      <c r="D952" s="26" t="n">
        <f aca="false">MAX(A952-TC_Z,0)</f>
        <v>5.77</v>
      </c>
      <c r="E952" s="27" t="n">
        <f aca="false">1-0.2*(TC_xmb+(TC_n-1)*TC_xmt)*D952/(TC_n*TC_b)</f>
        <v>0.770268518518519</v>
      </c>
      <c r="F952" s="28" t="n">
        <f aca="false">TC_s*E952*TC_m*TC_n*TC_b*SQRT(2*g_)*D952^1.5</f>
        <v>459.644041335957</v>
      </c>
      <c r="G952" s="29" t="n">
        <f aca="false">MAX(A952-SC_Z,0)</f>
        <v>9.47</v>
      </c>
      <c r="H952" s="30" t="n">
        <f aca="false">1-0.2*(SC_xmb+(SC_n-1)*SC_xmt)*G952/(SC_n*SC_b)</f>
        <v>0.73484</v>
      </c>
      <c r="I952" s="31" t="n">
        <f aca="false">SC_s*H952*SC_m*SC_n*SC_b*SQRT(2*g_)*G952^1.5</f>
        <v>213.427204829116</v>
      </c>
      <c r="J952" s="32" t="n">
        <f aca="false">F952+I952</f>
        <v>673.071246165072</v>
      </c>
      <c r="K952" s="32" t="n">
        <f aca="false">F952</f>
        <v>459.644041335957</v>
      </c>
      <c r="L952" s="32" t="n">
        <f aca="false">C952*1000000/dt_s+J952/2</f>
        <v>22875.7264564159</v>
      </c>
      <c r="M952" s="32" t="n">
        <f aca="false">C952*1000000/dt_s+K952/2</f>
        <v>22769.0128540013</v>
      </c>
    </row>
    <row r="953" customFormat="false" ht="15" hidden="false" customHeight="false" outlineLevel="0" collapsed="false">
      <c r="A953" s="24" t="n">
        <f aca="false">ROUND(A952+0.01,2)</f>
        <v>80.48</v>
      </c>
      <c r="B953" s="25" t="n">
        <f aca="false">INDEX(Bang_F,MATCH(A953,Bang_Z,1))+(A953-INDEX(Bang_Z,MATCH(A953,Bang_Z,1)))*(INDEX(Bang_F,MATCH(A953,Bang_Z,1)+1)-INDEX(Bang_F,MATCH(A953,Bang_Z,1)))</f>
        <v>9.5428</v>
      </c>
      <c r="C953" s="25" t="n">
        <f aca="false">INDEX(Bang_W,MATCH(A953,Bang_Z,1))+(A953-INDEX(Bang_Z,MATCH(A953,Bang_Z,1)))*(INDEX(Bang_F,MATCH(A953,Bang_Z,1))+B953)/2</f>
        <v>81.236472</v>
      </c>
      <c r="D953" s="26" t="n">
        <f aca="false">MAX(A953-TC_Z,0)</f>
        <v>5.78</v>
      </c>
      <c r="E953" s="27" t="n">
        <f aca="false">1-0.2*(TC_xmb+(TC_n-1)*TC_xmt)*D953/(TC_n*TC_b)</f>
        <v>0.76987037037037</v>
      </c>
      <c r="F953" s="28" t="n">
        <f aca="false">TC_s*E953*TC_m*TC_n*TC_b*SQRT(2*g_)*D953^1.5</f>
        <v>460.601268358529</v>
      </c>
      <c r="G953" s="29" t="n">
        <f aca="false">MAX(A953-SC_Z,0)</f>
        <v>9.48</v>
      </c>
      <c r="H953" s="30" t="n">
        <f aca="false">1-0.2*(SC_xmb+(SC_n-1)*SC_xmt)*G953/(SC_n*SC_b)</f>
        <v>0.73456</v>
      </c>
      <c r="I953" s="31" t="n">
        <f aca="false">SC_s*H953*SC_m*SC_n*SC_b*SQRT(2*g_)*G953^1.5</f>
        <v>213.683899781572</v>
      </c>
      <c r="J953" s="32" t="n">
        <f aca="false">F953+I953</f>
        <v>674.2851681401</v>
      </c>
      <c r="K953" s="32" t="n">
        <f aca="false">F953</f>
        <v>460.601268358529</v>
      </c>
      <c r="L953" s="32" t="n">
        <f aca="false">C953*1000000/dt_s+J953/2</f>
        <v>22902.8292507367</v>
      </c>
      <c r="M953" s="32" t="n">
        <f aca="false">C953*1000000/dt_s+K953/2</f>
        <v>22795.9873008459</v>
      </c>
    </row>
    <row r="954" customFormat="false" ht="15" hidden="false" customHeight="false" outlineLevel="0" collapsed="false">
      <c r="A954" s="24" t="n">
        <f aca="false">ROUND(A953+0.01,2)</f>
        <v>80.49</v>
      </c>
      <c r="B954" s="25" t="n">
        <f aca="false">INDEX(Bang_F,MATCH(A954,Bang_Z,1))+(A954-INDEX(Bang_Z,MATCH(A954,Bang_Z,1)))*(INDEX(Bang_F,MATCH(A954,Bang_Z,1)+1)-INDEX(Bang_F,MATCH(A954,Bang_Z,1)))</f>
        <v>9.5514</v>
      </c>
      <c r="C954" s="25" t="n">
        <f aca="false">INDEX(Bang_W,MATCH(A954,Bang_Z,1))+(A954-INDEX(Bang_Z,MATCH(A954,Bang_Z,1)))*(INDEX(Bang_F,MATCH(A954,Bang_Z,1))+B954)/2</f>
        <v>81.331943</v>
      </c>
      <c r="D954" s="26" t="n">
        <f aca="false">MAX(A954-TC_Z,0)</f>
        <v>5.78999999999999</v>
      </c>
      <c r="E954" s="27" t="n">
        <f aca="false">1-0.2*(TC_xmb+(TC_n-1)*TC_xmt)*D954/(TC_n*TC_b)</f>
        <v>0.769472222222223</v>
      </c>
      <c r="F954" s="28" t="n">
        <f aca="false">TC_s*E954*TC_m*TC_n*TC_b*SQRT(2*g_)*D954^1.5</f>
        <v>461.558293043701</v>
      </c>
      <c r="G954" s="29" t="n">
        <f aca="false">MAX(A954-SC_Z,0)</f>
        <v>9.49</v>
      </c>
      <c r="H954" s="30" t="n">
        <f aca="false">1-0.2*(SC_xmb+(SC_n-1)*SC_xmt)*G954/(SC_n*SC_b)</f>
        <v>0.73428</v>
      </c>
      <c r="I954" s="31" t="n">
        <f aca="false">SC_s*H954*SC_m*SC_n*SC_b*SQRT(2*g_)*G954^1.5</f>
        <v>213.940515300787</v>
      </c>
      <c r="J954" s="32" t="n">
        <f aca="false">F954+I954</f>
        <v>675.498808344488</v>
      </c>
      <c r="K954" s="32" t="n">
        <f aca="false">F954</f>
        <v>461.558293043701</v>
      </c>
      <c r="L954" s="32" t="n">
        <f aca="false">C954*1000000/dt_s+J954/2</f>
        <v>22929.9557930611</v>
      </c>
      <c r="M954" s="32" t="n">
        <f aca="false">C954*1000000/dt_s+K954/2</f>
        <v>22822.9855354107</v>
      </c>
    </row>
    <row r="955" customFormat="false" ht="15" hidden="false" customHeight="false" outlineLevel="0" collapsed="false">
      <c r="A955" s="24" t="n">
        <f aca="false">ROUND(A954+0.01,2)</f>
        <v>80.5</v>
      </c>
      <c r="B955" s="25" t="n">
        <f aca="false">INDEX(Bang_F,MATCH(A955,Bang_Z,1))+(A955-INDEX(Bang_Z,MATCH(A955,Bang_Z,1)))*(INDEX(Bang_F,MATCH(A955,Bang_Z,1)+1)-INDEX(Bang_F,MATCH(A955,Bang_Z,1)))</f>
        <v>9.56</v>
      </c>
      <c r="C955" s="25" t="n">
        <f aca="false">INDEX(Bang_W,MATCH(A955,Bang_Z,1))+(A955-INDEX(Bang_Z,MATCH(A955,Bang_Z,1)))*(INDEX(Bang_F,MATCH(A955,Bang_Z,1))+B955)/2</f>
        <v>81.4275</v>
      </c>
      <c r="D955" s="26" t="n">
        <f aca="false">MAX(A955-TC_Z,0)</f>
        <v>5.8</v>
      </c>
      <c r="E955" s="27" t="n">
        <f aca="false">1-0.2*(TC_xmb+(TC_n-1)*TC_xmt)*D955/(TC_n*TC_b)</f>
        <v>0.769074074074074</v>
      </c>
      <c r="F955" s="28" t="n">
        <f aca="false">TC_s*E955*TC_m*TC_n*TC_b*SQRT(2*g_)*D955^1.5</f>
        <v>462.515112894797</v>
      </c>
      <c r="G955" s="29" t="n">
        <f aca="false">MAX(A955-SC_Z,0)</f>
        <v>9.5</v>
      </c>
      <c r="H955" s="30" t="n">
        <f aca="false">1-0.2*(SC_xmb+(SC_n-1)*SC_xmt)*G955/(SC_n*SC_b)</f>
        <v>0.734</v>
      </c>
      <c r="I955" s="31" t="n">
        <f aca="false">SC_s*H955*SC_m*SC_n*SC_b*SQRT(2*g_)*G955^1.5</f>
        <v>214.197051088932</v>
      </c>
      <c r="J955" s="32" t="n">
        <f aca="false">F955+I955</f>
        <v>676.712163983728</v>
      </c>
      <c r="K955" s="32" t="n">
        <f aca="false">F955</f>
        <v>462.515112894797</v>
      </c>
      <c r="L955" s="32" t="n">
        <f aca="false">C955*1000000/dt_s+J955/2</f>
        <v>22957.1060819919</v>
      </c>
      <c r="M955" s="32" t="n">
        <f aca="false">C955*1000000/dt_s+K955/2</f>
        <v>22850.0075564474</v>
      </c>
    </row>
    <row r="956" customFormat="false" ht="15" hidden="false" customHeight="false" outlineLevel="0" collapsed="false">
      <c r="A956" s="24" t="n">
        <f aca="false">ROUND(A955+0.01,2)</f>
        <v>80.51</v>
      </c>
      <c r="B956" s="25" t="n">
        <f aca="false">INDEX(Bang_F,MATCH(A956,Bang_Z,1))+(A956-INDEX(Bang_Z,MATCH(A956,Bang_Z,1)))*(INDEX(Bang_F,MATCH(A956,Bang_Z,1)+1)-INDEX(Bang_F,MATCH(A956,Bang_Z,1)))</f>
        <v>9.56860000000001</v>
      </c>
      <c r="C956" s="25" t="n">
        <f aca="false">INDEX(Bang_W,MATCH(A956,Bang_Z,1))+(A956-INDEX(Bang_Z,MATCH(A956,Bang_Z,1)))*(INDEX(Bang_F,MATCH(A956,Bang_Z,1))+B956)/2</f>
        <v>81.5231430000001</v>
      </c>
      <c r="D956" s="26" t="n">
        <f aca="false">MAX(A956-TC_Z,0)</f>
        <v>5.81</v>
      </c>
      <c r="E956" s="27" t="n">
        <f aca="false">1-0.2*(TC_xmb+(TC_n-1)*TC_xmt)*D956/(TC_n*TC_b)</f>
        <v>0.768675925925926</v>
      </c>
      <c r="F956" s="28" t="n">
        <f aca="false">TC_s*E956*TC_m*TC_n*TC_b*SQRT(2*g_)*D956^1.5</f>
        <v>463.471725419293</v>
      </c>
      <c r="G956" s="29" t="n">
        <f aca="false">MAX(A956-SC_Z,0)</f>
        <v>9.51000000000001</v>
      </c>
      <c r="H956" s="30" t="n">
        <f aca="false">1-0.2*(SC_xmb+(SC_n-1)*SC_xmt)*G956/(SC_n*SC_b)</f>
        <v>0.73372</v>
      </c>
      <c r="I956" s="31" t="n">
        <f aca="false">SC_s*H956*SC_m*SC_n*SC_b*SQRT(2*g_)*G956^1.5</f>
        <v>214.453506848463</v>
      </c>
      <c r="J956" s="32" t="n">
        <f aca="false">F956+I956</f>
        <v>677.925232267756</v>
      </c>
      <c r="K956" s="32" t="n">
        <f aca="false">F956</f>
        <v>463.471725419293</v>
      </c>
      <c r="L956" s="32" t="n">
        <f aca="false">C956*1000000/dt_s+J956/2</f>
        <v>22984.2801161339</v>
      </c>
      <c r="M956" s="32" t="n">
        <f aca="false">C956*1000000/dt_s+K956/2</f>
        <v>22877.0533627097</v>
      </c>
    </row>
    <row r="957" customFormat="false" ht="15" hidden="false" customHeight="false" outlineLevel="0" collapsed="false">
      <c r="A957" s="24" t="n">
        <f aca="false">ROUND(A956+0.01,2)</f>
        <v>80.52</v>
      </c>
      <c r="B957" s="25" t="n">
        <f aca="false">INDEX(Bang_F,MATCH(A957,Bang_Z,1))+(A957-INDEX(Bang_Z,MATCH(A957,Bang_Z,1)))*(INDEX(Bang_F,MATCH(A957,Bang_Z,1)+1)-INDEX(Bang_F,MATCH(A957,Bang_Z,1)))</f>
        <v>9.5772</v>
      </c>
      <c r="C957" s="25" t="n">
        <f aca="false">INDEX(Bang_W,MATCH(A957,Bang_Z,1))+(A957-INDEX(Bang_Z,MATCH(A957,Bang_Z,1)))*(INDEX(Bang_F,MATCH(A957,Bang_Z,1))+B957)/2</f>
        <v>81.618872</v>
      </c>
      <c r="D957" s="26" t="n">
        <f aca="false">MAX(A957-TC_Z,0)</f>
        <v>5.81999999999999</v>
      </c>
      <c r="E957" s="27" t="n">
        <f aca="false">1-0.2*(TC_xmb+(TC_n-1)*TC_xmt)*D957/(TC_n*TC_b)</f>
        <v>0.768277777777778</v>
      </c>
      <c r="F957" s="28" t="n">
        <f aca="false">TC_s*E957*TC_m*TC_n*TC_b*SQRT(2*g_)*D957^1.5</f>
        <v>464.428128128804</v>
      </c>
      <c r="G957" s="29" t="n">
        <f aca="false">MAX(A957-SC_Z,0)</f>
        <v>9.52</v>
      </c>
      <c r="H957" s="30" t="n">
        <f aca="false">1-0.2*(SC_xmb+(SC_n-1)*SC_xmt)*G957/(SC_n*SC_b)</f>
        <v>0.73344</v>
      </c>
      <c r="I957" s="31" t="n">
        <f aca="false">SC_s*H957*SC_m*SC_n*SC_b*SQRT(2*g_)*G957^1.5</f>
        <v>214.709882282132</v>
      </c>
      <c r="J957" s="32" t="n">
        <f aca="false">F957+I957</f>
        <v>679.138010410935</v>
      </c>
      <c r="K957" s="32" t="n">
        <f aca="false">F957</f>
        <v>464.428128128804</v>
      </c>
      <c r="L957" s="32" t="n">
        <f aca="false">C957*1000000/dt_s+J957/2</f>
        <v>23011.4778940943</v>
      </c>
      <c r="M957" s="32" t="n">
        <f aca="false">C957*1000000/dt_s+K957/2</f>
        <v>22904.1229529533</v>
      </c>
    </row>
    <row r="958" customFormat="false" ht="15" hidden="false" customHeight="false" outlineLevel="0" collapsed="false">
      <c r="A958" s="24" t="n">
        <f aca="false">ROUND(A957+0.01,2)</f>
        <v>80.53</v>
      </c>
      <c r="B958" s="25" t="n">
        <f aca="false">INDEX(Bang_F,MATCH(A958,Bang_Z,1))+(A958-INDEX(Bang_Z,MATCH(A958,Bang_Z,1)))*(INDEX(Bang_F,MATCH(A958,Bang_Z,1)+1)-INDEX(Bang_F,MATCH(A958,Bang_Z,1)))</f>
        <v>9.5858</v>
      </c>
      <c r="C958" s="25" t="n">
        <f aca="false">INDEX(Bang_W,MATCH(A958,Bang_Z,1))+(A958-INDEX(Bang_Z,MATCH(A958,Bang_Z,1)))*(INDEX(Bang_F,MATCH(A958,Bang_Z,1))+B958)/2</f>
        <v>81.714687</v>
      </c>
      <c r="D958" s="26" t="n">
        <f aca="false">MAX(A958-TC_Z,0)</f>
        <v>5.83</v>
      </c>
      <c r="E958" s="27" t="n">
        <f aca="false">1-0.2*(TC_xmb+(TC_n-1)*TC_xmt)*D958/(TC_n*TC_b)</f>
        <v>0.76787962962963</v>
      </c>
      <c r="F958" s="28" t="n">
        <f aca="false">TC_s*E958*TC_m*TC_n*TC_b*SQRT(2*g_)*D958^1.5</f>
        <v>465.384318539074</v>
      </c>
      <c r="G958" s="29" t="n">
        <f aca="false">MAX(A958-SC_Z,0)</f>
        <v>9.53</v>
      </c>
      <c r="H958" s="30" t="n">
        <f aca="false">1-0.2*(SC_xmb+(SC_n-1)*SC_xmt)*G958/(SC_n*SC_b)</f>
        <v>0.73316</v>
      </c>
      <c r="I958" s="31" t="n">
        <f aca="false">SC_s*H958*SC_m*SC_n*SC_b*SQRT(2*g_)*G958^1.5</f>
        <v>214.966177092978</v>
      </c>
      <c r="J958" s="32" t="n">
        <f aca="false">F958+I958</f>
        <v>680.350495632052</v>
      </c>
      <c r="K958" s="32" t="n">
        <f aca="false">F958</f>
        <v>465.384318539074</v>
      </c>
      <c r="L958" s="32" t="n">
        <f aca="false">C958*1000000/dt_s+J958/2</f>
        <v>23038.6994144827</v>
      </c>
      <c r="M958" s="32" t="n">
        <f aca="false">C958*1000000/dt_s+K958/2</f>
        <v>22931.2163259362</v>
      </c>
    </row>
    <row r="959" customFormat="false" ht="15" hidden="false" customHeight="false" outlineLevel="0" collapsed="false">
      <c r="A959" s="24" t="n">
        <f aca="false">ROUND(A958+0.01,2)</f>
        <v>80.54</v>
      </c>
      <c r="B959" s="25" t="n">
        <f aca="false">INDEX(Bang_F,MATCH(A959,Bang_Z,1))+(A959-INDEX(Bang_Z,MATCH(A959,Bang_Z,1)))*(INDEX(Bang_F,MATCH(A959,Bang_Z,1)+1)-INDEX(Bang_F,MATCH(A959,Bang_Z,1)))</f>
        <v>9.59440000000001</v>
      </c>
      <c r="C959" s="25" t="n">
        <f aca="false">INDEX(Bang_W,MATCH(A959,Bang_Z,1))+(A959-INDEX(Bang_Z,MATCH(A959,Bang_Z,1)))*(INDEX(Bang_F,MATCH(A959,Bang_Z,1))+B959)/2</f>
        <v>81.8105880000001</v>
      </c>
      <c r="D959" s="26" t="n">
        <f aca="false">MAX(A959-TC_Z,0)</f>
        <v>5.84</v>
      </c>
      <c r="E959" s="27" t="n">
        <f aca="false">1-0.2*(TC_xmb+(TC_n-1)*TC_xmt)*D959/(TC_n*TC_b)</f>
        <v>0.767481481481481</v>
      </c>
      <c r="F959" s="28" t="n">
        <f aca="false">TC_s*E959*TC_m*TC_n*TC_b*SQRT(2*g_)*D959^1.5</f>
        <v>466.34029416995</v>
      </c>
      <c r="G959" s="29" t="n">
        <f aca="false">MAX(A959-SC_Z,0)</f>
        <v>9.54000000000001</v>
      </c>
      <c r="H959" s="30" t="n">
        <f aca="false">1-0.2*(SC_xmb+(SC_n-1)*SC_xmt)*G959/(SC_n*SC_b)</f>
        <v>0.73288</v>
      </c>
      <c r="I959" s="31" t="n">
        <f aca="false">SC_s*H959*SC_m*SC_n*SC_b*SQRT(2*g_)*G959^1.5</f>
        <v>215.222390984333</v>
      </c>
      <c r="J959" s="32" t="n">
        <f aca="false">F959+I959</f>
        <v>681.562685154283</v>
      </c>
      <c r="K959" s="32" t="n">
        <f aca="false">F959</f>
        <v>466.34029416995</v>
      </c>
      <c r="L959" s="32" t="n">
        <f aca="false">C959*1000000/dt_s+J959/2</f>
        <v>23065.9446759105</v>
      </c>
      <c r="M959" s="32" t="n">
        <f aca="false">C959*1000000/dt_s+K959/2</f>
        <v>22958.3334804183</v>
      </c>
    </row>
    <row r="960" customFormat="false" ht="15" hidden="false" customHeight="false" outlineLevel="0" collapsed="false">
      <c r="A960" s="24" t="n">
        <f aca="false">ROUND(A959+0.01,2)</f>
        <v>80.55</v>
      </c>
      <c r="B960" s="25" t="n">
        <f aca="false">INDEX(Bang_F,MATCH(A960,Bang_Z,1))+(A960-INDEX(Bang_Z,MATCH(A960,Bang_Z,1)))*(INDEX(Bang_F,MATCH(A960,Bang_Z,1)+1)-INDEX(Bang_F,MATCH(A960,Bang_Z,1)))</f>
        <v>9.603</v>
      </c>
      <c r="C960" s="25" t="n">
        <f aca="false">INDEX(Bang_W,MATCH(A960,Bang_Z,1))+(A960-INDEX(Bang_Z,MATCH(A960,Bang_Z,1)))*(INDEX(Bang_F,MATCH(A960,Bang_Z,1))+B960)/2</f>
        <v>81.906575</v>
      </c>
      <c r="D960" s="26" t="n">
        <f aca="false">MAX(A960-TC_Z,0)</f>
        <v>5.84999999999999</v>
      </c>
      <c r="E960" s="27" t="n">
        <f aca="false">1-0.2*(TC_xmb+(TC_n-1)*TC_xmt)*D960/(TC_n*TC_b)</f>
        <v>0.767083333333334</v>
      </c>
      <c r="F960" s="28" t="n">
        <f aca="false">TC_s*E960*TC_m*TC_n*TC_b*SQRT(2*g_)*D960^1.5</f>
        <v>467.296052545374</v>
      </c>
      <c r="G960" s="29" t="n">
        <f aca="false">MAX(A960-SC_Z,0)</f>
        <v>9.55</v>
      </c>
      <c r="H960" s="30" t="n">
        <f aca="false">1-0.2*(SC_xmb+(SC_n-1)*SC_xmt)*G960/(SC_n*SC_b)</f>
        <v>0.7326</v>
      </c>
      <c r="I960" s="31" t="n">
        <f aca="false">SC_s*H960*SC_m*SC_n*SC_b*SQRT(2*g_)*G960^1.5</f>
        <v>215.478523659813</v>
      </c>
      <c r="J960" s="32" t="n">
        <f aca="false">F960+I960</f>
        <v>682.774576205187</v>
      </c>
      <c r="K960" s="32" t="n">
        <f aca="false">F960</f>
        <v>467.296052545374</v>
      </c>
      <c r="L960" s="32" t="n">
        <f aca="false">C960*1000000/dt_s+J960/2</f>
        <v>23093.2136769915</v>
      </c>
      <c r="M960" s="32" t="n">
        <f aca="false">C960*1000000/dt_s+K960/2</f>
        <v>22985.4744151616</v>
      </c>
    </row>
    <row r="961" customFormat="false" ht="15" hidden="false" customHeight="false" outlineLevel="0" collapsed="false">
      <c r="A961" s="24" t="n">
        <f aca="false">ROUND(A960+0.01,2)</f>
        <v>80.56</v>
      </c>
      <c r="B961" s="25" t="n">
        <f aca="false">INDEX(Bang_F,MATCH(A961,Bang_Z,1))+(A961-INDEX(Bang_Z,MATCH(A961,Bang_Z,1)))*(INDEX(Bang_F,MATCH(A961,Bang_Z,1)+1)-INDEX(Bang_F,MATCH(A961,Bang_Z,1)))</f>
        <v>9.6116</v>
      </c>
      <c r="C961" s="25" t="n">
        <f aca="false">INDEX(Bang_W,MATCH(A961,Bang_Z,1))+(A961-INDEX(Bang_Z,MATCH(A961,Bang_Z,1)))*(INDEX(Bang_F,MATCH(A961,Bang_Z,1))+B961)/2</f>
        <v>82.002648</v>
      </c>
      <c r="D961" s="26" t="n">
        <f aca="false">MAX(A961-TC_Z,0)</f>
        <v>5.86</v>
      </c>
      <c r="E961" s="27" t="n">
        <f aca="false">1-0.2*(TC_xmb+(TC_n-1)*TC_xmt)*D961/(TC_n*TC_b)</f>
        <v>0.766685185185185</v>
      </c>
      <c r="F961" s="28" t="n">
        <f aca="false">TC_s*E961*TC_m*TC_n*TC_b*SQRT(2*g_)*D961^1.5</f>
        <v>468.251591193366</v>
      </c>
      <c r="G961" s="29" t="n">
        <f aca="false">MAX(A961-SC_Z,0)</f>
        <v>9.56</v>
      </c>
      <c r="H961" s="30" t="n">
        <f aca="false">1-0.2*(SC_xmb+(SC_n-1)*SC_xmt)*G961/(SC_n*SC_b)</f>
        <v>0.73232</v>
      </c>
      <c r="I961" s="31" t="n">
        <f aca="false">SC_s*H961*SC_m*SC_n*SC_b*SQRT(2*g_)*G961^1.5</f>
        <v>215.734574823328</v>
      </c>
      <c r="J961" s="32" t="n">
        <f aca="false">F961+I961</f>
        <v>683.986166016694</v>
      </c>
      <c r="K961" s="32" t="n">
        <f aca="false">F961</f>
        <v>468.251591193366</v>
      </c>
      <c r="L961" s="32" t="n">
        <f aca="false">C961*1000000/dt_s+J961/2</f>
        <v>23120.5064163417</v>
      </c>
      <c r="M961" s="32" t="n">
        <f aca="false">C961*1000000/dt_s+K961/2</f>
        <v>23012.63912893</v>
      </c>
    </row>
    <row r="962" customFormat="false" ht="15" hidden="false" customHeight="false" outlineLevel="0" collapsed="false">
      <c r="A962" s="24" t="n">
        <f aca="false">ROUND(A961+0.01,2)</f>
        <v>80.57</v>
      </c>
      <c r="B962" s="25" t="n">
        <f aca="false">INDEX(Bang_F,MATCH(A962,Bang_Z,1))+(A962-INDEX(Bang_Z,MATCH(A962,Bang_Z,1)))*(INDEX(Bang_F,MATCH(A962,Bang_Z,1)+1)-INDEX(Bang_F,MATCH(A962,Bang_Z,1)))</f>
        <v>9.6202</v>
      </c>
      <c r="C962" s="25" t="n">
        <f aca="false">INDEX(Bang_W,MATCH(A962,Bang_Z,1))+(A962-INDEX(Bang_Z,MATCH(A962,Bang_Z,1)))*(INDEX(Bang_F,MATCH(A962,Bang_Z,1))+B962)/2</f>
        <v>82.0988069999999</v>
      </c>
      <c r="D962" s="26" t="n">
        <f aca="false">MAX(A962-TC_Z,0)</f>
        <v>5.86999999999999</v>
      </c>
      <c r="E962" s="27" t="n">
        <f aca="false">1-0.2*(TC_xmb+(TC_n-1)*TC_xmt)*D962/(TC_n*TC_b)</f>
        <v>0.766287037037037</v>
      </c>
      <c r="F962" s="28" t="n">
        <f aca="false">TC_s*E962*TC_m*TC_n*TC_b*SQRT(2*g_)*D962^1.5</f>
        <v>469.206907646004</v>
      </c>
      <c r="G962" s="29" t="n">
        <f aca="false">MAX(A962-SC_Z,0)</f>
        <v>9.56999999999999</v>
      </c>
      <c r="H962" s="30" t="n">
        <f aca="false">1-0.2*(SC_xmb+(SC_n-1)*SC_xmt)*G962/(SC_n*SC_b)</f>
        <v>0.73204</v>
      </c>
      <c r="I962" s="31" t="n">
        <f aca="false">SC_s*H962*SC_m*SC_n*SC_b*SQRT(2*g_)*G962^1.5</f>
        <v>215.99054417907</v>
      </c>
      <c r="J962" s="32" t="n">
        <f aca="false">F962+I962</f>
        <v>685.197451825074</v>
      </c>
      <c r="K962" s="32" t="n">
        <f aca="false">F962</f>
        <v>469.206907646004</v>
      </c>
      <c r="L962" s="32" t="n">
        <f aca="false">C962*1000000/dt_s+J962/2</f>
        <v>23147.8228925792</v>
      </c>
      <c r="M962" s="32" t="n">
        <f aca="false">C962*1000000/dt_s+K962/2</f>
        <v>23039.8276204897</v>
      </c>
    </row>
    <row r="963" customFormat="false" ht="15" hidden="false" customHeight="false" outlineLevel="0" collapsed="false">
      <c r="A963" s="24" t="n">
        <f aca="false">ROUND(A962+0.01,2)</f>
        <v>80.58</v>
      </c>
      <c r="B963" s="25" t="n">
        <f aca="false">INDEX(Bang_F,MATCH(A963,Bang_Z,1))+(A963-INDEX(Bang_Z,MATCH(A963,Bang_Z,1)))*(INDEX(Bang_F,MATCH(A963,Bang_Z,1)+1)-INDEX(Bang_F,MATCH(A963,Bang_Z,1)))</f>
        <v>9.6288</v>
      </c>
      <c r="C963" s="25" t="n">
        <f aca="false">INDEX(Bang_W,MATCH(A963,Bang_Z,1))+(A963-INDEX(Bang_Z,MATCH(A963,Bang_Z,1)))*(INDEX(Bang_F,MATCH(A963,Bang_Z,1))+B963)/2</f>
        <v>82.195052</v>
      </c>
      <c r="D963" s="26" t="n">
        <f aca="false">MAX(A963-TC_Z,0)</f>
        <v>5.88</v>
      </c>
      <c r="E963" s="27" t="n">
        <f aca="false">1-0.2*(TC_xmb+(TC_n-1)*TC_xmt)*D963/(TC_n*TC_b)</f>
        <v>0.765888888888889</v>
      </c>
      <c r="F963" s="28" t="n">
        <f aca="false">TC_s*E963*TC_m*TC_n*TC_b*SQRT(2*g_)*D963^1.5</f>
        <v>470.161999439418</v>
      </c>
      <c r="G963" s="29" t="n">
        <f aca="false">MAX(A963-SC_Z,0)</f>
        <v>9.58</v>
      </c>
      <c r="H963" s="30" t="n">
        <f aca="false">1-0.2*(SC_xmb+(SC_n-1)*SC_xmt)*G963/(SC_n*SC_b)</f>
        <v>0.73176</v>
      </c>
      <c r="I963" s="31" t="n">
        <f aca="false">SC_s*H963*SC_m*SC_n*SC_b*SQRT(2*g_)*G963^1.5</f>
        <v>216.246431431522</v>
      </c>
      <c r="J963" s="32" t="n">
        <f aca="false">F963+I963</f>
        <v>686.40843087094</v>
      </c>
      <c r="K963" s="32" t="n">
        <f aca="false">F963</f>
        <v>470.161999439418</v>
      </c>
      <c r="L963" s="32" t="n">
        <f aca="false">C963*1000000/dt_s+J963/2</f>
        <v>23175.1631043244</v>
      </c>
      <c r="M963" s="32" t="n">
        <f aca="false">C963*1000000/dt_s+K963/2</f>
        <v>23067.0398886086</v>
      </c>
    </row>
    <row r="964" customFormat="false" ht="15" hidden="false" customHeight="false" outlineLevel="0" collapsed="false">
      <c r="A964" s="24" t="n">
        <f aca="false">ROUND(A963+0.01,2)</f>
        <v>80.59</v>
      </c>
      <c r="B964" s="25" t="n">
        <f aca="false">INDEX(Bang_F,MATCH(A964,Bang_Z,1))+(A964-INDEX(Bang_Z,MATCH(A964,Bang_Z,1)))*(INDEX(Bang_F,MATCH(A964,Bang_Z,1)+1)-INDEX(Bang_F,MATCH(A964,Bang_Z,1)))</f>
        <v>9.6374</v>
      </c>
      <c r="C964" s="25" t="n">
        <f aca="false">INDEX(Bang_W,MATCH(A964,Bang_Z,1))+(A964-INDEX(Bang_Z,MATCH(A964,Bang_Z,1)))*(INDEX(Bang_F,MATCH(A964,Bang_Z,1))+B964)/2</f>
        <v>82.291383</v>
      </c>
      <c r="D964" s="26" t="n">
        <f aca="false">MAX(A964-TC_Z,0)</f>
        <v>5.89</v>
      </c>
      <c r="E964" s="27" t="n">
        <f aca="false">1-0.2*(TC_xmb+(TC_n-1)*TC_xmt)*D964/(TC_n*TC_b)</f>
        <v>0.765490740740741</v>
      </c>
      <c r="F964" s="28" t="n">
        <f aca="false">TC_s*E964*TC_m*TC_n*TC_b*SQRT(2*g_)*D964^1.5</f>
        <v>471.116864113764</v>
      </c>
      <c r="G964" s="29" t="n">
        <f aca="false">MAX(A964-SC_Z,0)</f>
        <v>9.59</v>
      </c>
      <c r="H964" s="30" t="n">
        <f aca="false">1-0.2*(SC_xmb+(SC_n-1)*SC_xmt)*G964/(SC_n*SC_b)</f>
        <v>0.73148</v>
      </c>
      <c r="I964" s="31" t="n">
        <f aca="false">SC_s*H964*SC_m*SC_n*SC_b*SQRT(2*g_)*G964^1.5</f>
        <v>216.502236285451</v>
      </c>
      <c r="J964" s="32" t="n">
        <f aca="false">F964+I964</f>
        <v>687.619100399216</v>
      </c>
      <c r="K964" s="32" t="n">
        <f aca="false">F964</f>
        <v>471.116864113764</v>
      </c>
      <c r="L964" s="32" t="n">
        <f aca="false">C964*1000000/dt_s+J964/2</f>
        <v>23202.5270501996</v>
      </c>
      <c r="M964" s="32" t="n">
        <f aca="false">C964*1000000/dt_s+K964/2</f>
        <v>23094.2759320569</v>
      </c>
    </row>
    <row r="965" customFormat="false" ht="15" hidden="false" customHeight="false" outlineLevel="0" collapsed="false">
      <c r="A965" s="24" t="n">
        <f aca="false">ROUND(A964+0.01,2)</f>
        <v>80.6</v>
      </c>
      <c r="B965" s="25" t="n">
        <f aca="false">INDEX(Bang_F,MATCH(A965,Bang_Z,1))+(A965-INDEX(Bang_Z,MATCH(A965,Bang_Z,1)))*(INDEX(Bang_F,MATCH(A965,Bang_Z,1)+1)-INDEX(Bang_F,MATCH(A965,Bang_Z,1)))</f>
        <v>9.646</v>
      </c>
      <c r="C965" s="25" t="n">
        <f aca="false">INDEX(Bang_W,MATCH(A965,Bang_Z,1))+(A965-INDEX(Bang_Z,MATCH(A965,Bang_Z,1)))*(INDEX(Bang_F,MATCH(A965,Bang_Z,1))+B965)/2</f>
        <v>82.3877999999999</v>
      </c>
      <c r="D965" s="26" t="n">
        <f aca="false">MAX(A965-TC_Z,0)</f>
        <v>5.89999999999999</v>
      </c>
      <c r="E965" s="27" t="n">
        <f aca="false">1-0.2*(TC_xmb+(TC_n-1)*TC_xmt)*D965/(TC_n*TC_b)</f>
        <v>0.765092592592593</v>
      </c>
      <c r="F965" s="28" t="n">
        <f aca="false">TC_s*E965*TC_m*TC_n*TC_b*SQRT(2*g_)*D965^1.5</f>
        <v>472.071499213215</v>
      </c>
      <c r="G965" s="29" t="n">
        <f aca="false">MAX(A965-SC_Z,0)</f>
        <v>9.59999999999999</v>
      </c>
      <c r="H965" s="30" t="n">
        <f aca="false">1-0.2*(SC_xmb+(SC_n-1)*SC_xmt)*G965/(SC_n*SC_b)</f>
        <v>0.7312</v>
      </c>
      <c r="I965" s="31" t="n">
        <f aca="false">SC_s*H965*SC_m*SC_n*SC_b*SQRT(2*g_)*G965^1.5</f>
        <v>216.757958445911</v>
      </c>
      <c r="J965" s="32" t="n">
        <f aca="false">F965+I965</f>
        <v>688.829457659126</v>
      </c>
      <c r="K965" s="32" t="n">
        <f aca="false">F965</f>
        <v>472.071499213215</v>
      </c>
      <c r="L965" s="32" t="n">
        <f aca="false">C965*1000000/dt_s+J965/2</f>
        <v>23229.9147288295</v>
      </c>
      <c r="M965" s="32" t="n">
        <f aca="false">C965*1000000/dt_s+K965/2</f>
        <v>23121.5357496066</v>
      </c>
    </row>
    <row r="966" customFormat="false" ht="15" hidden="false" customHeight="false" outlineLevel="0" collapsed="false">
      <c r="A966" s="24" t="n">
        <f aca="false">ROUND(A965+0.01,2)</f>
        <v>80.61</v>
      </c>
      <c r="B966" s="25" t="n">
        <f aca="false">INDEX(Bang_F,MATCH(A966,Bang_Z,1))+(A966-INDEX(Bang_Z,MATCH(A966,Bang_Z,1)))*(INDEX(Bang_F,MATCH(A966,Bang_Z,1)+1)-INDEX(Bang_F,MATCH(A966,Bang_Z,1)))</f>
        <v>9.6546</v>
      </c>
      <c r="C966" s="25" t="n">
        <f aca="false">INDEX(Bang_W,MATCH(A966,Bang_Z,1))+(A966-INDEX(Bang_Z,MATCH(A966,Bang_Z,1)))*(INDEX(Bang_F,MATCH(A966,Bang_Z,1))+B966)/2</f>
        <v>82.484303</v>
      </c>
      <c r="D966" s="26" t="n">
        <f aca="false">MAX(A966-TC_Z,0)</f>
        <v>5.91</v>
      </c>
      <c r="E966" s="27" t="n">
        <f aca="false">1-0.2*(TC_xmb+(TC_n-1)*TC_xmt)*D966/(TC_n*TC_b)</f>
        <v>0.764694444444445</v>
      </c>
      <c r="F966" s="28" t="n">
        <f aca="false">TC_s*E966*TC_m*TC_n*TC_b*SQRT(2*g_)*D966^1.5</f>
        <v>473.025902285946</v>
      </c>
      <c r="G966" s="29" t="n">
        <f aca="false">MAX(A966-SC_Z,0)</f>
        <v>9.61</v>
      </c>
      <c r="H966" s="30" t="n">
        <f aca="false">1-0.2*(SC_xmb+(SC_n-1)*SC_xmt)*G966/(SC_n*SC_b)</f>
        <v>0.73092</v>
      </c>
      <c r="I966" s="31" t="n">
        <f aca="false">SC_s*H966*SC_m*SC_n*SC_b*SQRT(2*g_)*G966^1.5</f>
        <v>217.01359761824</v>
      </c>
      <c r="J966" s="32" t="n">
        <f aca="false">F966+I966</f>
        <v>690.039499904186</v>
      </c>
      <c r="K966" s="32" t="n">
        <f aca="false">F966</f>
        <v>473.025902285946</v>
      </c>
      <c r="L966" s="32" t="n">
        <f aca="false">C966*1000000/dt_s+J966/2</f>
        <v>23257.326138841</v>
      </c>
      <c r="M966" s="32" t="n">
        <f aca="false">C966*1000000/dt_s+K966/2</f>
        <v>23148.8193400319</v>
      </c>
    </row>
    <row r="967" customFormat="false" ht="15" hidden="false" customHeight="false" outlineLevel="0" collapsed="false">
      <c r="A967" s="24" t="n">
        <f aca="false">ROUND(A966+0.01,2)</f>
        <v>80.62</v>
      </c>
      <c r="B967" s="25" t="n">
        <f aca="false">INDEX(Bang_F,MATCH(A967,Bang_Z,1))+(A967-INDEX(Bang_Z,MATCH(A967,Bang_Z,1)))*(INDEX(Bang_F,MATCH(A967,Bang_Z,1)+1)-INDEX(Bang_F,MATCH(A967,Bang_Z,1)))</f>
        <v>9.66320000000001</v>
      </c>
      <c r="C967" s="25" t="n">
        <f aca="false">INDEX(Bang_W,MATCH(A967,Bang_Z,1))+(A967-INDEX(Bang_Z,MATCH(A967,Bang_Z,1)))*(INDEX(Bang_F,MATCH(A967,Bang_Z,1))+B967)/2</f>
        <v>82.580892</v>
      </c>
      <c r="D967" s="26" t="n">
        <f aca="false">MAX(A967-TC_Z,0)</f>
        <v>5.92</v>
      </c>
      <c r="E967" s="27" t="n">
        <f aca="false">1-0.2*(TC_xmb+(TC_n-1)*TC_xmt)*D967/(TC_n*TC_b)</f>
        <v>0.764296296296296</v>
      </c>
      <c r="F967" s="28" t="n">
        <f aca="false">TC_s*E967*TC_m*TC_n*TC_b*SQRT(2*g_)*D967^1.5</f>
        <v>473.980070884117</v>
      </c>
      <c r="G967" s="29" t="n">
        <f aca="false">MAX(A967-SC_Z,0)</f>
        <v>9.62000000000001</v>
      </c>
      <c r="H967" s="30" t="n">
        <f aca="false">1-0.2*(SC_xmb+(SC_n-1)*SC_xmt)*G967/(SC_n*SC_b)</f>
        <v>0.73064</v>
      </c>
      <c r="I967" s="31" t="n">
        <f aca="false">SC_s*H967*SC_m*SC_n*SC_b*SQRT(2*g_)*G967^1.5</f>
        <v>217.26915350806</v>
      </c>
      <c r="J967" s="32" t="n">
        <f aca="false">F967+I967</f>
        <v>691.249224392177</v>
      </c>
      <c r="K967" s="32" t="n">
        <f aca="false">F967</f>
        <v>473.980070884117</v>
      </c>
      <c r="L967" s="32" t="n">
        <f aca="false">C967*1000000/dt_s+J967/2</f>
        <v>23284.7612788628</v>
      </c>
      <c r="M967" s="32" t="n">
        <f aca="false">C967*1000000/dt_s+K967/2</f>
        <v>23176.1267021087</v>
      </c>
    </row>
    <row r="968" customFormat="false" ht="15" hidden="false" customHeight="false" outlineLevel="0" collapsed="false">
      <c r="A968" s="24" t="n">
        <f aca="false">ROUND(A967+0.01,2)</f>
        <v>80.63</v>
      </c>
      <c r="B968" s="25" t="n">
        <f aca="false">INDEX(Bang_F,MATCH(A968,Bang_Z,1))+(A968-INDEX(Bang_Z,MATCH(A968,Bang_Z,1)))*(INDEX(Bang_F,MATCH(A968,Bang_Z,1)+1)-INDEX(Bang_F,MATCH(A968,Bang_Z,1)))</f>
        <v>9.6718</v>
      </c>
      <c r="C968" s="25" t="n">
        <f aca="false">INDEX(Bang_W,MATCH(A968,Bang_Z,1))+(A968-INDEX(Bang_Z,MATCH(A968,Bang_Z,1)))*(INDEX(Bang_F,MATCH(A968,Bang_Z,1))+B968)/2</f>
        <v>82.677567</v>
      </c>
      <c r="D968" s="26" t="n">
        <f aca="false">MAX(A968-TC_Z,0)</f>
        <v>5.92999999999999</v>
      </c>
      <c r="E968" s="27" t="n">
        <f aca="false">1-0.2*(TC_xmb+(TC_n-1)*TC_xmt)*D968/(TC_n*TC_b)</f>
        <v>0.763898148148148</v>
      </c>
      <c r="F968" s="28" t="n">
        <f aca="false">TC_s*E968*TC_m*TC_n*TC_b*SQRT(2*g_)*D968^1.5</f>
        <v>474.934002563856</v>
      </c>
      <c r="G968" s="29" t="n">
        <f aca="false">MAX(A968-SC_Z,0)</f>
        <v>9.63</v>
      </c>
      <c r="H968" s="30" t="n">
        <f aca="false">1-0.2*(SC_xmb+(SC_n-1)*SC_xmt)*G968/(SC_n*SC_b)</f>
        <v>0.73036</v>
      </c>
      <c r="I968" s="31" t="n">
        <f aca="false">SC_s*H968*SC_m*SC_n*SC_b*SQRT(2*g_)*G968^1.5</f>
        <v>217.524625821277</v>
      </c>
      <c r="J968" s="32" t="n">
        <f aca="false">F968+I968</f>
        <v>692.458628385133</v>
      </c>
      <c r="K968" s="32" t="n">
        <f aca="false">F968</f>
        <v>474.934002563856</v>
      </c>
      <c r="L968" s="32" t="n">
        <f aca="false">C968*1000000/dt_s+J968/2</f>
        <v>23312.2201475259</v>
      </c>
      <c r="M968" s="32" t="n">
        <f aca="false">C968*1000000/dt_s+K968/2</f>
        <v>23203.4578346153</v>
      </c>
    </row>
    <row r="969" customFormat="false" ht="15" hidden="false" customHeight="false" outlineLevel="0" collapsed="false">
      <c r="A969" s="24" t="n">
        <f aca="false">ROUND(A968+0.01,2)</f>
        <v>80.64</v>
      </c>
      <c r="B969" s="25" t="n">
        <f aca="false">INDEX(Bang_F,MATCH(A969,Bang_Z,1))+(A969-INDEX(Bang_Z,MATCH(A969,Bang_Z,1)))*(INDEX(Bang_F,MATCH(A969,Bang_Z,1)+1)-INDEX(Bang_F,MATCH(A969,Bang_Z,1)))</f>
        <v>9.6804</v>
      </c>
      <c r="C969" s="25" t="n">
        <f aca="false">INDEX(Bang_W,MATCH(A969,Bang_Z,1))+(A969-INDEX(Bang_Z,MATCH(A969,Bang_Z,1)))*(INDEX(Bang_F,MATCH(A969,Bang_Z,1))+B969)/2</f>
        <v>82.774328</v>
      </c>
      <c r="D969" s="26" t="n">
        <f aca="false">MAX(A969-TC_Z,0)</f>
        <v>5.94</v>
      </c>
      <c r="E969" s="27" t="n">
        <f aca="false">1-0.2*(TC_xmb+(TC_n-1)*TC_xmt)*D969/(TC_n*TC_b)</f>
        <v>0.7635</v>
      </c>
      <c r="F969" s="28" t="n">
        <f aca="false">TC_s*E969*TC_m*TC_n*TC_b*SQRT(2*g_)*D969^1.5</f>
        <v>475.887694885252</v>
      </c>
      <c r="G969" s="29" t="n">
        <f aca="false">MAX(A969-SC_Z,0)</f>
        <v>9.64</v>
      </c>
      <c r="H969" s="30" t="n">
        <f aca="false">1-0.2*(SC_xmb+(SC_n-1)*SC_xmt)*G969/(SC_n*SC_b)</f>
        <v>0.73008</v>
      </c>
      <c r="I969" s="31" t="n">
        <f aca="false">SC_s*H969*SC_m*SC_n*SC_b*SQRT(2*g_)*G969^1.5</f>
        <v>217.780014264081</v>
      </c>
      <c r="J969" s="32" t="n">
        <f aca="false">F969+I969</f>
        <v>693.667709149333</v>
      </c>
      <c r="K969" s="32" t="n">
        <f aca="false">F969</f>
        <v>475.887694885252</v>
      </c>
      <c r="L969" s="32" t="n">
        <f aca="false">C969*1000000/dt_s+J969/2</f>
        <v>23339.7027434636</v>
      </c>
      <c r="M969" s="32" t="n">
        <f aca="false">C969*1000000/dt_s+K969/2</f>
        <v>23230.8127363315</v>
      </c>
    </row>
    <row r="970" customFormat="false" ht="15" hidden="false" customHeight="false" outlineLevel="0" collapsed="false">
      <c r="A970" s="24" t="n">
        <f aca="false">ROUND(A969+0.01,2)</f>
        <v>80.65</v>
      </c>
      <c r="B970" s="25" t="n">
        <f aca="false">INDEX(Bang_F,MATCH(A970,Bang_Z,1))+(A970-INDEX(Bang_Z,MATCH(A970,Bang_Z,1)))*(INDEX(Bang_F,MATCH(A970,Bang_Z,1)+1)-INDEX(Bang_F,MATCH(A970,Bang_Z,1)))</f>
        <v>9.68900000000001</v>
      </c>
      <c r="C970" s="25" t="n">
        <f aca="false">INDEX(Bang_W,MATCH(A970,Bang_Z,1))+(A970-INDEX(Bang_Z,MATCH(A970,Bang_Z,1)))*(INDEX(Bang_F,MATCH(A970,Bang_Z,1))+B970)/2</f>
        <v>82.8711750000001</v>
      </c>
      <c r="D970" s="26" t="n">
        <f aca="false">MAX(A970-TC_Z,0)</f>
        <v>5.95</v>
      </c>
      <c r="E970" s="27" t="n">
        <f aca="false">1-0.2*(TC_xmb+(TC_n-1)*TC_xmt)*D970/(TC_n*TC_b)</f>
        <v>0.763101851851852</v>
      </c>
      <c r="F970" s="28" t="n">
        <f aca="false">TC_s*E970*TC_m*TC_n*TC_b*SQRT(2*g_)*D970^1.5</f>
        <v>476.841145412333</v>
      </c>
      <c r="G970" s="29" t="n">
        <f aca="false">MAX(A970-SC_Z,0)</f>
        <v>9.65000000000001</v>
      </c>
      <c r="H970" s="30" t="n">
        <f aca="false">1-0.2*(SC_xmb+(SC_n-1)*SC_xmt)*G970/(SC_n*SC_b)</f>
        <v>0.7298</v>
      </c>
      <c r="I970" s="31" t="n">
        <f aca="false">SC_s*H970*SC_m*SC_n*SC_b*SQRT(2*g_)*G970^1.5</f>
        <v>218.035318542942</v>
      </c>
      <c r="J970" s="32" t="n">
        <f aca="false">F970+I970</f>
        <v>694.876463955275</v>
      </c>
      <c r="K970" s="32" t="n">
        <f aca="false">F970</f>
        <v>476.841145412333</v>
      </c>
      <c r="L970" s="32" t="n">
        <f aca="false">C970*1000000/dt_s+J970/2</f>
        <v>23367.209065311</v>
      </c>
      <c r="M970" s="32" t="n">
        <f aca="false">C970*1000000/dt_s+K970/2</f>
        <v>23258.1914060395</v>
      </c>
    </row>
    <row r="971" customFormat="false" ht="15" hidden="false" customHeight="false" outlineLevel="0" collapsed="false">
      <c r="A971" s="24" t="n">
        <f aca="false">ROUND(A970+0.01,2)</f>
        <v>80.66</v>
      </c>
      <c r="B971" s="25" t="n">
        <f aca="false">INDEX(Bang_F,MATCH(A971,Bang_Z,1))+(A971-INDEX(Bang_Z,MATCH(A971,Bang_Z,1)))*(INDEX(Bang_F,MATCH(A971,Bang_Z,1)+1)-INDEX(Bang_F,MATCH(A971,Bang_Z,1)))</f>
        <v>9.6976</v>
      </c>
      <c r="C971" s="25" t="n">
        <f aca="false">INDEX(Bang_W,MATCH(A971,Bang_Z,1))+(A971-INDEX(Bang_Z,MATCH(A971,Bang_Z,1)))*(INDEX(Bang_F,MATCH(A971,Bang_Z,1))+B971)/2</f>
        <v>82.968108</v>
      </c>
      <c r="D971" s="26" t="n">
        <f aca="false">MAX(A971-TC_Z,0)</f>
        <v>5.95999999999999</v>
      </c>
      <c r="E971" s="27" t="n">
        <f aca="false">1-0.2*(TC_xmb+(TC_n-1)*TC_xmt)*D971/(TC_n*TC_b)</f>
        <v>0.762703703703704</v>
      </c>
      <c r="F971" s="28" t="n">
        <f aca="false">TC_s*E971*TC_m*TC_n*TC_b*SQRT(2*g_)*D971^1.5</f>
        <v>477.794351713048</v>
      </c>
      <c r="G971" s="29" t="n">
        <f aca="false">MAX(A971-SC_Z,0)</f>
        <v>9.66</v>
      </c>
      <c r="H971" s="30" t="n">
        <f aca="false">1-0.2*(SC_xmb+(SC_n-1)*SC_xmt)*G971/(SC_n*SC_b)</f>
        <v>0.72952</v>
      </c>
      <c r="I971" s="31" t="n">
        <f aca="false">SC_s*H971*SC_m*SC_n*SC_b*SQRT(2*g_)*G971^1.5</f>
        <v>218.290538364615</v>
      </c>
      <c r="J971" s="32" t="n">
        <f aca="false">F971+I971</f>
        <v>696.084890077663</v>
      </c>
      <c r="K971" s="32" t="n">
        <f aca="false">F971</f>
        <v>477.794351713048</v>
      </c>
      <c r="L971" s="32" t="n">
        <f aca="false">C971*1000000/dt_s+J971/2</f>
        <v>23394.7391117055</v>
      </c>
      <c r="M971" s="32" t="n">
        <f aca="false">C971*1000000/dt_s+K971/2</f>
        <v>23285.5938425232</v>
      </c>
    </row>
    <row r="972" customFormat="false" ht="15" hidden="false" customHeight="false" outlineLevel="0" collapsed="false">
      <c r="A972" s="24" t="n">
        <f aca="false">ROUND(A971+0.01,2)</f>
        <v>80.67</v>
      </c>
      <c r="B972" s="25" t="n">
        <f aca="false">INDEX(Bang_F,MATCH(A972,Bang_Z,1))+(A972-INDEX(Bang_Z,MATCH(A972,Bang_Z,1)))*(INDEX(Bang_F,MATCH(A972,Bang_Z,1)+1)-INDEX(Bang_F,MATCH(A972,Bang_Z,1)))</f>
        <v>9.7062</v>
      </c>
      <c r="C972" s="25" t="n">
        <f aca="false">INDEX(Bang_W,MATCH(A972,Bang_Z,1))+(A972-INDEX(Bang_Z,MATCH(A972,Bang_Z,1)))*(INDEX(Bang_F,MATCH(A972,Bang_Z,1))+B972)/2</f>
        <v>83.065127</v>
      </c>
      <c r="D972" s="26" t="n">
        <f aca="false">MAX(A972-TC_Z,0)</f>
        <v>5.97</v>
      </c>
      <c r="E972" s="27" t="n">
        <f aca="false">1-0.2*(TC_xmb+(TC_n-1)*TC_xmt)*D972/(TC_n*TC_b)</f>
        <v>0.762305555555556</v>
      </c>
      <c r="F972" s="28" t="n">
        <f aca="false">TC_s*E972*TC_m*TC_n*TC_b*SQRT(2*g_)*D972^1.5</f>
        <v>478.747311359268</v>
      </c>
      <c r="G972" s="29" t="n">
        <f aca="false">MAX(A972-SC_Z,0)</f>
        <v>9.67</v>
      </c>
      <c r="H972" s="30" t="n">
        <f aca="false">1-0.2*(SC_xmb+(SC_n-1)*SC_xmt)*G972/(SC_n*SC_b)</f>
        <v>0.72924</v>
      </c>
      <c r="I972" s="31" t="n">
        <f aca="false">SC_s*H972*SC_m*SC_n*SC_b*SQRT(2*g_)*G972^1.5</f>
        <v>218.545673436133</v>
      </c>
      <c r="J972" s="32" t="n">
        <f aca="false">F972+I972</f>
        <v>697.292984795401</v>
      </c>
      <c r="K972" s="32" t="n">
        <f aca="false">F972</f>
        <v>478.747311359268</v>
      </c>
      <c r="L972" s="32" t="n">
        <f aca="false">C972*1000000/dt_s+J972/2</f>
        <v>23422.2928812866</v>
      </c>
      <c r="M972" s="32" t="n">
        <f aca="false">C972*1000000/dt_s+K972/2</f>
        <v>23313.0200445685</v>
      </c>
    </row>
    <row r="973" customFormat="false" ht="15" hidden="false" customHeight="false" outlineLevel="0" collapsed="false">
      <c r="A973" s="24" t="n">
        <f aca="false">ROUND(A972+0.01,2)</f>
        <v>80.68</v>
      </c>
      <c r="B973" s="25" t="n">
        <f aca="false">INDEX(Bang_F,MATCH(A973,Bang_Z,1))+(A973-INDEX(Bang_Z,MATCH(A973,Bang_Z,1)))*(INDEX(Bang_F,MATCH(A973,Bang_Z,1)+1)-INDEX(Bang_F,MATCH(A973,Bang_Z,1)))</f>
        <v>9.71480000000001</v>
      </c>
      <c r="C973" s="25" t="n">
        <f aca="false">INDEX(Bang_W,MATCH(A973,Bang_Z,1))+(A973-INDEX(Bang_Z,MATCH(A973,Bang_Z,1)))*(INDEX(Bang_F,MATCH(A973,Bang_Z,1))+B973)/2</f>
        <v>83.1622320000001</v>
      </c>
      <c r="D973" s="26" t="n">
        <f aca="false">MAX(A973-TC_Z,0)</f>
        <v>5.98</v>
      </c>
      <c r="E973" s="27" t="n">
        <f aca="false">1-0.2*(TC_xmb+(TC_n-1)*TC_xmt)*D973/(TC_n*TC_b)</f>
        <v>0.761907407407407</v>
      </c>
      <c r="F973" s="28" t="n">
        <f aca="false">TC_s*E973*TC_m*TC_n*TC_b*SQRT(2*g_)*D973^1.5</f>
        <v>479.700021926753</v>
      </c>
      <c r="G973" s="29" t="n">
        <f aca="false">MAX(A973-SC_Z,0)</f>
        <v>9.68000000000001</v>
      </c>
      <c r="H973" s="30" t="n">
        <f aca="false">1-0.2*(SC_xmb+(SC_n-1)*SC_xmt)*G973/(SC_n*SC_b)</f>
        <v>0.72896</v>
      </c>
      <c r="I973" s="31" t="n">
        <f aca="false">SC_s*H973*SC_m*SC_n*SC_b*SQRT(2*g_)*G973^1.5</f>
        <v>218.800723464811</v>
      </c>
      <c r="J973" s="32" t="n">
        <f aca="false">F973+I973</f>
        <v>698.500745391563</v>
      </c>
      <c r="K973" s="32" t="n">
        <f aca="false">F973</f>
        <v>479.700021926753</v>
      </c>
      <c r="L973" s="32" t="n">
        <f aca="false">C973*1000000/dt_s+J973/2</f>
        <v>23449.8703726958</v>
      </c>
      <c r="M973" s="32" t="n">
        <f aca="false">C973*1000000/dt_s+K973/2</f>
        <v>23340.4700109634</v>
      </c>
    </row>
    <row r="974" customFormat="false" ht="15" hidden="false" customHeight="false" outlineLevel="0" collapsed="false">
      <c r="A974" s="24" t="n">
        <f aca="false">ROUND(A973+0.01,2)</f>
        <v>80.69</v>
      </c>
      <c r="B974" s="25" t="n">
        <f aca="false">INDEX(Bang_F,MATCH(A974,Bang_Z,1))+(A974-INDEX(Bang_Z,MATCH(A974,Bang_Z,1)))*(INDEX(Bang_F,MATCH(A974,Bang_Z,1)+1)-INDEX(Bang_F,MATCH(A974,Bang_Z,1)))</f>
        <v>9.7234</v>
      </c>
      <c r="C974" s="25" t="n">
        <f aca="false">INDEX(Bang_W,MATCH(A974,Bang_Z,1))+(A974-INDEX(Bang_Z,MATCH(A974,Bang_Z,1)))*(INDEX(Bang_F,MATCH(A974,Bang_Z,1))+B974)/2</f>
        <v>83.259423</v>
      </c>
      <c r="D974" s="26" t="n">
        <f aca="false">MAX(A974-TC_Z,0)</f>
        <v>5.99</v>
      </c>
      <c r="E974" s="27" t="n">
        <f aca="false">1-0.2*(TC_xmb+(TC_n-1)*TC_xmt)*D974/(TC_n*TC_b)</f>
        <v>0.761509259259259</v>
      </c>
      <c r="F974" s="28" t="n">
        <f aca="false">TC_s*E974*TC_m*TC_n*TC_b*SQRT(2*g_)*D974^1.5</f>
        <v>480.652480995146</v>
      </c>
      <c r="G974" s="29" t="n">
        <f aca="false">MAX(A974-SC_Z,0)</f>
        <v>9.69</v>
      </c>
      <c r="H974" s="30" t="n">
        <f aca="false">1-0.2*(SC_xmb+(SC_n-1)*SC_xmt)*G974/(SC_n*SC_b)</f>
        <v>0.72868</v>
      </c>
      <c r="I974" s="31" t="n">
        <f aca="false">SC_s*H974*SC_m*SC_n*SC_b*SQRT(2*g_)*G974^1.5</f>
        <v>219.055688158243</v>
      </c>
      <c r="J974" s="32" t="n">
        <f aca="false">F974+I974</f>
        <v>699.708169153389</v>
      </c>
      <c r="K974" s="32" t="n">
        <f aca="false">F974</f>
        <v>480.652480995146</v>
      </c>
      <c r="L974" s="32" t="n">
        <f aca="false">C974*1000000/dt_s+J974/2</f>
        <v>23477.4715845767</v>
      </c>
      <c r="M974" s="32" t="n">
        <f aca="false">C974*1000000/dt_s+K974/2</f>
        <v>23367.9437404976</v>
      </c>
    </row>
    <row r="975" customFormat="false" ht="15" hidden="false" customHeight="false" outlineLevel="0" collapsed="false">
      <c r="A975" s="24" t="n">
        <f aca="false">ROUND(A974+0.01,2)</f>
        <v>80.7</v>
      </c>
      <c r="B975" s="25" t="n">
        <f aca="false">INDEX(Bang_F,MATCH(A975,Bang_Z,1))+(A975-INDEX(Bang_Z,MATCH(A975,Bang_Z,1)))*(INDEX(Bang_F,MATCH(A975,Bang_Z,1)+1)-INDEX(Bang_F,MATCH(A975,Bang_Z,1)))</f>
        <v>9.732</v>
      </c>
      <c r="C975" s="25" t="n">
        <f aca="false">INDEX(Bang_W,MATCH(A975,Bang_Z,1))+(A975-INDEX(Bang_Z,MATCH(A975,Bang_Z,1)))*(INDEX(Bang_F,MATCH(A975,Bang_Z,1))+B975)/2</f>
        <v>83.3567</v>
      </c>
      <c r="D975" s="26" t="n">
        <f aca="false">MAX(A975-TC_Z,0)</f>
        <v>6</v>
      </c>
      <c r="E975" s="27" t="n">
        <f aca="false">1-0.2*(TC_xmb+(TC_n-1)*TC_xmt)*D975/(TC_n*TC_b)</f>
        <v>0.761111111111111</v>
      </c>
      <c r="F975" s="28" t="n">
        <f aca="false">TC_s*E975*TC_m*TC_n*TC_b*SQRT(2*g_)*D975^1.5</f>
        <v>481.604686147965</v>
      </c>
      <c r="G975" s="29" t="n">
        <f aca="false">MAX(A975-SC_Z,0)</f>
        <v>9.7</v>
      </c>
      <c r="H975" s="30" t="n">
        <f aca="false">1-0.2*(SC_xmb+(SC_n-1)*SC_xmt)*G975/(SC_n*SC_b)</f>
        <v>0.7284</v>
      </c>
      <c r="I975" s="31" t="n">
        <f aca="false">SC_s*H975*SC_m*SC_n*SC_b*SQRT(2*g_)*G975^1.5</f>
        <v>219.310567224303</v>
      </c>
      <c r="J975" s="32" t="n">
        <f aca="false">F975+I975</f>
        <v>700.915253372268</v>
      </c>
      <c r="K975" s="32" t="n">
        <f aca="false">F975</f>
        <v>481.604686147965</v>
      </c>
      <c r="L975" s="32" t="n">
        <f aca="false">C975*1000000/dt_s+J975/2</f>
        <v>23505.096515575</v>
      </c>
      <c r="M975" s="32" t="n">
        <f aca="false">C975*1000000/dt_s+K975/2</f>
        <v>23395.4412319629</v>
      </c>
    </row>
    <row r="976" customFormat="false" ht="15" hidden="false" customHeight="false" outlineLevel="0" collapsed="false">
      <c r="A976" s="24" t="n">
        <f aca="false">ROUND(A975+0.01,2)</f>
        <v>80.71</v>
      </c>
      <c r="B976" s="25" t="n">
        <f aca="false">INDEX(Bang_F,MATCH(A976,Bang_Z,1))+(A976-INDEX(Bang_Z,MATCH(A976,Bang_Z,1)))*(INDEX(Bang_F,MATCH(A976,Bang_Z,1)+1)-INDEX(Bang_F,MATCH(A976,Bang_Z,1)))</f>
        <v>9.7406</v>
      </c>
      <c r="C976" s="25" t="n">
        <f aca="false">INDEX(Bang_W,MATCH(A976,Bang_Z,1))+(A976-INDEX(Bang_Z,MATCH(A976,Bang_Z,1)))*(INDEX(Bang_F,MATCH(A976,Bang_Z,1))+B976)/2</f>
        <v>83.4540629999999</v>
      </c>
      <c r="D976" s="26" t="n">
        <f aca="false">MAX(A976-TC_Z,0)</f>
        <v>6.00999999999999</v>
      </c>
      <c r="E976" s="27" t="n">
        <f aca="false">1-0.2*(TC_xmb+(TC_n-1)*TC_xmt)*D976/(TC_n*TC_b)</f>
        <v>0.760712962962963</v>
      </c>
      <c r="F976" s="28" t="n">
        <f aca="false">TC_s*E976*TC_m*TC_n*TC_b*SQRT(2*g_)*D976^1.5</f>
        <v>482.556634972575</v>
      </c>
      <c r="G976" s="29" t="n">
        <f aca="false">MAX(A976-SC_Z,0)</f>
        <v>9.70999999999999</v>
      </c>
      <c r="H976" s="30" t="n">
        <f aca="false">1-0.2*(SC_xmb+(SC_n-1)*SC_xmt)*G976/(SC_n*SC_b)</f>
        <v>0.72812</v>
      </c>
      <c r="I976" s="31" t="n">
        <f aca="false">SC_s*H976*SC_m*SC_n*SC_b*SQRT(2*g_)*G976^1.5</f>
        <v>219.565360371143</v>
      </c>
      <c r="J976" s="32" t="n">
        <f aca="false">F976+I976</f>
        <v>702.121995343717</v>
      </c>
      <c r="K976" s="32" t="n">
        <f aca="false">F976</f>
        <v>482.556634972575</v>
      </c>
      <c r="L976" s="32" t="n">
        <f aca="false">C976*1000000/dt_s+J976/2</f>
        <v>23532.7451643385</v>
      </c>
      <c r="M976" s="32" t="n">
        <f aca="false">C976*1000000/dt_s+K976/2</f>
        <v>23422.9624841529</v>
      </c>
    </row>
    <row r="977" customFormat="false" ht="15" hidden="false" customHeight="false" outlineLevel="0" collapsed="false">
      <c r="A977" s="24" t="n">
        <f aca="false">ROUND(A976+0.01,2)</f>
        <v>80.72</v>
      </c>
      <c r="B977" s="25" t="n">
        <f aca="false">INDEX(Bang_F,MATCH(A977,Bang_Z,1))+(A977-INDEX(Bang_Z,MATCH(A977,Bang_Z,1)))*(INDEX(Bang_F,MATCH(A977,Bang_Z,1)+1)-INDEX(Bang_F,MATCH(A977,Bang_Z,1)))</f>
        <v>9.7492</v>
      </c>
      <c r="C977" s="25" t="n">
        <f aca="false">INDEX(Bang_W,MATCH(A977,Bang_Z,1))+(A977-INDEX(Bang_Z,MATCH(A977,Bang_Z,1)))*(INDEX(Bang_F,MATCH(A977,Bang_Z,1))+B977)/2</f>
        <v>83.551512</v>
      </c>
      <c r="D977" s="26" t="n">
        <f aca="false">MAX(A977-TC_Z,0)</f>
        <v>6.02</v>
      </c>
      <c r="E977" s="27" t="n">
        <f aca="false">1-0.2*(TC_xmb+(TC_n-1)*TC_xmt)*D977/(TC_n*TC_b)</f>
        <v>0.760314814814815</v>
      </c>
      <c r="F977" s="28" t="n">
        <f aca="false">TC_s*E977*TC_m*TC_n*TC_b*SQRT(2*g_)*D977^1.5</f>
        <v>483.508325060185</v>
      </c>
      <c r="G977" s="29" t="n">
        <f aca="false">MAX(A977-SC_Z,0)</f>
        <v>9.72</v>
      </c>
      <c r="H977" s="30" t="n">
        <f aca="false">1-0.2*(SC_xmb+(SC_n-1)*SC_xmt)*G977/(SC_n*SC_b)</f>
        <v>0.72784</v>
      </c>
      <c r="I977" s="31" t="n">
        <f aca="false">SC_s*H977*SC_m*SC_n*SC_b*SQRT(2*g_)*G977^1.5</f>
        <v>219.820067307193</v>
      </c>
      <c r="J977" s="32" t="n">
        <f aca="false">F977+I977</f>
        <v>703.328392367378</v>
      </c>
      <c r="K977" s="32" t="n">
        <f aca="false">F977</f>
        <v>483.508325060185</v>
      </c>
      <c r="L977" s="32" t="n">
        <f aca="false">C977*1000000/dt_s+J977/2</f>
        <v>23560.417529517</v>
      </c>
      <c r="M977" s="32" t="n">
        <f aca="false">C977*1000000/dt_s+K977/2</f>
        <v>23450.5074958634</v>
      </c>
    </row>
    <row r="978" customFormat="false" ht="15" hidden="false" customHeight="false" outlineLevel="0" collapsed="false">
      <c r="A978" s="24" t="n">
        <f aca="false">ROUND(A977+0.01,2)</f>
        <v>80.73</v>
      </c>
      <c r="B978" s="25" t="n">
        <f aca="false">INDEX(Bang_F,MATCH(A978,Bang_Z,1))+(A978-INDEX(Bang_Z,MATCH(A978,Bang_Z,1)))*(INDEX(Bang_F,MATCH(A978,Bang_Z,1)+1)-INDEX(Bang_F,MATCH(A978,Bang_Z,1)))</f>
        <v>9.7578</v>
      </c>
      <c r="C978" s="25" t="n">
        <f aca="false">INDEX(Bang_W,MATCH(A978,Bang_Z,1))+(A978-INDEX(Bang_Z,MATCH(A978,Bang_Z,1)))*(INDEX(Bang_F,MATCH(A978,Bang_Z,1))+B978)/2</f>
        <v>83.649047</v>
      </c>
      <c r="D978" s="26" t="n">
        <f aca="false">MAX(A978-TC_Z,0)</f>
        <v>6.03</v>
      </c>
      <c r="E978" s="27" t="n">
        <f aca="false">1-0.2*(TC_xmb+(TC_n-1)*TC_xmt)*D978/(TC_n*TC_b)</f>
        <v>0.759916666666667</v>
      </c>
      <c r="F978" s="28" t="n">
        <f aca="false">TC_s*E978*TC_m*TC_n*TC_b*SQRT(2*g_)*D978^1.5</f>
        <v>484.459754005828</v>
      </c>
      <c r="G978" s="29" t="n">
        <f aca="false">MAX(A978-SC_Z,0)</f>
        <v>9.73</v>
      </c>
      <c r="H978" s="30" t="n">
        <f aca="false">1-0.2*(SC_xmb+(SC_n-1)*SC_xmt)*G978/(SC_n*SC_b)</f>
        <v>0.72756</v>
      </c>
      <c r="I978" s="31" t="n">
        <f aca="false">SC_s*H978*SC_m*SC_n*SC_b*SQRT(2*g_)*G978^1.5</f>
        <v>220.074687741161</v>
      </c>
      <c r="J978" s="32" t="n">
        <f aca="false">F978+I978</f>
        <v>704.534441746989</v>
      </c>
      <c r="K978" s="32" t="n">
        <f aca="false">F978</f>
        <v>484.459754005828</v>
      </c>
      <c r="L978" s="32" t="n">
        <f aca="false">C978*1000000/dt_s+J978/2</f>
        <v>23588.1136097624</v>
      </c>
      <c r="M978" s="32" t="n">
        <f aca="false">C978*1000000/dt_s+K978/2</f>
        <v>23478.0762658918</v>
      </c>
    </row>
    <row r="979" customFormat="false" ht="15" hidden="false" customHeight="false" outlineLevel="0" collapsed="false">
      <c r="A979" s="24" t="n">
        <f aca="false">ROUND(A978+0.01,2)</f>
        <v>80.74</v>
      </c>
      <c r="B979" s="25" t="n">
        <f aca="false">INDEX(Bang_F,MATCH(A979,Bang_Z,1))+(A979-INDEX(Bang_Z,MATCH(A979,Bang_Z,1)))*(INDEX(Bang_F,MATCH(A979,Bang_Z,1)+1)-INDEX(Bang_F,MATCH(A979,Bang_Z,1)))</f>
        <v>9.7664</v>
      </c>
      <c r="C979" s="25" t="n">
        <f aca="false">INDEX(Bang_W,MATCH(A979,Bang_Z,1))+(A979-INDEX(Bang_Z,MATCH(A979,Bang_Z,1)))*(INDEX(Bang_F,MATCH(A979,Bang_Z,1))+B979)/2</f>
        <v>83.7466679999999</v>
      </c>
      <c r="D979" s="26" t="n">
        <f aca="false">MAX(A979-TC_Z,0)</f>
        <v>6.03999999999999</v>
      </c>
      <c r="E979" s="27" t="n">
        <f aca="false">1-0.2*(TC_xmb+(TC_n-1)*TC_xmt)*D979/(TC_n*TC_b)</f>
        <v>0.759518518518519</v>
      </c>
      <c r="F979" s="28" t="n">
        <f aca="false">TC_s*E979*TC_m*TC_n*TC_b*SQRT(2*g_)*D979^1.5</f>
        <v>485.410919408347</v>
      </c>
      <c r="G979" s="29" t="n">
        <f aca="false">MAX(A979-SC_Z,0)</f>
        <v>9.74</v>
      </c>
      <c r="H979" s="30" t="n">
        <f aca="false">1-0.2*(SC_xmb+(SC_n-1)*SC_xmt)*G979/(SC_n*SC_b)</f>
        <v>0.72728</v>
      </c>
      <c r="I979" s="31" t="n">
        <f aca="false">SC_s*H979*SC_m*SC_n*SC_b*SQRT(2*g_)*G979^1.5</f>
        <v>220.32922138203</v>
      </c>
      <c r="J979" s="32" t="n">
        <f aca="false">F979+I979</f>
        <v>705.740140790377</v>
      </c>
      <c r="K979" s="32" t="n">
        <f aca="false">F979</f>
        <v>485.410919408347</v>
      </c>
      <c r="L979" s="32" t="n">
        <f aca="false">C979*1000000/dt_s+J979/2</f>
        <v>23615.8334037285</v>
      </c>
      <c r="M979" s="32" t="n">
        <f aca="false">C979*1000000/dt_s+K979/2</f>
        <v>23505.6687930375</v>
      </c>
    </row>
    <row r="980" customFormat="false" ht="15" hidden="false" customHeight="false" outlineLevel="0" collapsed="false">
      <c r="A980" s="24" t="n">
        <f aca="false">ROUND(A979+0.01,2)</f>
        <v>80.75</v>
      </c>
      <c r="B980" s="25" t="n">
        <f aca="false">INDEX(Bang_F,MATCH(A980,Bang_Z,1))+(A980-INDEX(Bang_Z,MATCH(A980,Bang_Z,1)))*(INDEX(Bang_F,MATCH(A980,Bang_Z,1)+1)-INDEX(Bang_F,MATCH(A980,Bang_Z,1)))</f>
        <v>9.775</v>
      </c>
      <c r="C980" s="25" t="n">
        <f aca="false">INDEX(Bang_W,MATCH(A980,Bang_Z,1))+(A980-INDEX(Bang_Z,MATCH(A980,Bang_Z,1)))*(INDEX(Bang_F,MATCH(A980,Bang_Z,1))+B980)/2</f>
        <v>83.844375</v>
      </c>
      <c r="D980" s="26" t="n">
        <f aca="false">MAX(A980-TC_Z,0)</f>
        <v>6.05</v>
      </c>
      <c r="E980" s="27" t="n">
        <f aca="false">1-0.2*(TC_xmb+(TC_n-1)*TC_xmt)*D980/(TC_n*TC_b)</f>
        <v>0.75912037037037</v>
      </c>
      <c r="F980" s="28" t="n">
        <f aca="false">TC_s*E980*TC_m*TC_n*TC_b*SQRT(2*g_)*D980^1.5</f>
        <v>486.361818870388</v>
      </c>
      <c r="G980" s="29" t="n">
        <f aca="false">MAX(A980-SC_Z,0)</f>
        <v>9.75</v>
      </c>
      <c r="H980" s="30" t="n">
        <f aca="false">1-0.2*(SC_xmb+(SC_n-1)*SC_xmt)*G980/(SC_n*SC_b)</f>
        <v>0.727</v>
      </c>
      <c r="I980" s="31" t="n">
        <f aca="false">SC_s*H980*SC_m*SC_n*SC_b*SQRT(2*g_)*G980^1.5</f>
        <v>220.58366793906</v>
      </c>
      <c r="J980" s="32" t="n">
        <f aca="false">F980+I980</f>
        <v>706.945486809448</v>
      </c>
      <c r="K980" s="32" t="n">
        <f aca="false">F980</f>
        <v>486.361818870388</v>
      </c>
      <c r="L980" s="32" t="n">
        <f aca="false">C980*1000000/dt_s+J980/2</f>
        <v>23643.5769100714</v>
      </c>
      <c r="M980" s="32" t="n">
        <f aca="false">C980*1000000/dt_s+K980/2</f>
        <v>23533.2850761019</v>
      </c>
    </row>
    <row r="981" customFormat="false" ht="15" hidden="false" customHeight="false" outlineLevel="0" collapsed="false">
      <c r="A981" s="24" t="n">
        <f aca="false">ROUND(A980+0.01,2)</f>
        <v>80.76</v>
      </c>
      <c r="B981" s="25" t="n">
        <f aca="false">INDEX(Bang_F,MATCH(A981,Bang_Z,1))+(A981-INDEX(Bang_Z,MATCH(A981,Bang_Z,1)))*(INDEX(Bang_F,MATCH(A981,Bang_Z,1)+1)-INDEX(Bang_F,MATCH(A981,Bang_Z,1)))</f>
        <v>9.78360000000001</v>
      </c>
      <c r="C981" s="25" t="n">
        <f aca="false">INDEX(Bang_W,MATCH(A981,Bang_Z,1))+(A981-INDEX(Bang_Z,MATCH(A981,Bang_Z,1)))*(INDEX(Bang_F,MATCH(A981,Bang_Z,1))+B981)/2</f>
        <v>83.9421680000001</v>
      </c>
      <c r="D981" s="26" t="n">
        <f aca="false">MAX(A981-TC_Z,0)</f>
        <v>6.06</v>
      </c>
      <c r="E981" s="27" t="n">
        <f aca="false">1-0.2*(TC_xmb+(TC_n-1)*TC_xmt)*D981/(TC_n*TC_b)</f>
        <v>0.758722222222222</v>
      </c>
      <c r="F981" s="28" t="n">
        <f aca="false">TC_s*E981*TC_m*TC_n*TC_b*SQRT(2*g_)*D981^1.5</f>
        <v>487.312449998375</v>
      </c>
      <c r="G981" s="29" t="n">
        <f aca="false">MAX(A981-SC_Z,0)</f>
        <v>9.76000000000001</v>
      </c>
      <c r="H981" s="30" t="n">
        <f aca="false">1-0.2*(SC_xmb+(SC_n-1)*SC_xmt)*G981/(SC_n*SC_b)</f>
        <v>0.72672</v>
      </c>
      <c r="I981" s="31" t="n">
        <f aca="false">SC_s*H981*SC_m*SC_n*SC_b*SQRT(2*g_)*G981^1.5</f>
        <v>220.838027121787</v>
      </c>
      <c r="J981" s="32" t="n">
        <f aca="false">F981+I981</f>
        <v>708.150477120162</v>
      </c>
      <c r="K981" s="32" t="n">
        <f aca="false">F981</f>
        <v>487.312449998375</v>
      </c>
      <c r="L981" s="32" t="n">
        <f aca="false">C981*1000000/dt_s+J981/2</f>
        <v>23671.344127449</v>
      </c>
      <c r="M981" s="32" t="n">
        <f aca="false">C981*1000000/dt_s+K981/2</f>
        <v>23560.9251138881</v>
      </c>
    </row>
    <row r="982" customFormat="false" ht="15" hidden="false" customHeight="false" outlineLevel="0" collapsed="false">
      <c r="A982" s="24" t="n">
        <f aca="false">ROUND(A981+0.01,2)</f>
        <v>80.77</v>
      </c>
      <c r="B982" s="25" t="n">
        <f aca="false">INDEX(Bang_F,MATCH(A982,Bang_Z,1))+(A982-INDEX(Bang_Z,MATCH(A982,Bang_Z,1)))*(INDEX(Bang_F,MATCH(A982,Bang_Z,1)+1)-INDEX(Bang_F,MATCH(A982,Bang_Z,1)))</f>
        <v>9.7922</v>
      </c>
      <c r="C982" s="25" t="n">
        <f aca="false">INDEX(Bang_W,MATCH(A982,Bang_Z,1))+(A982-INDEX(Bang_Z,MATCH(A982,Bang_Z,1)))*(INDEX(Bang_F,MATCH(A982,Bang_Z,1))+B982)/2</f>
        <v>84.040047</v>
      </c>
      <c r="D982" s="26" t="n">
        <f aca="false">MAX(A982-TC_Z,0)</f>
        <v>6.06999999999999</v>
      </c>
      <c r="E982" s="27" t="n">
        <f aca="false">1-0.2*(TC_xmb+(TC_n-1)*TC_xmt)*D982/(TC_n*TC_b)</f>
        <v>0.758324074074074</v>
      </c>
      <c r="F982" s="28" t="n">
        <f aca="false">TC_s*E982*TC_m*TC_n*TC_b*SQRT(2*g_)*D982^1.5</f>
        <v>488.262810402505</v>
      </c>
      <c r="G982" s="29" t="n">
        <f aca="false">MAX(A982-SC_Z,0)</f>
        <v>9.77</v>
      </c>
      <c r="H982" s="30" t="n">
        <f aca="false">1-0.2*(SC_xmb+(SC_n-1)*SC_xmt)*G982/(SC_n*SC_b)</f>
        <v>0.72644</v>
      </c>
      <c r="I982" s="31" t="n">
        <f aca="false">SC_s*H982*SC_m*SC_n*SC_b*SQRT(2*g_)*G982^1.5</f>
        <v>221.092298640021</v>
      </c>
      <c r="J982" s="32" t="n">
        <f aca="false">F982+I982</f>
        <v>709.355109042525</v>
      </c>
      <c r="K982" s="32" t="n">
        <f aca="false">F982</f>
        <v>488.262810402505</v>
      </c>
      <c r="L982" s="32" t="n">
        <f aca="false">C982*1000000/dt_s+J982/2</f>
        <v>23699.1350545212</v>
      </c>
      <c r="M982" s="32" t="n">
        <f aca="false">C982*1000000/dt_s+K982/2</f>
        <v>23588.5889052012</v>
      </c>
    </row>
    <row r="983" customFormat="false" ht="15" hidden="false" customHeight="false" outlineLevel="0" collapsed="false">
      <c r="A983" s="24" t="n">
        <f aca="false">ROUND(A982+0.01,2)</f>
        <v>80.78</v>
      </c>
      <c r="B983" s="25" t="n">
        <f aca="false">INDEX(Bang_F,MATCH(A983,Bang_Z,1))+(A983-INDEX(Bang_Z,MATCH(A983,Bang_Z,1)))*(INDEX(Bang_F,MATCH(A983,Bang_Z,1)+1)-INDEX(Bang_F,MATCH(A983,Bang_Z,1)))</f>
        <v>9.8008</v>
      </c>
      <c r="C983" s="25" t="n">
        <f aca="false">INDEX(Bang_W,MATCH(A983,Bang_Z,1))+(A983-INDEX(Bang_Z,MATCH(A983,Bang_Z,1)))*(INDEX(Bang_F,MATCH(A983,Bang_Z,1))+B983)/2</f>
        <v>84.138012</v>
      </c>
      <c r="D983" s="26" t="n">
        <f aca="false">MAX(A983-TC_Z,0)</f>
        <v>6.08</v>
      </c>
      <c r="E983" s="27" t="n">
        <f aca="false">1-0.2*(TC_xmb+(TC_n-1)*TC_xmt)*D983/(TC_n*TC_b)</f>
        <v>0.757925925925926</v>
      </c>
      <c r="F983" s="28" t="n">
        <f aca="false">TC_s*E983*TC_m*TC_n*TC_b*SQRT(2*g_)*D983^1.5</f>
        <v>489.212897696731</v>
      </c>
      <c r="G983" s="29" t="n">
        <f aca="false">MAX(A983-SC_Z,0)</f>
        <v>9.78</v>
      </c>
      <c r="H983" s="30" t="n">
        <f aca="false">1-0.2*(SC_xmb+(SC_n-1)*SC_xmt)*G983/(SC_n*SC_b)</f>
        <v>0.72616</v>
      </c>
      <c r="I983" s="31" t="n">
        <f aca="false">SC_s*H983*SC_m*SC_n*SC_b*SQRT(2*g_)*G983^1.5</f>
        <v>221.346482203846</v>
      </c>
      <c r="J983" s="32" t="n">
        <f aca="false">F983+I983</f>
        <v>710.559379900577</v>
      </c>
      <c r="K983" s="32" t="n">
        <f aca="false">F983</f>
        <v>489.212897696731</v>
      </c>
      <c r="L983" s="32" t="n">
        <f aca="false">C983*1000000/dt_s+J983/2</f>
        <v>23726.9496899503</v>
      </c>
      <c r="M983" s="32" t="n">
        <f aca="false">C983*1000000/dt_s+K983/2</f>
        <v>23616.2764488484</v>
      </c>
    </row>
    <row r="984" customFormat="false" ht="15" hidden="false" customHeight="false" outlineLevel="0" collapsed="false">
      <c r="A984" s="24" t="n">
        <f aca="false">ROUND(A983+0.01,2)</f>
        <v>80.79</v>
      </c>
      <c r="B984" s="25" t="n">
        <f aca="false">INDEX(Bang_F,MATCH(A984,Bang_Z,1))+(A984-INDEX(Bang_Z,MATCH(A984,Bang_Z,1)))*(INDEX(Bang_F,MATCH(A984,Bang_Z,1)+1)-INDEX(Bang_F,MATCH(A984,Bang_Z,1)))</f>
        <v>9.80940000000001</v>
      </c>
      <c r="C984" s="25" t="n">
        <f aca="false">INDEX(Bang_W,MATCH(A984,Bang_Z,1))+(A984-INDEX(Bang_Z,MATCH(A984,Bang_Z,1)))*(INDEX(Bang_F,MATCH(A984,Bang_Z,1))+B984)/2</f>
        <v>84.2360630000001</v>
      </c>
      <c r="D984" s="26" t="n">
        <f aca="false">MAX(A984-TC_Z,0)</f>
        <v>6.09</v>
      </c>
      <c r="E984" s="27" t="n">
        <f aca="false">1-0.2*(TC_xmb+(TC_n-1)*TC_xmt)*D984/(TC_n*TC_b)</f>
        <v>0.757527777777778</v>
      </c>
      <c r="F984" s="28" t="n">
        <f aca="false">TC_s*E984*TC_m*TC_n*TC_b*SQRT(2*g_)*D984^1.5</f>
        <v>490.162709498748</v>
      </c>
      <c r="G984" s="29" t="n">
        <f aca="false">MAX(A984-SC_Z,0)</f>
        <v>9.79000000000001</v>
      </c>
      <c r="H984" s="30" t="n">
        <f aca="false">1-0.2*(SC_xmb+(SC_n-1)*SC_xmt)*G984/(SC_n*SC_b)</f>
        <v>0.72588</v>
      </c>
      <c r="I984" s="31" t="n">
        <f aca="false">SC_s*H984*SC_m*SC_n*SC_b*SQRT(2*g_)*G984^1.5</f>
        <v>221.60057752362</v>
      </c>
      <c r="J984" s="32" t="n">
        <f aca="false">F984+I984</f>
        <v>711.763287022368</v>
      </c>
      <c r="K984" s="32" t="n">
        <f aca="false">F984</f>
        <v>490.162709498748</v>
      </c>
      <c r="L984" s="32" t="n">
        <f aca="false">C984*1000000/dt_s+J984/2</f>
        <v>23754.7880324001</v>
      </c>
      <c r="M984" s="32" t="n">
        <f aca="false">C984*1000000/dt_s+K984/2</f>
        <v>23643.9877436383</v>
      </c>
    </row>
    <row r="985" customFormat="false" ht="15" hidden="false" customHeight="false" outlineLevel="0" collapsed="false">
      <c r="A985" s="24" t="n">
        <f aca="false">ROUND(A984+0.01,2)</f>
        <v>80.8</v>
      </c>
      <c r="B985" s="25" t="n">
        <f aca="false">INDEX(Bang_F,MATCH(A985,Bang_Z,1))+(A985-INDEX(Bang_Z,MATCH(A985,Bang_Z,1)))*(INDEX(Bang_F,MATCH(A985,Bang_Z,1)+1)-INDEX(Bang_F,MATCH(A985,Bang_Z,1)))</f>
        <v>9.818</v>
      </c>
      <c r="C985" s="25" t="n">
        <f aca="false">INDEX(Bang_W,MATCH(A985,Bang_Z,1))+(A985-INDEX(Bang_Z,MATCH(A985,Bang_Z,1)))*(INDEX(Bang_F,MATCH(A985,Bang_Z,1))+B985)/2</f>
        <v>84.3342</v>
      </c>
      <c r="D985" s="26" t="n">
        <f aca="false">MAX(A985-TC_Z,0)</f>
        <v>6.09999999999999</v>
      </c>
      <c r="E985" s="27" t="n">
        <f aca="false">1-0.2*(TC_xmb+(TC_n-1)*TC_xmt)*D985/(TC_n*TC_b)</f>
        <v>0.75712962962963</v>
      </c>
      <c r="F985" s="28" t="n">
        <f aca="false">TC_s*E985*TC_m*TC_n*TC_b*SQRT(2*g_)*D985^1.5</f>
        <v>491.112243429979</v>
      </c>
      <c r="G985" s="29" t="n">
        <f aca="false">MAX(A985-SC_Z,0)</f>
        <v>9.8</v>
      </c>
      <c r="H985" s="30" t="n">
        <f aca="false">1-0.2*(SC_xmb+(SC_n-1)*SC_xmt)*G985/(SC_n*SC_b)</f>
        <v>0.7256</v>
      </c>
      <c r="I985" s="31" t="n">
        <f aca="false">SC_s*H985*SC_m*SC_n*SC_b*SQRT(2*g_)*G985^1.5</f>
        <v>221.854584309974</v>
      </c>
      <c r="J985" s="32" t="n">
        <f aca="false">F985+I985</f>
        <v>712.966827739953</v>
      </c>
      <c r="K985" s="32" t="n">
        <f aca="false">F985</f>
        <v>491.112243429979</v>
      </c>
      <c r="L985" s="32" t="n">
        <f aca="false">C985*1000000/dt_s+J985/2</f>
        <v>23782.6500805366</v>
      </c>
      <c r="M985" s="32" t="n">
        <f aca="false">C985*1000000/dt_s+K985/2</f>
        <v>23671.7227883816</v>
      </c>
    </row>
    <row r="986" customFormat="false" ht="15" hidden="false" customHeight="false" outlineLevel="0" collapsed="false">
      <c r="A986" s="24" t="n">
        <f aca="false">ROUND(A985+0.01,2)</f>
        <v>80.81</v>
      </c>
      <c r="B986" s="25" t="n">
        <f aca="false">INDEX(Bang_F,MATCH(A986,Bang_Z,1))+(A986-INDEX(Bang_Z,MATCH(A986,Bang_Z,1)))*(INDEX(Bang_F,MATCH(A986,Bang_Z,1)+1)-INDEX(Bang_F,MATCH(A986,Bang_Z,1)))</f>
        <v>9.8266</v>
      </c>
      <c r="C986" s="25" t="n">
        <f aca="false">INDEX(Bang_W,MATCH(A986,Bang_Z,1))+(A986-INDEX(Bang_Z,MATCH(A986,Bang_Z,1)))*(INDEX(Bang_F,MATCH(A986,Bang_Z,1))+B986)/2</f>
        <v>84.432423</v>
      </c>
      <c r="D986" s="26" t="n">
        <f aca="false">MAX(A986-TC_Z,0)</f>
        <v>6.11</v>
      </c>
      <c r="E986" s="27" t="n">
        <f aca="false">1-0.2*(TC_xmb+(TC_n-1)*TC_xmt)*D986/(TC_n*TC_b)</f>
        <v>0.756731481481482</v>
      </c>
      <c r="F986" s="28" t="n">
        <f aca="false">TC_s*E986*TC_m*TC_n*TC_b*SQRT(2*g_)*D986^1.5</f>
        <v>492.061497115564</v>
      </c>
      <c r="G986" s="29" t="n">
        <f aca="false">MAX(A986-SC_Z,0)</f>
        <v>9.81</v>
      </c>
      <c r="H986" s="30" t="n">
        <f aca="false">1-0.2*(SC_xmb+(SC_n-1)*SC_xmt)*G986/(SC_n*SC_b)</f>
        <v>0.72532</v>
      </c>
      <c r="I986" s="31" t="n">
        <f aca="false">SC_s*H986*SC_m*SC_n*SC_b*SQRT(2*g_)*G986^1.5</f>
        <v>222.108502273812</v>
      </c>
      <c r="J986" s="32" t="n">
        <f aca="false">F986+I986</f>
        <v>714.169999389376</v>
      </c>
      <c r="K986" s="32" t="n">
        <f aca="false">F986</f>
        <v>492.061497115564</v>
      </c>
      <c r="L986" s="32" t="n">
        <f aca="false">C986*1000000/dt_s+J986/2</f>
        <v>23810.535833028</v>
      </c>
      <c r="M986" s="32" t="n">
        <f aca="false">C986*1000000/dt_s+K986/2</f>
        <v>23699.4815818911</v>
      </c>
    </row>
    <row r="987" customFormat="false" ht="15" hidden="false" customHeight="false" outlineLevel="0" collapsed="false">
      <c r="A987" s="24" t="n">
        <f aca="false">ROUND(A986+0.01,2)</f>
        <v>80.82</v>
      </c>
      <c r="B987" s="25" t="n">
        <f aca="false">INDEX(Bang_F,MATCH(A987,Bang_Z,1))+(A987-INDEX(Bang_Z,MATCH(A987,Bang_Z,1)))*(INDEX(Bang_F,MATCH(A987,Bang_Z,1)+1)-INDEX(Bang_F,MATCH(A987,Bang_Z,1)))</f>
        <v>9.8352</v>
      </c>
      <c r="C987" s="25" t="n">
        <f aca="false">INDEX(Bang_W,MATCH(A987,Bang_Z,1))+(A987-INDEX(Bang_Z,MATCH(A987,Bang_Z,1)))*(INDEX(Bang_F,MATCH(A987,Bang_Z,1))+B987)/2</f>
        <v>84.5307319999999</v>
      </c>
      <c r="D987" s="26" t="n">
        <f aca="false">MAX(A987-TC_Z,0)</f>
        <v>6.11999999999999</v>
      </c>
      <c r="E987" s="27" t="n">
        <f aca="false">1-0.2*(TC_xmb+(TC_n-1)*TC_xmt)*D987/(TC_n*TC_b)</f>
        <v>0.756333333333334</v>
      </c>
      <c r="F987" s="28" t="n">
        <f aca="false">TC_s*E987*TC_m*TC_n*TC_b*SQRT(2*g_)*D987^1.5</f>
        <v>493.010468184344</v>
      </c>
      <c r="G987" s="29" t="n">
        <f aca="false">MAX(A987-SC_Z,0)</f>
        <v>9.81999999999999</v>
      </c>
      <c r="H987" s="30" t="n">
        <f aca="false">1-0.2*(SC_xmb+(SC_n-1)*SC_xmt)*G987/(SC_n*SC_b)</f>
        <v>0.72504</v>
      </c>
      <c r="I987" s="31" t="n">
        <f aca="false">SC_s*H987*SC_m*SC_n*SC_b*SQRT(2*g_)*G987^1.5</f>
        <v>222.362331126307</v>
      </c>
      <c r="J987" s="32" t="n">
        <f aca="false">F987+I987</f>
        <v>715.372799310651</v>
      </c>
      <c r="K987" s="32" t="n">
        <f aca="false">F987</f>
        <v>493.010468184344</v>
      </c>
      <c r="L987" s="32" t="n">
        <f aca="false">C987*1000000/dt_s+J987/2</f>
        <v>23838.4452885442</v>
      </c>
      <c r="M987" s="32" t="n">
        <f aca="false">C987*1000000/dt_s+K987/2</f>
        <v>23727.264122981</v>
      </c>
    </row>
    <row r="988" customFormat="false" ht="15" hidden="false" customHeight="false" outlineLevel="0" collapsed="false">
      <c r="A988" s="24" t="n">
        <f aca="false">ROUND(A987+0.01,2)</f>
        <v>80.83</v>
      </c>
      <c r="B988" s="25" t="n">
        <f aca="false">INDEX(Bang_F,MATCH(A988,Bang_Z,1))+(A988-INDEX(Bang_Z,MATCH(A988,Bang_Z,1)))*(INDEX(Bang_F,MATCH(A988,Bang_Z,1)+1)-INDEX(Bang_F,MATCH(A988,Bang_Z,1)))</f>
        <v>9.8438</v>
      </c>
      <c r="C988" s="25" t="n">
        <f aca="false">INDEX(Bang_W,MATCH(A988,Bang_Z,1))+(A988-INDEX(Bang_Z,MATCH(A988,Bang_Z,1)))*(INDEX(Bang_F,MATCH(A988,Bang_Z,1))+B988)/2</f>
        <v>84.629127</v>
      </c>
      <c r="D988" s="26" t="n">
        <f aca="false">MAX(A988-TC_Z,0)</f>
        <v>6.13</v>
      </c>
      <c r="E988" s="27" t="n">
        <f aca="false">1-0.2*(TC_xmb+(TC_n-1)*TC_xmt)*D988/(TC_n*TC_b)</f>
        <v>0.755935185185185</v>
      </c>
      <c r="F988" s="28" t="n">
        <f aca="false">TC_s*E988*TC_m*TC_n*TC_b*SQRT(2*g_)*D988^1.5</f>
        <v>493.959154268849</v>
      </c>
      <c r="G988" s="29" t="n">
        <f aca="false">MAX(A988-SC_Z,0)</f>
        <v>9.83</v>
      </c>
      <c r="H988" s="30" t="n">
        <f aca="false">1-0.2*(SC_xmb+(SC_n-1)*SC_xmt)*G988/(SC_n*SC_b)</f>
        <v>0.72476</v>
      </c>
      <c r="I988" s="31" t="n">
        <f aca="false">SC_s*H988*SC_m*SC_n*SC_b*SQRT(2*g_)*G988^1.5</f>
        <v>222.616070578908</v>
      </c>
      <c r="J988" s="32" t="n">
        <f aca="false">F988+I988</f>
        <v>716.575224847757</v>
      </c>
      <c r="K988" s="32" t="n">
        <f aca="false">F988</f>
        <v>493.959154268849</v>
      </c>
      <c r="L988" s="32" t="n">
        <f aca="false">C988*1000000/dt_s+J988/2</f>
        <v>23866.3784457572</v>
      </c>
      <c r="M988" s="32" t="n">
        <f aca="false">C988*1000000/dt_s+K988/2</f>
        <v>23755.0704104678</v>
      </c>
    </row>
    <row r="989" customFormat="false" ht="15" hidden="false" customHeight="false" outlineLevel="0" collapsed="false">
      <c r="A989" s="24" t="n">
        <f aca="false">ROUND(A988+0.01,2)</f>
        <v>80.84</v>
      </c>
      <c r="B989" s="25" t="n">
        <f aca="false">INDEX(Bang_F,MATCH(A989,Bang_Z,1))+(A989-INDEX(Bang_Z,MATCH(A989,Bang_Z,1)))*(INDEX(Bang_F,MATCH(A989,Bang_Z,1)+1)-INDEX(Bang_F,MATCH(A989,Bang_Z,1)))</f>
        <v>9.8524</v>
      </c>
      <c r="C989" s="25" t="n">
        <f aca="false">INDEX(Bang_W,MATCH(A989,Bang_Z,1))+(A989-INDEX(Bang_Z,MATCH(A989,Bang_Z,1)))*(INDEX(Bang_F,MATCH(A989,Bang_Z,1))+B989)/2</f>
        <v>84.727608</v>
      </c>
      <c r="D989" s="26" t="n">
        <f aca="false">MAX(A989-TC_Z,0)</f>
        <v>6.14</v>
      </c>
      <c r="E989" s="27" t="n">
        <f aca="false">1-0.2*(TC_xmb+(TC_n-1)*TC_xmt)*D989/(TC_n*TC_b)</f>
        <v>0.755537037037037</v>
      </c>
      <c r="F989" s="28" t="n">
        <f aca="false">TC_s*E989*TC_m*TC_n*TC_b*SQRT(2*g_)*D989^1.5</f>
        <v>494.907553005284</v>
      </c>
      <c r="G989" s="29" t="n">
        <f aca="false">MAX(A989-SC_Z,0)</f>
        <v>9.84</v>
      </c>
      <c r="H989" s="30" t="n">
        <f aca="false">1-0.2*(SC_xmb+(SC_n-1)*SC_xmt)*G989/(SC_n*SC_b)</f>
        <v>0.72448</v>
      </c>
      <c r="I989" s="31" t="n">
        <f aca="false">SC_s*H989*SC_m*SC_n*SC_b*SQRT(2*g_)*G989^1.5</f>
        <v>222.869720343329</v>
      </c>
      <c r="J989" s="32" t="n">
        <f aca="false">F989+I989</f>
        <v>717.777273348613</v>
      </c>
      <c r="K989" s="32" t="n">
        <f aca="false">F989</f>
        <v>494.907553005284</v>
      </c>
      <c r="L989" s="32" t="n">
        <f aca="false">C989*1000000/dt_s+J989/2</f>
        <v>23894.335303341</v>
      </c>
      <c r="M989" s="32" t="n">
        <f aca="false">C989*1000000/dt_s+K989/2</f>
        <v>23782.9004431693</v>
      </c>
    </row>
    <row r="990" customFormat="false" ht="15" hidden="false" customHeight="false" outlineLevel="0" collapsed="false">
      <c r="A990" s="24" t="n">
        <f aca="false">ROUND(A989+0.01,2)</f>
        <v>80.85</v>
      </c>
      <c r="B990" s="25" t="n">
        <f aca="false">INDEX(Bang_F,MATCH(A990,Bang_Z,1))+(A990-INDEX(Bang_Z,MATCH(A990,Bang_Z,1)))*(INDEX(Bang_F,MATCH(A990,Bang_Z,1)+1)-INDEX(Bang_F,MATCH(A990,Bang_Z,1)))</f>
        <v>9.861</v>
      </c>
      <c r="C990" s="25" t="n">
        <f aca="false">INDEX(Bang_W,MATCH(A990,Bang_Z,1))+(A990-INDEX(Bang_Z,MATCH(A990,Bang_Z,1)))*(INDEX(Bang_F,MATCH(A990,Bang_Z,1))+B990)/2</f>
        <v>84.8261749999999</v>
      </c>
      <c r="D990" s="26" t="n">
        <f aca="false">MAX(A990-TC_Z,0)</f>
        <v>6.14999999999999</v>
      </c>
      <c r="E990" s="27" t="n">
        <f aca="false">1-0.2*(TC_xmb+(TC_n-1)*TC_xmt)*D990/(TC_n*TC_b)</f>
        <v>0.755138888888889</v>
      </c>
      <c r="F990" s="28" t="n">
        <f aca="false">TC_s*E990*TC_m*TC_n*TC_b*SQRT(2*g_)*D990^1.5</f>
        <v>495.855662033514</v>
      </c>
      <c r="G990" s="29" t="n">
        <f aca="false">MAX(A990-SC_Z,0)</f>
        <v>9.84999999999999</v>
      </c>
      <c r="H990" s="30" t="n">
        <f aca="false">1-0.2*(SC_xmb+(SC_n-1)*SC_xmt)*G990/(SC_n*SC_b)</f>
        <v>0.7242</v>
      </c>
      <c r="I990" s="31" t="n">
        <f aca="false">SC_s*H990*SC_m*SC_n*SC_b*SQRT(2*g_)*G990^1.5</f>
        <v>223.123280131558</v>
      </c>
      <c r="J990" s="32" t="n">
        <f aca="false">F990+I990</f>
        <v>718.978942165072</v>
      </c>
      <c r="K990" s="32" t="n">
        <f aca="false">F990</f>
        <v>495.855662033514</v>
      </c>
      <c r="L990" s="32" t="n">
        <f aca="false">C990*1000000/dt_s+J990/2</f>
        <v>23922.3158599714</v>
      </c>
      <c r="M990" s="32" t="n">
        <f aca="false">C990*1000000/dt_s+K990/2</f>
        <v>23810.7542199056</v>
      </c>
    </row>
    <row r="991" customFormat="false" ht="15" hidden="false" customHeight="false" outlineLevel="0" collapsed="false">
      <c r="A991" s="24" t="n">
        <f aca="false">ROUND(A990+0.01,2)</f>
        <v>80.86</v>
      </c>
      <c r="B991" s="25" t="n">
        <f aca="false">INDEX(Bang_F,MATCH(A991,Bang_Z,1))+(A991-INDEX(Bang_Z,MATCH(A991,Bang_Z,1)))*(INDEX(Bang_F,MATCH(A991,Bang_Z,1)+1)-INDEX(Bang_F,MATCH(A991,Bang_Z,1)))</f>
        <v>9.8696</v>
      </c>
      <c r="C991" s="25" t="n">
        <f aca="false">INDEX(Bang_W,MATCH(A991,Bang_Z,1))+(A991-INDEX(Bang_Z,MATCH(A991,Bang_Z,1)))*(INDEX(Bang_F,MATCH(A991,Bang_Z,1))+B991)/2</f>
        <v>84.924828</v>
      </c>
      <c r="D991" s="26" t="n">
        <f aca="false">MAX(A991-TC_Z,0)</f>
        <v>6.16</v>
      </c>
      <c r="E991" s="27" t="n">
        <f aca="false">1-0.2*(TC_xmb+(TC_n-1)*TC_xmt)*D991/(TC_n*TC_b)</f>
        <v>0.754740740740741</v>
      </c>
      <c r="F991" s="28" t="n">
        <f aca="false">TC_s*E991*TC_m*TC_n*TC_b*SQRT(2*g_)*D991^1.5</f>
        <v>496.803478997058</v>
      </c>
      <c r="G991" s="29" t="n">
        <f aca="false">MAX(A991-SC_Z,0)</f>
        <v>9.86</v>
      </c>
      <c r="H991" s="30" t="n">
        <f aca="false">1-0.2*(SC_xmb+(SC_n-1)*SC_xmt)*G991/(SC_n*SC_b)</f>
        <v>0.72392</v>
      </c>
      <c r="I991" s="31" t="n">
        <f aca="false">SC_s*H991*SC_m*SC_n*SC_b*SQRT(2*g_)*G991^1.5</f>
        <v>223.37674965585</v>
      </c>
      <c r="J991" s="32" t="n">
        <f aca="false">F991+I991</f>
        <v>720.180228652908</v>
      </c>
      <c r="K991" s="32" t="n">
        <f aca="false">F991</f>
        <v>496.803478997058</v>
      </c>
      <c r="L991" s="32" t="n">
        <f aca="false">C991*1000000/dt_s+J991/2</f>
        <v>23950.3201143265</v>
      </c>
      <c r="M991" s="32" t="n">
        <f aca="false">C991*1000000/dt_s+K991/2</f>
        <v>23838.6317394985</v>
      </c>
    </row>
    <row r="992" customFormat="false" ht="15" hidden="false" customHeight="false" outlineLevel="0" collapsed="false">
      <c r="A992" s="24" t="n">
        <f aca="false">ROUND(A991+0.01,2)</f>
        <v>80.87</v>
      </c>
      <c r="B992" s="25" t="n">
        <f aca="false">INDEX(Bang_F,MATCH(A992,Bang_Z,1))+(A992-INDEX(Bang_Z,MATCH(A992,Bang_Z,1)))*(INDEX(Bang_F,MATCH(A992,Bang_Z,1)+1)-INDEX(Bang_F,MATCH(A992,Bang_Z,1)))</f>
        <v>9.87820000000001</v>
      </c>
      <c r="C992" s="25" t="n">
        <f aca="false">INDEX(Bang_W,MATCH(A992,Bang_Z,1))+(A992-INDEX(Bang_Z,MATCH(A992,Bang_Z,1)))*(INDEX(Bang_F,MATCH(A992,Bang_Z,1))+B992)/2</f>
        <v>85.023567</v>
      </c>
      <c r="D992" s="26" t="n">
        <f aca="false">MAX(A992-TC_Z,0)</f>
        <v>6.17</v>
      </c>
      <c r="E992" s="27" t="n">
        <f aca="false">1-0.2*(TC_xmb+(TC_n-1)*TC_xmt)*D992/(TC_n*TC_b)</f>
        <v>0.754342592592593</v>
      </c>
      <c r="F992" s="28" t="n">
        <f aca="false">TC_s*E992*TC_m*TC_n*TC_b*SQRT(2*g_)*D992^1.5</f>
        <v>497.751001543065</v>
      </c>
      <c r="G992" s="29" t="n">
        <f aca="false">MAX(A992-SC_Z,0)</f>
        <v>9.87000000000001</v>
      </c>
      <c r="H992" s="30" t="n">
        <f aca="false">1-0.2*(SC_xmb+(SC_n-1)*SC_xmt)*G992/(SC_n*SC_b)</f>
        <v>0.72364</v>
      </c>
      <c r="I992" s="31" t="n">
        <f aca="false">SC_s*H992*SC_m*SC_n*SC_b*SQRT(2*g_)*G992^1.5</f>
        <v>223.63012862873</v>
      </c>
      <c r="J992" s="32" t="n">
        <f aca="false">F992+I992</f>
        <v>721.381130171795</v>
      </c>
      <c r="K992" s="32" t="n">
        <f aca="false">F992</f>
        <v>497.751001543065</v>
      </c>
      <c r="L992" s="32" t="n">
        <f aca="false">C992*1000000/dt_s+J992/2</f>
        <v>23978.3480650859</v>
      </c>
      <c r="M992" s="32" t="n">
        <f aca="false">C992*1000000/dt_s+K992/2</f>
        <v>23866.5330007715</v>
      </c>
    </row>
    <row r="993" customFormat="false" ht="15" hidden="false" customHeight="false" outlineLevel="0" collapsed="false">
      <c r="A993" s="24" t="n">
        <f aca="false">ROUND(A992+0.01,2)</f>
        <v>80.88</v>
      </c>
      <c r="B993" s="25" t="n">
        <f aca="false">INDEX(Bang_F,MATCH(A993,Bang_Z,1))+(A993-INDEX(Bang_Z,MATCH(A993,Bang_Z,1)))*(INDEX(Bang_F,MATCH(A993,Bang_Z,1)+1)-INDEX(Bang_F,MATCH(A993,Bang_Z,1)))</f>
        <v>9.8868</v>
      </c>
      <c r="C993" s="25" t="n">
        <f aca="false">INDEX(Bang_W,MATCH(A993,Bang_Z,1))+(A993-INDEX(Bang_Z,MATCH(A993,Bang_Z,1)))*(INDEX(Bang_F,MATCH(A993,Bang_Z,1))+B993)/2</f>
        <v>85.122392</v>
      </c>
      <c r="D993" s="26" t="n">
        <f aca="false">MAX(A993-TC_Z,0)</f>
        <v>6.17999999999999</v>
      </c>
      <c r="E993" s="27" t="n">
        <f aca="false">1-0.2*(TC_xmb+(TC_n-1)*TC_xmt)*D993/(TC_n*TC_b)</f>
        <v>0.753944444444445</v>
      </c>
      <c r="F993" s="28" t="n">
        <f aca="false">TC_s*E993*TC_m*TC_n*TC_b*SQRT(2*g_)*D993^1.5</f>
        <v>498.698227322308</v>
      </c>
      <c r="G993" s="29" t="n">
        <f aca="false">MAX(A993-SC_Z,0)</f>
        <v>9.88</v>
      </c>
      <c r="H993" s="30" t="n">
        <f aca="false">1-0.2*(SC_xmb+(SC_n-1)*SC_xmt)*G993/(SC_n*SC_b)</f>
        <v>0.72336</v>
      </c>
      <c r="I993" s="31" t="n">
        <f aca="false">SC_s*H993*SC_m*SC_n*SC_b*SQRT(2*g_)*G993^1.5</f>
        <v>223.883416762991</v>
      </c>
      <c r="J993" s="32" t="n">
        <f aca="false">F993+I993</f>
        <v>722.581644085299</v>
      </c>
      <c r="K993" s="32" t="n">
        <f aca="false">F993</f>
        <v>498.698227322308</v>
      </c>
      <c r="L993" s="32" t="n">
        <f aca="false">C993*1000000/dt_s+J993/2</f>
        <v>24006.3997109315</v>
      </c>
      <c r="M993" s="32" t="n">
        <f aca="false">C993*1000000/dt_s+K993/2</f>
        <v>23894.45800255</v>
      </c>
    </row>
    <row r="994" customFormat="false" ht="15" hidden="false" customHeight="false" outlineLevel="0" collapsed="false">
      <c r="A994" s="24" t="n">
        <f aca="false">ROUND(A993+0.01,2)</f>
        <v>80.89</v>
      </c>
      <c r="B994" s="25" t="n">
        <f aca="false">INDEX(Bang_F,MATCH(A994,Bang_Z,1))+(A994-INDEX(Bang_Z,MATCH(A994,Bang_Z,1)))*(INDEX(Bang_F,MATCH(A994,Bang_Z,1)+1)-INDEX(Bang_F,MATCH(A994,Bang_Z,1)))</f>
        <v>9.8954</v>
      </c>
      <c r="C994" s="25" t="n">
        <f aca="false">INDEX(Bang_W,MATCH(A994,Bang_Z,1))+(A994-INDEX(Bang_Z,MATCH(A994,Bang_Z,1)))*(INDEX(Bang_F,MATCH(A994,Bang_Z,1))+B994)/2</f>
        <v>85.221303</v>
      </c>
      <c r="D994" s="26" t="n">
        <f aca="false">MAX(A994-TC_Z,0)</f>
        <v>6.19</v>
      </c>
      <c r="E994" s="27" t="n">
        <f aca="false">1-0.2*(TC_xmb+(TC_n-1)*TC_xmt)*D994/(TC_n*TC_b)</f>
        <v>0.753546296296296</v>
      </c>
      <c r="F994" s="28" t="n">
        <f aca="false">TC_s*E994*TC_m*TC_n*TC_b*SQRT(2*g_)*D994^1.5</f>
        <v>499.645153989174</v>
      </c>
      <c r="G994" s="29" t="n">
        <f aca="false">MAX(A994-SC_Z,0)</f>
        <v>9.89</v>
      </c>
      <c r="H994" s="30" t="n">
        <f aca="false">1-0.2*(SC_xmb+(SC_n-1)*SC_xmt)*G994/(SC_n*SC_b)</f>
        <v>0.72308</v>
      </c>
      <c r="I994" s="31" t="n">
        <f aca="false">SC_s*H994*SC_m*SC_n*SC_b*SQRT(2*g_)*G994^1.5</f>
        <v>224.136613771693</v>
      </c>
      <c r="J994" s="32" t="n">
        <f aca="false">F994+I994</f>
        <v>723.781767760867</v>
      </c>
      <c r="K994" s="32" t="n">
        <f aca="false">F994</f>
        <v>499.645153989174</v>
      </c>
      <c r="L994" s="32" t="n">
        <f aca="false">C994*1000000/dt_s+J994/2</f>
        <v>24034.4750505471</v>
      </c>
      <c r="M994" s="32" t="n">
        <f aca="false">C994*1000000/dt_s+K994/2</f>
        <v>23922.4067436613</v>
      </c>
    </row>
    <row r="995" customFormat="false" ht="15" hidden="false" customHeight="false" outlineLevel="0" collapsed="false">
      <c r="A995" s="24" t="n">
        <f aca="false">ROUND(A994+0.01,2)</f>
        <v>80.9</v>
      </c>
      <c r="B995" s="25" t="n">
        <f aca="false">INDEX(Bang_F,MATCH(A995,Bang_Z,1))+(A995-INDEX(Bang_Z,MATCH(A995,Bang_Z,1)))*(INDEX(Bang_F,MATCH(A995,Bang_Z,1)+1)-INDEX(Bang_F,MATCH(A995,Bang_Z,1)))</f>
        <v>9.90400000000001</v>
      </c>
      <c r="C995" s="25" t="n">
        <f aca="false">INDEX(Bang_W,MATCH(A995,Bang_Z,1))+(A995-INDEX(Bang_Z,MATCH(A995,Bang_Z,1)))*(INDEX(Bang_F,MATCH(A995,Bang_Z,1))+B995)/2</f>
        <v>85.3203000000001</v>
      </c>
      <c r="D995" s="26" t="n">
        <f aca="false">MAX(A995-TC_Z,0)</f>
        <v>6.2</v>
      </c>
      <c r="E995" s="27" t="n">
        <f aca="false">1-0.2*(TC_xmb+(TC_n-1)*TC_xmt)*D995/(TC_n*TC_b)</f>
        <v>0.753148148148148</v>
      </c>
      <c r="F995" s="28" t="n">
        <f aca="false">TC_s*E995*TC_m*TC_n*TC_b*SQRT(2*g_)*D995^1.5</f>
        <v>500.591779201641</v>
      </c>
      <c r="G995" s="29" t="n">
        <f aca="false">MAX(A995-SC_Z,0)</f>
        <v>9.90000000000001</v>
      </c>
      <c r="H995" s="30" t="n">
        <f aca="false">1-0.2*(SC_xmb+(SC_n-1)*SC_xmt)*G995/(SC_n*SC_b)</f>
        <v>0.7228</v>
      </c>
      <c r="I995" s="31" t="n">
        <f aca="false">SC_s*H995*SC_m*SC_n*SC_b*SQRT(2*g_)*G995^1.5</f>
        <v>224.389719368164</v>
      </c>
      <c r="J995" s="32" t="n">
        <f aca="false">F995+I995</f>
        <v>724.981498569805</v>
      </c>
      <c r="K995" s="32" t="n">
        <f aca="false">F995</f>
        <v>500.591779201641</v>
      </c>
      <c r="L995" s="32" t="n">
        <f aca="false">C995*1000000/dt_s+J995/2</f>
        <v>24062.5740826183</v>
      </c>
      <c r="M995" s="32" t="n">
        <f aca="false">C995*1000000/dt_s+K995/2</f>
        <v>23950.3792229342</v>
      </c>
    </row>
    <row r="996" customFormat="false" ht="15" hidden="false" customHeight="false" outlineLevel="0" collapsed="false">
      <c r="A996" s="24" t="n">
        <f aca="false">ROUND(A995+0.01,2)</f>
        <v>80.91</v>
      </c>
      <c r="B996" s="25" t="n">
        <f aca="false">INDEX(Bang_F,MATCH(A996,Bang_Z,1))+(A996-INDEX(Bang_Z,MATCH(A996,Bang_Z,1)))*(INDEX(Bang_F,MATCH(A996,Bang_Z,1)+1)-INDEX(Bang_F,MATCH(A996,Bang_Z,1)))</f>
        <v>9.9126</v>
      </c>
      <c r="C996" s="25" t="n">
        <f aca="false">INDEX(Bang_W,MATCH(A996,Bang_Z,1))+(A996-INDEX(Bang_Z,MATCH(A996,Bang_Z,1)))*(INDEX(Bang_F,MATCH(A996,Bang_Z,1))+B996)/2</f>
        <v>85.419383</v>
      </c>
      <c r="D996" s="26" t="n">
        <f aca="false">MAX(A996-TC_Z,0)</f>
        <v>6.20999999999999</v>
      </c>
      <c r="E996" s="27" t="n">
        <f aca="false">1-0.2*(TC_xmb+(TC_n-1)*TC_xmt)*D996/(TC_n*TC_b)</f>
        <v>0.75275</v>
      </c>
      <c r="F996" s="28" t="n">
        <f aca="false">TC_s*E996*TC_m*TC_n*TC_b*SQRT(2*g_)*D996^1.5</f>
        <v>501.538100621273</v>
      </c>
      <c r="G996" s="29" t="n">
        <f aca="false">MAX(A996-SC_Z,0)</f>
        <v>9.91</v>
      </c>
      <c r="H996" s="30" t="n">
        <f aca="false">1-0.2*(SC_xmb+(SC_n-1)*SC_xmt)*G996/(SC_n*SC_b)</f>
        <v>0.72252</v>
      </c>
      <c r="I996" s="31" t="n">
        <f aca="false">SC_s*H996*SC_m*SC_n*SC_b*SQRT(2*g_)*G996^1.5</f>
        <v>224.642733265996</v>
      </c>
      <c r="J996" s="32" t="n">
        <f aca="false">F996+I996</f>
        <v>726.180833887269</v>
      </c>
      <c r="K996" s="32" t="n">
        <f aca="false">F996</f>
        <v>501.538100621273</v>
      </c>
      <c r="L996" s="32" t="n">
        <f aca="false">C996*1000000/dt_s+J996/2</f>
        <v>24090.6968058325</v>
      </c>
      <c r="M996" s="32" t="n">
        <f aca="false">C996*1000000/dt_s+K996/2</f>
        <v>23978.3754391995</v>
      </c>
    </row>
    <row r="997" customFormat="false" ht="15" hidden="false" customHeight="false" outlineLevel="0" collapsed="false">
      <c r="A997" s="24" t="n">
        <f aca="false">ROUND(A996+0.01,2)</f>
        <v>80.92</v>
      </c>
      <c r="B997" s="25" t="n">
        <f aca="false">INDEX(Bang_F,MATCH(A997,Bang_Z,1))+(A997-INDEX(Bang_Z,MATCH(A997,Bang_Z,1)))*(INDEX(Bang_F,MATCH(A997,Bang_Z,1)+1)-INDEX(Bang_F,MATCH(A997,Bang_Z,1)))</f>
        <v>9.9212</v>
      </c>
      <c r="C997" s="25" t="n">
        <f aca="false">INDEX(Bang_W,MATCH(A997,Bang_Z,1))+(A997-INDEX(Bang_Z,MATCH(A997,Bang_Z,1)))*(INDEX(Bang_F,MATCH(A997,Bang_Z,1))+B997)/2</f>
        <v>85.518552</v>
      </c>
      <c r="D997" s="26" t="n">
        <f aca="false">MAX(A997-TC_Z,0)</f>
        <v>6.22</v>
      </c>
      <c r="E997" s="27" t="n">
        <f aca="false">1-0.2*(TC_xmb+(TC_n-1)*TC_xmt)*D997/(TC_n*TC_b)</f>
        <v>0.752351851851852</v>
      </c>
      <c r="F997" s="28" t="n">
        <f aca="false">TC_s*E997*TC_m*TC_n*TC_b*SQRT(2*g_)*D997^1.5</f>
        <v>502.484115913208</v>
      </c>
      <c r="G997" s="29" t="n">
        <f aca="false">MAX(A997-SC_Z,0)</f>
        <v>9.92</v>
      </c>
      <c r="H997" s="30" t="n">
        <f aca="false">1-0.2*(SC_xmb+(SC_n-1)*SC_xmt)*G997/(SC_n*SC_b)</f>
        <v>0.72224</v>
      </c>
      <c r="I997" s="31" t="n">
        <f aca="false">SC_s*H997*SC_m*SC_n*SC_b*SQRT(2*g_)*G997^1.5</f>
        <v>224.89565517905</v>
      </c>
      <c r="J997" s="32" t="n">
        <f aca="false">F997+I997</f>
        <v>727.379771092258</v>
      </c>
      <c r="K997" s="32" t="n">
        <f aca="false">F997</f>
        <v>502.484115913208</v>
      </c>
      <c r="L997" s="32" t="n">
        <f aca="false">C997*1000000/dt_s+J997/2</f>
        <v>24118.8432188795</v>
      </c>
      <c r="M997" s="32" t="n">
        <f aca="false">C997*1000000/dt_s+K997/2</f>
        <v>24006.3953912899</v>
      </c>
    </row>
    <row r="998" customFormat="false" ht="15" hidden="false" customHeight="false" outlineLevel="0" collapsed="false">
      <c r="A998" s="24" t="n">
        <f aca="false">ROUND(A997+0.01,2)</f>
        <v>80.93</v>
      </c>
      <c r="B998" s="25" t="n">
        <f aca="false">INDEX(Bang_F,MATCH(A998,Bang_Z,1))+(A998-INDEX(Bang_Z,MATCH(A998,Bang_Z,1)))*(INDEX(Bang_F,MATCH(A998,Bang_Z,1)+1)-INDEX(Bang_F,MATCH(A998,Bang_Z,1)))</f>
        <v>9.92980000000001</v>
      </c>
      <c r="C998" s="25" t="n">
        <f aca="false">INDEX(Bang_W,MATCH(A998,Bang_Z,1))+(A998-INDEX(Bang_Z,MATCH(A998,Bang_Z,1)))*(INDEX(Bang_F,MATCH(A998,Bang_Z,1))+B998)/2</f>
        <v>85.6178070000001</v>
      </c>
      <c r="D998" s="26" t="n">
        <f aca="false">MAX(A998-TC_Z,0)</f>
        <v>6.23</v>
      </c>
      <c r="E998" s="27" t="n">
        <f aca="false">1-0.2*(TC_xmb+(TC_n-1)*TC_xmt)*D998/(TC_n*TC_b)</f>
        <v>0.751953703703704</v>
      </c>
      <c r="F998" s="28" t="n">
        <f aca="false">TC_s*E998*TC_m*TC_n*TC_b*SQRT(2*g_)*D998^1.5</f>
        <v>503.429822746139</v>
      </c>
      <c r="G998" s="29" t="n">
        <f aca="false">MAX(A998-SC_Z,0)</f>
        <v>9.93000000000001</v>
      </c>
      <c r="H998" s="30" t="n">
        <f aca="false">1-0.2*(SC_xmb+(SC_n-1)*SC_xmt)*G998/(SC_n*SC_b)</f>
        <v>0.72196</v>
      </c>
      <c r="I998" s="31" t="n">
        <f aca="false">SC_s*H998*SC_m*SC_n*SC_b*SQRT(2*g_)*G998^1.5</f>
        <v>225.148484821449</v>
      </c>
      <c r="J998" s="32" t="n">
        <f aca="false">F998+I998</f>
        <v>728.578307567588</v>
      </c>
      <c r="K998" s="32" t="n">
        <f aca="false">F998</f>
        <v>503.429822746139</v>
      </c>
      <c r="L998" s="32" t="n">
        <f aca="false">C998*1000000/dt_s+J998/2</f>
        <v>24147.0133204505</v>
      </c>
      <c r="M998" s="32" t="n">
        <f aca="false">C998*1000000/dt_s+K998/2</f>
        <v>24034.4390780398</v>
      </c>
    </row>
    <row r="999" customFormat="false" ht="15" hidden="false" customHeight="false" outlineLevel="0" collapsed="false">
      <c r="A999" s="24" t="n">
        <f aca="false">ROUND(A998+0.01,2)</f>
        <v>80.94</v>
      </c>
      <c r="B999" s="25" t="n">
        <f aca="false">INDEX(Bang_F,MATCH(A999,Bang_Z,1))+(A999-INDEX(Bang_Z,MATCH(A999,Bang_Z,1)))*(INDEX(Bang_F,MATCH(A999,Bang_Z,1)+1)-INDEX(Bang_F,MATCH(A999,Bang_Z,1)))</f>
        <v>9.9384</v>
      </c>
      <c r="C999" s="25" t="n">
        <f aca="false">INDEX(Bang_W,MATCH(A999,Bang_Z,1))+(A999-INDEX(Bang_Z,MATCH(A999,Bang_Z,1)))*(INDEX(Bang_F,MATCH(A999,Bang_Z,1))+B999)/2</f>
        <v>85.717148</v>
      </c>
      <c r="D999" s="26" t="n">
        <f aca="false">MAX(A999-TC_Z,0)</f>
        <v>6.24</v>
      </c>
      <c r="E999" s="27" t="n">
        <f aca="false">1-0.2*(TC_xmb+(TC_n-1)*TC_xmt)*D999/(TC_n*TC_b)</f>
        <v>0.751555555555556</v>
      </c>
      <c r="F999" s="28" t="n">
        <f aca="false">TC_s*E999*TC_m*TC_n*TC_b*SQRT(2*g_)*D999^1.5</f>
        <v>504.375218792304</v>
      </c>
      <c r="G999" s="29" t="n">
        <f aca="false">MAX(A999-SC_Z,0)</f>
        <v>9.94</v>
      </c>
      <c r="H999" s="30" t="n">
        <f aca="false">1-0.2*(SC_xmb+(SC_n-1)*SC_xmt)*G999/(SC_n*SC_b)</f>
        <v>0.72168</v>
      </c>
      <c r="I999" s="31" t="n">
        <f aca="false">SC_s*H999*SC_m*SC_n*SC_b*SQRT(2*g_)*G999^1.5</f>
        <v>225.401221907583</v>
      </c>
      <c r="J999" s="32" t="n">
        <f aca="false">F999+I999</f>
        <v>729.776440699888</v>
      </c>
      <c r="K999" s="32" t="n">
        <f aca="false">F999</f>
        <v>504.375218792304</v>
      </c>
      <c r="L999" s="32" t="n">
        <f aca="false">C999*1000000/dt_s+J999/2</f>
        <v>24175.2071092388</v>
      </c>
      <c r="M999" s="32" t="n">
        <f aca="false">C999*1000000/dt_s+K999/2</f>
        <v>24062.506498285</v>
      </c>
    </row>
    <row r="1000" customFormat="false" ht="15" hidden="false" customHeight="false" outlineLevel="0" collapsed="false">
      <c r="A1000" s="24" t="n">
        <f aca="false">ROUND(A999+0.01,2)</f>
        <v>80.95</v>
      </c>
      <c r="B1000" s="25" t="n">
        <f aca="false">INDEX(Bang_F,MATCH(A1000,Bang_Z,1))+(A1000-INDEX(Bang_Z,MATCH(A1000,Bang_Z,1)))*(INDEX(Bang_F,MATCH(A1000,Bang_Z,1)+1)-INDEX(Bang_F,MATCH(A1000,Bang_Z,1)))</f>
        <v>9.947</v>
      </c>
      <c r="C1000" s="25" t="n">
        <f aca="false">INDEX(Bang_W,MATCH(A1000,Bang_Z,1))+(A1000-INDEX(Bang_Z,MATCH(A1000,Bang_Z,1)))*(INDEX(Bang_F,MATCH(A1000,Bang_Z,1))+B1000)/2</f>
        <v>85.816575</v>
      </c>
      <c r="D1000" s="26" t="n">
        <f aca="false">MAX(A1000-TC_Z,0)</f>
        <v>6.25</v>
      </c>
      <c r="E1000" s="27" t="n">
        <f aca="false">1-0.2*(TC_xmb+(TC_n-1)*TC_xmt)*D1000/(TC_n*TC_b)</f>
        <v>0.751157407407407</v>
      </c>
      <c r="F1000" s="28" t="n">
        <f aca="false">TC_s*E1000*TC_m*TC_n*TC_b*SQRT(2*g_)*D1000^1.5</f>
        <v>505.32030172748</v>
      </c>
      <c r="G1000" s="29" t="n">
        <f aca="false">MAX(A1000-SC_Z,0)</f>
        <v>9.95</v>
      </c>
      <c r="H1000" s="30" t="n">
        <f aca="false">1-0.2*(SC_xmb+(SC_n-1)*SC_xmt)*G1000/(SC_n*SC_b)</f>
        <v>0.7214</v>
      </c>
      <c r="I1000" s="31" t="n">
        <f aca="false">SC_s*H1000*SC_m*SC_n*SC_b*SQRT(2*g_)*G1000^1.5</f>
        <v>225.653866152106</v>
      </c>
      <c r="J1000" s="32" t="n">
        <f aca="false">F1000+I1000</f>
        <v>730.974167879587</v>
      </c>
      <c r="K1000" s="32" t="n">
        <f aca="false">F1000</f>
        <v>505.32030172748</v>
      </c>
      <c r="L1000" s="32" t="n">
        <f aca="false">C1000*1000000/dt_s+J1000/2</f>
        <v>24203.4245839398</v>
      </c>
      <c r="M1000" s="32" t="n">
        <f aca="false">C1000*1000000/dt_s+K1000/2</f>
        <v>24090.5976508637</v>
      </c>
    </row>
    <row r="1001" customFormat="false" ht="15" hidden="false" customHeight="false" outlineLevel="0" collapsed="false">
      <c r="A1001" s="24" t="n">
        <f aca="false">ROUND(A1000+0.01,2)</f>
        <v>80.96</v>
      </c>
      <c r="B1001" s="25" t="n">
        <f aca="false">INDEX(Bang_F,MATCH(A1001,Bang_Z,1))+(A1001-INDEX(Bang_Z,MATCH(A1001,Bang_Z,1)))*(INDEX(Bang_F,MATCH(A1001,Bang_Z,1)+1)-INDEX(Bang_F,MATCH(A1001,Bang_Z,1)))</f>
        <v>9.9556</v>
      </c>
      <c r="C1001" s="25" t="n">
        <f aca="false">INDEX(Bang_W,MATCH(A1001,Bang_Z,1))+(A1001-INDEX(Bang_Z,MATCH(A1001,Bang_Z,1)))*(INDEX(Bang_F,MATCH(A1001,Bang_Z,1))+B1001)/2</f>
        <v>85.9160879999999</v>
      </c>
      <c r="D1001" s="26" t="n">
        <f aca="false">MAX(A1001-TC_Z,0)</f>
        <v>6.25999999999999</v>
      </c>
      <c r="E1001" s="27" t="n">
        <f aca="false">1-0.2*(TC_xmb+(TC_n-1)*TC_xmt)*D1001/(TC_n*TC_b)</f>
        <v>0.75075925925926</v>
      </c>
      <c r="F1001" s="28" t="n">
        <f aca="false">TC_s*E1001*TC_m*TC_n*TC_b*SQRT(2*g_)*D1001^1.5</f>
        <v>506.265069230959</v>
      </c>
      <c r="G1001" s="29" t="n">
        <f aca="false">MAX(A1001-SC_Z,0)</f>
        <v>9.95999999999999</v>
      </c>
      <c r="H1001" s="30" t="n">
        <f aca="false">1-0.2*(SC_xmb+(SC_n-1)*SC_xmt)*G1001/(SC_n*SC_b)</f>
        <v>0.72112</v>
      </c>
      <c r="I1001" s="31" t="n">
        <f aca="false">SC_s*H1001*SC_m*SC_n*SC_b*SQRT(2*g_)*G1001^1.5</f>
        <v>225.906417269934</v>
      </c>
      <c r="J1001" s="32" t="n">
        <f aca="false">F1001+I1001</f>
        <v>732.171486500892</v>
      </c>
      <c r="K1001" s="32" t="n">
        <f aca="false">F1001</f>
        <v>506.265069230959</v>
      </c>
      <c r="L1001" s="32" t="n">
        <f aca="false">C1001*1000000/dt_s+J1001/2</f>
        <v>24231.6657432504</v>
      </c>
      <c r="M1001" s="32" t="n">
        <f aca="false">C1001*1000000/dt_s+K1001/2</f>
        <v>24118.7125346155</v>
      </c>
    </row>
    <row r="1002" customFormat="false" ht="15" hidden="false" customHeight="false" outlineLevel="0" collapsed="false">
      <c r="A1002" s="24" t="n">
        <f aca="false">ROUND(A1001+0.01,2)</f>
        <v>80.97</v>
      </c>
      <c r="B1002" s="25" t="n">
        <f aca="false">INDEX(Bang_F,MATCH(A1002,Bang_Z,1))+(A1002-INDEX(Bang_Z,MATCH(A1002,Bang_Z,1)))*(INDEX(Bang_F,MATCH(A1002,Bang_Z,1)+1)-INDEX(Bang_F,MATCH(A1002,Bang_Z,1)))</f>
        <v>9.9642</v>
      </c>
      <c r="C1002" s="25" t="n">
        <f aca="false">INDEX(Bang_W,MATCH(A1002,Bang_Z,1))+(A1002-INDEX(Bang_Z,MATCH(A1002,Bang_Z,1)))*(INDEX(Bang_F,MATCH(A1002,Bang_Z,1))+B1002)/2</f>
        <v>86.015687</v>
      </c>
      <c r="D1002" s="26" t="n">
        <f aca="false">MAX(A1002-TC_Z,0)</f>
        <v>6.27</v>
      </c>
      <c r="E1002" s="27" t="n">
        <f aca="false">1-0.2*(TC_xmb+(TC_n-1)*TC_xmt)*D1002/(TC_n*TC_b)</f>
        <v>0.750361111111111</v>
      </c>
      <c r="F1002" s="28" t="n">
        <f aca="false">TC_s*E1002*TC_m*TC_n*TC_b*SQRT(2*g_)*D1002^1.5</f>
        <v>507.209518985545</v>
      </c>
      <c r="G1002" s="29" t="n">
        <f aca="false">MAX(A1002-SC_Z,0)</f>
        <v>9.97</v>
      </c>
      <c r="H1002" s="30" t="n">
        <f aca="false">1-0.2*(SC_xmb+(SC_n-1)*SC_xmt)*G1002/(SC_n*SC_b)</f>
        <v>0.72084</v>
      </c>
      <c r="I1002" s="31" t="n">
        <f aca="false">SC_s*H1002*SC_m*SC_n*SC_b*SQRT(2*g_)*G1002^1.5</f>
        <v>226.158874976246</v>
      </c>
      <c r="J1002" s="32" t="n">
        <f aca="false">F1002+I1002</f>
        <v>733.368393961791</v>
      </c>
      <c r="K1002" s="32" t="n">
        <f aca="false">F1002</f>
        <v>507.209518985545</v>
      </c>
      <c r="L1002" s="32" t="n">
        <f aca="false">C1002*1000000/dt_s+J1002/2</f>
        <v>24259.9305858698</v>
      </c>
      <c r="M1002" s="32" t="n">
        <f aca="false">C1002*1000000/dt_s+K1002/2</f>
        <v>24146.8511483817</v>
      </c>
    </row>
    <row r="1003" customFormat="false" ht="15" hidden="false" customHeight="false" outlineLevel="0" collapsed="false">
      <c r="A1003" s="24" t="n">
        <f aca="false">ROUND(A1002+0.01,2)</f>
        <v>80.98</v>
      </c>
      <c r="B1003" s="25" t="n">
        <f aca="false">INDEX(Bang_F,MATCH(A1003,Bang_Z,1))+(A1003-INDEX(Bang_Z,MATCH(A1003,Bang_Z,1)))*(INDEX(Bang_F,MATCH(A1003,Bang_Z,1)+1)-INDEX(Bang_F,MATCH(A1003,Bang_Z,1)))</f>
        <v>9.9728</v>
      </c>
      <c r="C1003" s="25" t="n">
        <f aca="false">INDEX(Bang_W,MATCH(A1003,Bang_Z,1))+(A1003-INDEX(Bang_Z,MATCH(A1003,Bang_Z,1)))*(INDEX(Bang_F,MATCH(A1003,Bang_Z,1))+B1003)/2</f>
        <v>86.115372</v>
      </c>
      <c r="D1003" s="26" t="n">
        <f aca="false">MAX(A1003-TC_Z,0)</f>
        <v>6.28</v>
      </c>
      <c r="E1003" s="27" t="n">
        <f aca="false">1-0.2*(TC_xmb+(TC_n-1)*TC_xmt)*D1003/(TC_n*TC_b)</f>
        <v>0.749962962962963</v>
      </c>
      <c r="F1003" s="28" t="n">
        <f aca="false">TC_s*E1003*TC_m*TC_n*TC_b*SQRT(2*g_)*D1003^1.5</f>
        <v>508.153648677536</v>
      </c>
      <c r="G1003" s="29" t="n">
        <f aca="false">MAX(A1003-SC_Z,0)</f>
        <v>9.98</v>
      </c>
      <c r="H1003" s="30" t="n">
        <f aca="false">1-0.2*(SC_xmb+(SC_n-1)*SC_xmt)*G1003/(SC_n*SC_b)</f>
        <v>0.72056</v>
      </c>
      <c r="I1003" s="31" t="n">
        <f aca="false">SC_s*H1003*SC_m*SC_n*SC_b*SQRT(2*g_)*G1003^1.5</f>
        <v>226.411238986484</v>
      </c>
      <c r="J1003" s="32" t="n">
        <f aca="false">F1003+I1003</f>
        <v>734.564887664021</v>
      </c>
      <c r="K1003" s="32" t="n">
        <f aca="false">F1003</f>
        <v>508.153648677536</v>
      </c>
      <c r="L1003" s="32" t="n">
        <f aca="false">C1003*1000000/dt_s+J1003/2</f>
        <v>24288.2191104987</v>
      </c>
      <c r="M1003" s="32" t="n">
        <f aca="false">C1003*1000000/dt_s+K1003/2</f>
        <v>24175.0134910054</v>
      </c>
    </row>
    <row r="1004" customFormat="false" ht="15" hidden="false" customHeight="false" outlineLevel="0" collapsed="false">
      <c r="A1004" s="24" t="n">
        <f aca="false">ROUND(A1003+0.01,2)</f>
        <v>80.99</v>
      </c>
      <c r="B1004" s="25" t="n">
        <f aca="false">INDEX(Bang_F,MATCH(A1004,Bang_Z,1))+(A1004-INDEX(Bang_Z,MATCH(A1004,Bang_Z,1)))*(INDEX(Bang_F,MATCH(A1004,Bang_Z,1)+1)-INDEX(Bang_F,MATCH(A1004,Bang_Z,1)))</f>
        <v>9.9814</v>
      </c>
      <c r="C1004" s="25" t="n">
        <f aca="false">INDEX(Bang_W,MATCH(A1004,Bang_Z,1))+(A1004-INDEX(Bang_Z,MATCH(A1004,Bang_Z,1)))*(INDEX(Bang_F,MATCH(A1004,Bang_Z,1))+B1004)/2</f>
        <v>86.2151429999999</v>
      </c>
      <c r="D1004" s="26" t="n">
        <f aca="false">MAX(A1004-TC_Z,0)</f>
        <v>6.28999999999999</v>
      </c>
      <c r="E1004" s="27" t="n">
        <f aca="false">1-0.2*(TC_xmb+(TC_n-1)*TC_xmt)*D1004/(TC_n*TC_b)</f>
        <v>0.749564814814815</v>
      </c>
      <c r="F1004" s="28" t="n">
        <f aca="false">TC_s*E1004*TC_m*TC_n*TC_b*SQRT(2*g_)*D1004^1.5</f>
        <v>509.097455996715</v>
      </c>
      <c r="G1004" s="29" t="n">
        <f aca="false">MAX(A1004-SC_Z,0)</f>
        <v>9.99</v>
      </c>
      <c r="H1004" s="30" t="n">
        <f aca="false">1-0.2*(SC_xmb+(SC_n-1)*SC_xmt)*G1004/(SC_n*SC_b)</f>
        <v>0.72028</v>
      </c>
      <c r="I1004" s="31" t="n">
        <f aca="false">SC_s*H1004*SC_m*SC_n*SC_b*SQRT(2*g_)*G1004^1.5</f>
        <v>226.663509016352</v>
      </c>
      <c r="J1004" s="32" t="n">
        <f aca="false">F1004+I1004</f>
        <v>735.760965013067</v>
      </c>
      <c r="K1004" s="32" t="n">
        <f aca="false">F1004</f>
        <v>509.097455996715</v>
      </c>
      <c r="L1004" s="32" t="n">
        <f aca="false">C1004*1000000/dt_s+J1004/2</f>
        <v>24316.5313158399</v>
      </c>
      <c r="M1004" s="32" t="n">
        <f aca="false">C1004*1000000/dt_s+K1004/2</f>
        <v>24203.1995613317</v>
      </c>
    </row>
    <row r="1005" customFormat="false" ht="15" hidden="false" customHeight="false" outlineLevel="0" collapsed="false">
      <c r="A1005" s="24" t="n">
        <f aca="false">ROUND(A1004+0.01,2)</f>
        <v>81</v>
      </c>
      <c r="B1005" s="25" t="n">
        <f aca="false">INDEX(Bang_F,MATCH(A1005,Bang_Z,1))+(A1005-INDEX(Bang_Z,MATCH(A1005,Bang_Z,1)))*(INDEX(Bang_F,MATCH(A1005,Bang_Z,1)+1)-INDEX(Bang_F,MATCH(A1005,Bang_Z,1)))</f>
        <v>9.99</v>
      </c>
      <c r="C1005" s="25" t="n">
        <f aca="false">INDEX(Bang_W,MATCH(A1005,Bang_Z,1))+(A1005-INDEX(Bang_Z,MATCH(A1005,Bang_Z,1)))*(INDEX(Bang_F,MATCH(A1005,Bang_Z,1))+B1005)/2</f>
        <v>86.315</v>
      </c>
      <c r="D1005" s="26" t="n">
        <f aca="false">MAX(A1005-TC_Z,0)</f>
        <v>6.3</v>
      </c>
      <c r="E1005" s="27" t="n">
        <f aca="false">1-0.2*(TC_xmb+(TC_n-1)*TC_xmt)*D1005/(TC_n*TC_b)</f>
        <v>0.749166666666667</v>
      </c>
      <c r="F1005" s="28" t="n">
        <f aca="false">TC_s*E1005*TC_m*TC_n*TC_b*SQRT(2*g_)*D1005^1.5</f>
        <v>510.040938636337</v>
      </c>
      <c r="G1005" s="29" t="n">
        <f aca="false">MAX(A1005-SC_Z,0)</f>
        <v>10</v>
      </c>
      <c r="H1005" s="30" t="n">
        <f aca="false">1-0.2*(SC_xmb+(SC_n-1)*SC_xmt)*G1005/(SC_n*SC_b)</f>
        <v>0.72</v>
      </c>
      <c r="I1005" s="31" t="n">
        <f aca="false">SC_s*H1005*SC_m*SC_n*SC_b*SQRT(2*g_)*G1005^1.5</f>
        <v>226.915684781815</v>
      </c>
      <c r="J1005" s="32" t="n">
        <f aca="false">F1005+I1005</f>
        <v>736.956623418152</v>
      </c>
      <c r="K1005" s="32" t="n">
        <f aca="false">F1005</f>
        <v>510.040938636337</v>
      </c>
      <c r="L1005" s="32" t="n">
        <f aca="false">C1005*1000000/dt_s+J1005/2</f>
        <v>24344.867200598</v>
      </c>
      <c r="M1005" s="32" t="n">
        <f aca="false">C1005*1000000/dt_s+K1005/2</f>
        <v>24231.4093582071</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10" min="6" style="0" width="12"/>
    <col collapsed="false" customWidth="true" hidden="false" outlineLevel="0" max="11" min="11" style="0" width="11"/>
    <col collapsed="false" customWidth="true" hidden="false" outlineLevel="0" max="12" min="12" style="0" width="12"/>
  </cols>
  <sheetData>
    <row r="1" customFormat="false" ht="17.35" hidden="false" customHeight="false" outlineLevel="0" collapsed="false">
      <c r="A1" s="6" t="s">
        <v>95</v>
      </c>
    </row>
    <row r="3" customFormat="false" ht="15" hidden="false" customHeight="false" outlineLevel="0" collapsed="false">
      <c r="A3" s="10" t="s">
        <v>96</v>
      </c>
      <c r="B3" s="10"/>
      <c r="C3" s="33" t="n">
        <v>1</v>
      </c>
      <c r="D3" s="10" t="s">
        <v>97</v>
      </c>
      <c r="E3" s="10"/>
      <c r="F3" s="34" t="s">
        <v>98</v>
      </c>
      <c r="G3" s="34"/>
      <c r="H3" s="7" t="s">
        <v>99</v>
      </c>
    </row>
    <row r="4" customFormat="false" ht="15" hidden="false" customHeight="false" outlineLevel="0" collapsed="false">
      <c r="A4" s="13" t="s">
        <v>100</v>
      </c>
      <c r="B4" s="13"/>
      <c r="C4" s="35" t="n">
        <f aca="false">MATCH(C3,Lu_P,0)</f>
        <v>1</v>
      </c>
      <c r="D4" s="13" t="s">
        <v>101</v>
      </c>
      <c r="E4" s="13"/>
      <c r="F4" s="35" t="n">
        <f aca="false">IF(F3="Kẹt van",2,1)</f>
        <v>1</v>
      </c>
    </row>
    <row r="5" customFormat="false" ht="15" hidden="false" customHeight="false" outlineLevel="0" collapsed="false">
      <c r="H5" s="7" t="s">
        <v>102</v>
      </c>
    </row>
    <row r="6" customFormat="false" ht="15" hidden="false" customHeight="false" outlineLevel="0" collapsed="false">
      <c r="A6" s="10" t="s">
        <v>103</v>
      </c>
      <c r="B6" s="10"/>
      <c r="C6" s="10"/>
      <c r="D6" s="10"/>
      <c r="E6" s="10"/>
      <c r="F6" s="21" t="n">
        <f aca="false">MAX(G16:G64)</f>
        <v>77.6080001550135</v>
      </c>
    </row>
    <row r="7" customFormat="false" ht="15" hidden="false" customHeight="false" outlineLevel="0" collapsed="false">
      <c r="A7" s="10" t="s">
        <v>104</v>
      </c>
      <c r="B7" s="10"/>
      <c r="C7" s="10"/>
      <c r="D7" s="10"/>
      <c r="E7" s="10"/>
      <c r="F7" s="36" t="n">
        <f aca="false">INDEX(A16:A64,MATCH(MAX(G16:G64),G16:G64,0))</f>
        <v>16</v>
      </c>
    </row>
    <row r="8" customFormat="false" ht="15" hidden="false" customHeight="false" outlineLevel="0" collapsed="false">
      <c r="A8" s="10" t="s">
        <v>105</v>
      </c>
      <c r="B8" s="10"/>
      <c r="C8" s="10"/>
      <c r="D8" s="10"/>
      <c r="E8" s="10"/>
      <c r="F8" s="37" t="n">
        <f aca="false">MAX(J16:J64)</f>
        <v>326.753915791357</v>
      </c>
    </row>
    <row r="9" customFormat="false" ht="15" hidden="false" customHeight="false" outlineLevel="0" collapsed="false">
      <c r="A9" s="10" t="s">
        <v>106</v>
      </c>
      <c r="B9" s="10"/>
      <c r="C9" s="10"/>
      <c r="D9" s="10"/>
      <c r="E9" s="10"/>
      <c r="F9" s="37" t="n">
        <f aca="false">INDEX(H16:H64,MATCH(MAX(G16:G64),G16:G64,0))</f>
        <v>188.7847928325</v>
      </c>
      <c r="G9" s="37" t="n">
        <f aca="false">INDEX(I16:I64,MATCH(MAX(G16:G64),G16:G64,0))</f>
        <v>137.969122958858</v>
      </c>
    </row>
    <row r="10" customFormat="false" ht="15" hidden="false" customHeight="false" outlineLevel="0" collapsed="false">
      <c r="A10" s="10" t="s">
        <v>107</v>
      </c>
      <c r="B10" s="10"/>
      <c r="C10" s="10"/>
      <c r="D10" s="10"/>
      <c r="E10" s="10"/>
      <c r="F10" s="21" t="n">
        <f aca="false">F6-TC_Z</f>
        <v>2.90800015501351</v>
      </c>
      <c r="G10" s="21" t="n">
        <f aca="false">F6-SC_Z</f>
        <v>6.60800015501351</v>
      </c>
    </row>
    <row r="11" customFormat="false" ht="15" hidden="false" customHeight="false" outlineLevel="0" collapsed="false">
      <c r="A11" s="10" t="s">
        <v>108</v>
      </c>
      <c r="B11" s="10"/>
      <c r="C11" s="10"/>
      <c r="D11" s="10"/>
      <c r="E11" s="10"/>
      <c r="F11" s="38" t="n">
        <f aca="false">INDEX(K16:K64,MATCH(MAX(G16:G64),G16:G64,0))-K16</f>
        <v>20.3317695949294</v>
      </c>
    </row>
    <row r="12" customFormat="false" ht="15" hidden="false" customHeight="false" outlineLevel="0" collapsed="false">
      <c r="A12" s="10" t="s">
        <v>109</v>
      </c>
      <c r="B12" s="10"/>
      <c r="C12" s="10"/>
      <c r="D12" s="10"/>
      <c r="E12" s="10"/>
      <c r="F12" s="39" t="n">
        <f aca="false">SUMPRODUCT((B16:B63+B17:B64)/2)*dt_s/1000000-SUMPRODUCT((J16:J63+J17:J64)/2)*dt_s/1000000-(K64-K16)</f>
        <v>1.46448327171811E-005</v>
      </c>
    </row>
    <row r="15" customFormat="false" ht="45" hidden="false" customHeight="true" outlineLevel="0" collapsed="false">
      <c r="A15" s="9" t="s">
        <v>69</v>
      </c>
      <c r="B15" s="9" t="s">
        <v>110</v>
      </c>
      <c r="C15" s="9" t="s">
        <v>111</v>
      </c>
      <c r="D15" s="9" t="s">
        <v>112</v>
      </c>
      <c r="E15" s="9" t="s">
        <v>113</v>
      </c>
      <c r="F15" s="9" t="s">
        <v>114</v>
      </c>
      <c r="G15" s="9" t="s">
        <v>115</v>
      </c>
      <c r="H15" s="9" t="s">
        <v>87</v>
      </c>
      <c r="I15" s="9" t="s">
        <v>90</v>
      </c>
      <c r="J15" s="9" t="s">
        <v>116</v>
      </c>
      <c r="K15" s="9" t="s">
        <v>117</v>
      </c>
      <c r="L15" s="9" t="s">
        <v>118</v>
      </c>
    </row>
    <row r="16" customFormat="false" ht="15" hidden="false" customHeight="false" outlineLevel="0" collapsed="false">
      <c r="A16" s="14" t="n">
        <v>0</v>
      </c>
      <c r="B16" s="40" t="n">
        <f aca="false">IFERROR(INDEX(Lu_Q,MATCH(A16,Lu_t,0),$C$4),0)</f>
        <v>2</v>
      </c>
      <c r="C16" s="40"/>
      <c r="D16" s="40"/>
      <c r="E16" s="40"/>
      <c r="F16" s="40"/>
      <c r="G16" s="41" t="n">
        <f aca="false">Z0</f>
        <v>74.7</v>
      </c>
      <c r="H16" s="42" t="n">
        <f aca="false">TC_s*(1-0.2*(TC_xmb+(TC_n-1)*TC_xmt)*MAX(G16-TC_Z,0)/(TC_n*TC_b))*TC_m*TC_n*TC_b*SQRT(2*g_)*MAX(G16-TC_Z,0)^1.5</f>
        <v>0</v>
      </c>
      <c r="I16" s="43" t="n">
        <f aca="false">IF($F$4=2,0,SC_s*(1-0.2*(SC_xmb+(SC_n-1)*SC_xmt)*MAX(G16-SC_Z,0)/(SC_n*SC_b))*SC_m*SC_n*SC_b*SQRT(2*g_)*MAX(G16-SC_Z,0)^1.5)</f>
        <v>63.5823321712985</v>
      </c>
      <c r="J16" s="40" t="n">
        <f aca="false">H16+I16</f>
        <v>63.5823321712985</v>
      </c>
      <c r="K16" s="23" t="n">
        <f aca="false">INDEX(QH_V,MATCH(G16,QH_Z,1))+(G16-INDEX(QH_Z,MATCH(G16,QH_Z,1)))*(INDEX(QH_V,MATCH(G16,QH_Z,1)+1)-INDEX(QH_V,MATCH(G16,QH_Z,1)))/(INDEX(QH_Z,MATCH(G16,QH_Z,1)+1)-INDEX(QH_Z,MATCH(G16,QH_Z,1)))</f>
        <v>36.4117</v>
      </c>
      <c r="L16" s="40" t="n">
        <f aca="false">K16*1000000/dt_s+J16/2</f>
        <v>10146.1522771968</v>
      </c>
    </row>
    <row r="17" customFormat="false" ht="15" hidden="false" customHeight="false" outlineLevel="0" collapsed="false">
      <c r="A17" s="14" t="n">
        <v>1</v>
      </c>
      <c r="B17" s="40" t="n">
        <f aca="false">IFERROR(INDEX(Lu_Q,MATCH(A17,Lu_t,0),$C$4),0)</f>
        <v>2</v>
      </c>
      <c r="C17" s="40" t="n">
        <f aca="false">(B16+B17)/2</f>
        <v>2</v>
      </c>
      <c r="D17" s="40" t="n">
        <f aca="false">L16</f>
        <v>10146.1522771968</v>
      </c>
      <c r="E17" s="40" t="n">
        <f aca="false">J16</f>
        <v>63.5823321712985</v>
      </c>
      <c r="F17" s="40" t="n">
        <f aca="false">D17+C17-E17</f>
        <v>10084.5699450255</v>
      </c>
      <c r="G17" s="41" t="n">
        <f aca="false">INDEX(QH_Z,MATCH(F17,INDEX(QH_f,0,$F$4),1))+(F17-INDEX(QH_f,MATCH(F17,INDEX(QH_f,0,$F$4),1),$F$4))*(INDEX(QH_Z,MATCH(F17,INDEX(QH_f,0,$F$4),1)+1)-INDEX(QH_Z,MATCH(F17,INDEX(QH_f,0,$F$4),1)))/(INDEX(QH_f,MATCH(F17,INDEX(QH_f,0,$F$4),1)+1,$F$4)-INDEX(QH_f,MATCH(F17,INDEX(QH_f,0,$F$4),1),$F$4))</f>
        <v>74.6647704075964</v>
      </c>
      <c r="H17" s="42" t="n">
        <f aca="false">TC_s*(1-0.2*(TC_xmb+(TC_n-1)*TC_xmt)*MAX(G17-TC_Z,0)/(TC_n*TC_b))*TC_m*TC_n*TC_b*SQRT(2*g_)*MAX(G17-TC_Z,0)^1.5</f>
        <v>0</v>
      </c>
      <c r="I17" s="43" t="n">
        <f aca="false">IF($F$4=2,0,SC_s*(1-0.2*(SC_xmb+(SC_n-1)*SC_xmt)*MAX(G17-SC_Z,0)/(SC_n*SC_b))*SC_m*SC_n*SC_b*SQRT(2*g_)*MAX(G17-SC_Z,0)^1.5)</f>
        <v>62.7453685852321</v>
      </c>
      <c r="J17" s="40" t="n">
        <f aca="false">H17+I17</f>
        <v>62.7453685852321</v>
      </c>
      <c r="K17" s="23" t="n">
        <f aca="false">INDEX(QH_V,MATCH(G17,QH_Z,1))+(G17-INDEX(QH_Z,MATCH(G17,QH_Z,1)))*(INDEX(QH_V,MATCH(G17,QH_Z,1)+1)-INDEX(QH_V,MATCH(G17,QH_Z,1)))/(INDEX(QH_Z,MATCH(G17,QH_Z,1)+1)-INDEX(QH_Z,MATCH(G17,QH_Z,1)))</f>
        <v>36.1915100959532</v>
      </c>
      <c r="L17" s="40" t="n">
        <f aca="false">K17*1000000/dt_s+J17/2</f>
        <v>10084.5699331685</v>
      </c>
    </row>
    <row r="18" customFormat="false" ht="15" hidden="false" customHeight="false" outlineLevel="0" collapsed="false">
      <c r="A18" s="14" t="n">
        <v>2</v>
      </c>
      <c r="B18" s="40" t="n">
        <f aca="false">IFERROR(INDEX(Lu_Q,MATCH(A18,Lu_t,0),$C$4),0)</f>
        <v>50</v>
      </c>
      <c r="C18" s="40" t="n">
        <f aca="false">(B17+B18)/2</f>
        <v>26</v>
      </c>
      <c r="D18" s="40" t="n">
        <f aca="false">L17</f>
        <v>10084.5699331685</v>
      </c>
      <c r="E18" s="40" t="n">
        <f aca="false">J17</f>
        <v>62.7453685852321</v>
      </c>
      <c r="F18" s="40" t="n">
        <f aca="false">D18+C18-E18</f>
        <v>10047.8245645833</v>
      </c>
      <c r="G18" s="41" t="n">
        <f aca="false">INDEX(QH_Z,MATCH(F18,INDEX(QH_f,0,$F$4),1))+(F18-INDEX(QH_f,MATCH(F18,INDEX(QH_f,0,$F$4),1),$F$4))*(INDEX(QH_Z,MATCH(F18,INDEX(QH_f,0,$F$4),1)+1)-INDEX(QH_Z,MATCH(F18,INDEX(QH_f,0,$F$4),1)))/(INDEX(QH_f,MATCH(F18,INDEX(QH_f,0,$F$4),1)+1,$F$4)-INDEX(QH_f,MATCH(F18,INDEX(QH_f,0,$F$4),1),$F$4))</f>
        <v>74.6436876607865</v>
      </c>
      <c r="H18" s="42" t="n">
        <f aca="false">TC_s*(1-0.2*(TC_xmb+(TC_n-1)*TC_xmt)*MAX(G18-TC_Z,0)/(TC_n*TC_b))*TC_m*TC_n*TC_b*SQRT(2*g_)*MAX(G18-TC_Z,0)^1.5</f>
        <v>0</v>
      </c>
      <c r="I18" s="43" t="n">
        <f aca="false">IF($F$4=2,0,SC_s*(1-0.2*(SC_xmb+(SC_n-1)*SC_xmt)*MAX(G18-SC_Z,0)/(SC_n*SC_b))*SC_m*SC_n*SC_b*SQRT(2*g_)*MAX(G18-SC_Z,0)^1.5)</f>
        <v>62.2456236489384</v>
      </c>
      <c r="J18" s="40" t="n">
        <f aca="false">H18+I18</f>
        <v>62.2456236489384</v>
      </c>
      <c r="K18" s="23" t="n">
        <f aca="false">INDEX(QH_V,MATCH(G18,QH_Z,1))+(G18-INDEX(QH_Z,MATCH(G18,QH_Z,1)))*(INDEX(QH_V,MATCH(G18,QH_Z,1)+1)-INDEX(QH_V,MATCH(G18,QH_Z,1)))/(INDEX(QH_Z,MATCH(G18,QH_Z,1)+1)-INDEX(QH_Z,MATCH(G18,QH_Z,1)))</f>
        <v>36.0601262697583</v>
      </c>
      <c r="L18" s="40" t="n">
        <f aca="false">K18*1000000/dt_s+J18/2</f>
        <v>10047.824553424</v>
      </c>
    </row>
    <row r="19" customFormat="false" ht="15" hidden="false" customHeight="false" outlineLevel="0" collapsed="false">
      <c r="A19" s="14" t="n">
        <v>3</v>
      </c>
      <c r="B19" s="40" t="n">
        <f aca="false">IFERROR(INDEX(Lu_Q,MATCH(A19,Lu_t,0),$C$4),0)</f>
        <v>207</v>
      </c>
      <c r="C19" s="40" t="n">
        <f aca="false">(B18+B19)/2</f>
        <v>128.5</v>
      </c>
      <c r="D19" s="40" t="n">
        <f aca="false">L18</f>
        <v>10047.824553424</v>
      </c>
      <c r="E19" s="40" t="n">
        <f aca="false">J18</f>
        <v>62.2456236489384</v>
      </c>
      <c r="F19" s="40" t="n">
        <f aca="false">D19+C19-E19</f>
        <v>10114.0789297751</v>
      </c>
      <c r="G19" s="41" t="n">
        <f aca="false">INDEX(QH_Z,MATCH(F19,INDEX(QH_f,0,$F$4),1))+(F19-INDEX(QH_f,MATCH(F19,INDEX(QH_f,0,$F$4),1),$F$4))*(INDEX(QH_Z,MATCH(F19,INDEX(QH_f,0,$F$4),1)+1)-INDEX(QH_Z,MATCH(F19,INDEX(QH_f,0,$F$4),1)))/(INDEX(QH_f,MATCH(F19,INDEX(QH_f,0,$F$4),1)+1,$F$4)-INDEX(QH_f,MATCH(F19,INDEX(QH_f,0,$F$4),1),$F$4))</f>
        <v>74.6816679819369</v>
      </c>
      <c r="H19" s="42" t="n">
        <f aca="false">TC_s*(1-0.2*(TC_xmb+(TC_n-1)*TC_xmt)*MAX(G19-TC_Z,0)/(TC_n*TC_b))*TC_m*TC_n*TC_b*SQRT(2*g_)*MAX(G19-TC_Z,0)^1.5</f>
        <v>0</v>
      </c>
      <c r="I19" s="43" t="n">
        <f aca="false">IF($F$4=2,0,SC_s*(1-0.2*(SC_xmb+(SC_n-1)*SC_xmt)*MAX(G19-SC_Z,0)/(SC_n*SC_b))*SC_m*SC_n*SC_b*SQRT(2*g_)*MAX(G19-SC_Z,0)^1.5)</f>
        <v>63.1465187411718</v>
      </c>
      <c r="J19" s="40" t="n">
        <f aca="false">H19+I19</f>
        <v>63.1465187411718</v>
      </c>
      <c r="K19" s="23" t="n">
        <f aca="false">INDEX(QH_V,MATCH(G19,QH_Z,1))+(G19-INDEX(QH_Z,MATCH(G19,QH_Z,1)))*(INDEX(QH_V,MATCH(G19,QH_Z,1)+1)-INDEX(QH_V,MATCH(G19,QH_Z,1)))/(INDEX(QH_Z,MATCH(G19,QH_Z,1)+1)-INDEX(QH_Z,MATCH(G19,QH_Z,1)))</f>
        <v>36.2970203898677</v>
      </c>
      <c r="L19" s="40" t="n">
        <f aca="false">K19*1000000/dt_s+J19/2</f>
        <v>10114.0789232227</v>
      </c>
    </row>
    <row r="20" customFormat="false" ht="15" hidden="false" customHeight="false" outlineLevel="0" collapsed="false">
      <c r="A20" s="14" t="n">
        <v>4</v>
      </c>
      <c r="B20" s="40" t="n">
        <f aca="false">IFERROR(INDEX(Lu_Q,MATCH(A20,Lu_t,0),$C$4),0)</f>
        <v>437</v>
      </c>
      <c r="C20" s="40" t="n">
        <f aca="false">(B19+B20)/2</f>
        <v>322</v>
      </c>
      <c r="D20" s="40" t="n">
        <f aca="false">L19</f>
        <v>10114.0789232227</v>
      </c>
      <c r="E20" s="40" t="n">
        <f aca="false">J19</f>
        <v>63.1465187411718</v>
      </c>
      <c r="F20" s="40" t="n">
        <f aca="false">D20+C20-E20</f>
        <v>10372.9324044815</v>
      </c>
      <c r="G20" s="41" t="n">
        <f aca="false">INDEX(QH_Z,MATCH(F20,INDEX(QH_f,0,$F$4),1))+(F20-INDEX(QH_f,MATCH(F20,INDEX(QH_f,0,$F$4),1),$F$4))*(INDEX(QH_Z,MATCH(F20,INDEX(QH_f,0,$F$4),1)+1)-INDEX(QH_Z,MATCH(F20,INDEX(QH_f,0,$F$4),1)))/(INDEX(QH_f,MATCH(F20,INDEX(QH_f,0,$F$4),1)+1,$F$4)-INDEX(QH_f,MATCH(F20,INDEX(QH_f,0,$F$4),1),$F$4))</f>
        <v>74.8280653027006</v>
      </c>
      <c r="H20" s="42" t="n">
        <f aca="false">TC_s*(1-0.2*(TC_xmb+(TC_n-1)*TC_xmt)*MAX(G20-TC_Z,0)/(TC_n*TC_b))*TC_m*TC_n*TC_b*SQRT(2*g_)*MAX(G20-TC_Z,0)^1.5</f>
        <v>1.96310215421365</v>
      </c>
      <c r="I20" s="43" t="n">
        <f aca="false">IF($F$4=2,0,SC_s*(1-0.2*(SC_xmb+(SC_n-1)*SC_xmt)*MAX(G20-SC_Z,0)/(SC_n*SC_b))*SC_m*SC_n*SC_b*SQRT(2*g_)*MAX(G20-SC_Z,0)^1.5)</f>
        <v>66.644160469652</v>
      </c>
      <c r="J20" s="40" t="n">
        <f aca="false">H20+I20</f>
        <v>68.6072626238657</v>
      </c>
      <c r="K20" s="23" t="n">
        <f aca="false">INDEX(QH_V,MATCH(G20,QH_Z,1))+(G20-INDEX(QH_Z,MATCH(G20,QH_Z,1)))*(INDEX(QH_V,MATCH(G20,QH_Z,1)+1)-INDEX(QH_V,MATCH(G20,QH_Z,1)))/(INDEX(QH_Z,MATCH(G20,QH_Z,1)+1)-INDEX(QH_Z,MATCH(G20,QH_Z,1)))</f>
        <v>37.2190623129838</v>
      </c>
      <c r="L20" s="40" t="n">
        <f aca="false">K20*1000000/dt_s+J20/2</f>
        <v>10372.9320515852</v>
      </c>
    </row>
    <row r="21" customFormat="false" ht="15" hidden="false" customHeight="false" outlineLevel="0" collapsed="false">
      <c r="A21" s="14" t="n">
        <v>5</v>
      </c>
      <c r="B21" s="40" t="n">
        <f aca="false">IFERROR(INDEX(Lu_Q,MATCH(A21,Lu_t,0),$C$4),0)</f>
        <v>657</v>
      </c>
      <c r="C21" s="40" t="n">
        <f aca="false">(B20+B21)/2</f>
        <v>547</v>
      </c>
      <c r="D21" s="40" t="n">
        <f aca="false">L20</f>
        <v>10372.9320515852</v>
      </c>
      <c r="E21" s="40" t="n">
        <f aca="false">J20</f>
        <v>68.6072626238657</v>
      </c>
      <c r="F21" s="40" t="n">
        <f aca="false">D21+C21-E21</f>
        <v>10851.3247889614</v>
      </c>
      <c r="G21" s="41" t="n">
        <f aca="false">INDEX(QH_Z,MATCH(F21,INDEX(QH_f,0,$F$4),1))+(F21-INDEX(QH_f,MATCH(F21,INDEX(QH_f,0,$F$4),1),$F$4))*(INDEX(QH_Z,MATCH(F21,INDEX(QH_f,0,$F$4),1)+1)-INDEX(QH_Z,MATCH(F21,INDEX(QH_f,0,$F$4),1)))/(INDEX(QH_f,MATCH(F21,INDEX(QH_f,0,$F$4),1)+1,$F$4)-INDEX(QH_f,MATCH(F21,INDEX(QH_f,0,$F$4),1),$F$4))</f>
        <v>75.0917551192631</v>
      </c>
      <c r="H21" s="42" t="n">
        <f aca="false">TC_s*(1-0.2*(TC_xmb+(TC_n-1)*TC_xmt)*MAX(G21-TC_Z,0)/(TC_n*TC_b))*TC_m*TC_n*TC_b*SQRT(2*g_)*MAX(G21-TC_Z,0)^1.5</f>
        <v>10.3922700923255</v>
      </c>
      <c r="I21" s="43" t="n">
        <f aca="false">IF($F$4=2,0,SC_s*(1-0.2*(SC_xmb+(SC_n-1)*SC_xmt)*MAX(G21-SC_Z,0)/(SC_n*SC_b))*SC_m*SC_n*SC_b*SQRT(2*g_)*MAX(G21-SC_Z,0)^1.5)</f>
        <v>73.0383786775641</v>
      </c>
      <c r="J21" s="40" t="n">
        <f aca="false">H21+I21</f>
        <v>83.4306487698896</v>
      </c>
      <c r="K21" s="23" t="n">
        <f aca="false">INDEX(QH_V,MATCH(G21,QH_Z,1))+(G21-INDEX(QH_Z,MATCH(G21,QH_Z,1)))*(INDEX(QH_V,MATCH(G21,QH_Z,1)+1)-INDEX(QH_V,MATCH(G21,QH_Z,1)))/(INDEX(QH_Z,MATCH(G21,QH_Z,1)+1)-INDEX(QH_Z,MATCH(G21,QH_Z,1)))</f>
        <v>38.9145934344246</v>
      </c>
      <c r="L21" s="40" t="n">
        <f aca="false">K21*1000000/dt_s+J21/2</f>
        <v>10851.3246117251</v>
      </c>
    </row>
    <row r="22" customFormat="false" ht="15" hidden="false" customHeight="false" outlineLevel="0" collapsed="false">
      <c r="A22" s="14" t="n">
        <v>6</v>
      </c>
      <c r="B22" s="40" t="n">
        <f aca="false">IFERROR(INDEX(Lu_Q,MATCH(A22,Lu_t,0),$C$4),0)</f>
        <v>816</v>
      </c>
      <c r="C22" s="40" t="n">
        <f aca="false">(B21+B22)/2</f>
        <v>736.5</v>
      </c>
      <c r="D22" s="40" t="n">
        <f aca="false">L21</f>
        <v>10851.3246117251</v>
      </c>
      <c r="E22" s="40" t="n">
        <f aca="false">J21</f>
        <v>83.4306487698896</v>
      </c>
      <c r="F22" s="40" t="n">
        <f aca="false">D22+C22-E22</f>
        <v>11504.3939629552</v>
      </c>
      <c r="G22" s="41" t="n">
        <f aca="false">INDEX(QH_Z,MATCH(F22,INDEX(QH_f,0,$F$4),1))+(F22-INDEX(QH_f,MATCH(F22,INDEX(QH_f,0,$F$4),1),$F$4))*(INDEX(QH_Z,MATCH(F22,INDEX(QH_f,0,$F$4),1)+1)-INDEX(QH_Z,MATCH(F22,INDEX(QH_f,0,$F$4),1)))/(INDEX(QH_f,MATCH(F22,INDEX(QH_f,0,$F$4),1)+1,$F$4)-INDEX(QH_f,MATCH(F22,INDEX(QH_f,0,$F$4),1),$F$4))</f>
        <v>75.4423510989097</v>
      </c>
      <c r="H22" s="42" t="n">
        <f aca="false">TC_s*(1-0.2*(TC_xmb+(TC_n-1)*TC_xmt)*MAX(G22-TC_Z,0)/(TC_n*TC_b))*TC_m*TC_n*TC_b*SQRT(2*g_)*MAX(G22-TC_Z,0)^1.5</f>
        <v>26.7239114202214</v>
      </c>
      <c r="I22" s="43" t="n">
        <f aca="false">IF($F$4=2,0,SC_s*(1-0.2*(SC_xmb+(SC_n-1)*SC_xmt)*MAX(G22-SC_Z,0)/(SC_n*SC_b))*SC_m*SC_n*SC_b*SQRT(2*g_)*MAX(G22-SC_Z,0)^1.5)</f>
        <v>81.7079134267639</v>
      </c>
      <c r="J22" s="40" t="n">
        <f aca="false">H22+I22</f>
        <v>108.431824846985</v>
      </c>
      <c r="K22" s="23" t="n">
        <f aca="false">INDEX(QH_V,MATCH(G22,QH_Z,1))+(G22-INDEX(QH_Z,MATCH(G22,QH_Z,1)))*(INDEX(QH_V,MATCH(G22,QH_Z,1)+1)-INDEX(QH_V,MATCH(G22,QH_Z,1)))/(INDEX(QH_Z,MATCH(G22,QH_Z,1)+1)-INDEX(QH_Z,MATCH(G22,QH_Z,1)))</f>
        <v>41.2206404441229</v>
      </c>
      <c r="L22" s="40" t="n">
        <f aca="false">K22*1000000/dt_s+J22/2</f>
        <v>11504.3938135687</v>
      </c>
    </row>
    <row r="23" customFormat="false" ht="15" hidden="false" customHeight="false" outlineLevel="0" collapsed="false">
      <c r="A23" s="14" t="n">
        <v>7</v>
      </c>
      <c r="B23" s="40" t="n">
        <f aca="false">IFERROR(INDEX(Lu_Q,MATCH(A23,Lu_t,0),$C$4),0)</f>
        <v>898</v>
      </c>
      <c r="C23" s="40" t="n">
        <f aca="false">(B22+B23)/2</f>
        <v>857</v>
      </c>
      <c r="D23" s="40" t="n">
        <f aca="false">L22</f>
        <v>11504.3938135687</v>
      </c>
      <c r="E23" s="40" t="n">
        <f aca="false">J22</f>
        <v>108.431824846985</v>
      </c>
      <c r="F23" s="40" t="n">
        <f aca="false">D23+C23-E23</f>
        <v>12252.9619887218</v>
      </c>
      <c r="G23" s="41" t="n">
        <f aca="false">INDEX(QH_Z,MATCH(F23,INDEX(QH_f,0,$F$4),1))+(F23-INDEX(QH_f,MATCH(F23,INDEX(QH_f,0,$F$4),1),$F$4))*(INDEX(QH_Z,MATCH(F23,INDEX(QH_f,0,$F$4),1)+1)-INDEX(QH_Z,MATCH(F23,INDEX(QH_f,0,$F$4),1)))/(INDEX(QH_f,MATCH(F23,INDEX(QH_f,0,$F$4),1)+1,$F$4)-INDEX(QH_f,MATCH(F23,INDEX(QH_f,0,$F$4),1),$F$4))</f>
        <v>75.833396000452</v>
      </c>
      <c r="H23" s="42" t="n">
        <f aca="false">TC_s*(1-0.2*(TC_xmb+(TC_n-1)*TC_xmt)*MAX(G23-TC_Z,0)/(TC_n*TC_b))*TC_m*TC_n*TC_b*SQRT(2*g_)*MAX(G23-TC_Z,0)^1.5</f>
        <v>49.6060184198492</v>
      </c>
      <c r="I23" s="43" t="n">
        <f aca="false">IF($F$4=2,0,SC_s*(1-0.2*(SC_xmb+(SC_n-1)*SC_xmt)*MAX(G23-SC_Z,0)/(SC_n*SC_b))*SC_m*SC_n*SC_b*SQRT(2*g_)*MAX(G23-SC_Z,0)^1.5)</f>
        <v>91.5710982517528</v>
      </c>
      <c r="J23" s="40" t="n">
        <f aca="false">H23+I23</f>
        <v>141.177116671602</v>
      </c>
      <c r="K23" s="23" t="n">
        <f aca="false">INDEX(QH_V,MATCH(G23,QH_Z,1))+(G23-INDEX(QH_Z,MATCH(G23,QH_Z,1)))*(INDEX(QH_V,MATCH(G23,QH_Z,1)+1)-INDEX(QH_V,MATCH(G23,QH_Z,1)))/(INDEX(QH_Z,MATCH(G23,QH_Z,1)+1)-INDEX(QH_Z,MATCH(G23,QH_Z,1)))</f>
        <v>43.8565438534863</v>
      </c>
      <c r="L23" s="40" t="n">
        <f aca="false">K23*1000000/dt_s+J23/2</f>
        <v>12252.9618509709</v>
      </c>
    </row>
    <row r="24" customFormat="false" ht="15" hidden="false" customHeight="false" outlineLevel="0" collapsed="false">
      <c r="A24" s="14" t="n">
        <v>8</v>
      </c>
      <c r="B24" s="40" t="n">
        <f aca="false">IFERROR(INDEX(Lu_Q,MATCH(A24,Lu_t,0),$C$4),0)</f>
        <v>914</v>
      </c>
      <c r="C24" s="40" t="n">
        <f aca="false">(B23+B24)/2</f>
        <v>906</v>
      </c>
      <c r="D24" s="40" t="n">
        <f aca="false">L23</f>
        <v>12252.9618509709</v>
      </c>
      <c r="E24" s="40" t="n">
        <f aca="false">J23</f>
        <v>141.177116671602</v>
      </c>
      <c r="F24" s="40" t="n">
        <f aca="false">D24+C24-E24</f>
        <v>13017.7847342993</v>
      </c>
      <c r="G24" s="41" t="n">
        <f aca="false">INDEX(QH_Z,MATCH(F24,INDEX(QH_f,0,$F$4),1))+(F24-INDEX(QH_f,MATCH(F24,INDEX(QH_f,0,$F$4),1),$F$4))*(INDEX(QH_Z,MATCH(F24,INDEX(QH_f,0,$F$4),1)+1)-INDEX(QH_Z,MATCH(F24,INDEX(QH_f,0,$F$4),1)))/(INDEX(QH_f,MATCH(F24,INDEX(QH_f,0,$F$4),1)+1,$F$4)-INDEX(QH_f,MATCH(F24,INDEX(QH_f,0,$F$4),1),$F$4))</f>
        <v>76.2220599181522</v>
      </c>
      <c r="H24" s="42" t="n">
        <f aca="false">TC_s*(1-0.2*(TC_xmb+(TC_n-1)*TC_xmt)*MAX(G24-TC_Z,0)/(TC_n*TC_b))*TC_m*TC_n*TC_b*SQRT(2*g_)*MAX(G24-TC_Z,0)^1.5</f>
        <v>75.9475379649677</v>
      </c>
      <c r="I24" s="43" t="n">
        <f aca="false">IF($F$4=2,0,SC_s*(1-0.2*(SC_xmb+(SC_n-1)*SC_xmt)*MAX(G24-SC_Z,0)/(SC_n*SC_b))*SC_m*SC_n*SC_b*SQRT(2*g_)*MAX(G24-SC_Z,0)^1.5)</f>
        <v>101.541121082293</v>
      </c>
      <c r="J24" s="40" t="n">
        <f aca="false">H24+I24</f>
        <v>177.48865904726</v>
      </c>
      <c r="K24" s="23" t="n">
        <f aca="false">INDEX(QH_V,MATCH(G24,QH_Z,1))+(G24-INDEX(QH_Z,MATCH(G24,QH_Z,1)))*(INDEX(QH_V,MATCH(G24,QH_Z,1)+1)-INDEX(QH_V,MATCH(G24,QH_Z,1)))/(INDEX(QH_Z,MATCH(G24,QH_Z,1)+1)-INDEX(QH_Z,MATCH(G24,QH_Z,1)))</f>
        <v>46.5445451760423</v>
      </c>
      <c r="L24" s="40" t="n">
        <f aca="false">K24*1000000/dt_s+J24/2</f>
        <v>13017.784656202</v>
      </c>
    </row>
    <row r="25" customFormat="false" ht="15" hidden="false" customHeight="false" outlineLevel="0" collapsed="false">
      <c r="A25" s="14" t="n">
        <v>9</v>
      </c>
      <c r="B25" s="40" t="n">
        <f aca="false">IFERROR(INDEX(Lu_Q,MATCH(A25,Lu_t,0),$C$4),0)</f>
        <v>879</v>
      </c>
      <c r="C25" s="40" t="n">
        <f aca="false">(B24+B25)/2</f>
        <v>896.5</v>
      </c>
      <c r="D25" s="40" t="n">
        <f aca="false">L24</f>
        <v>13017.784656202</v>
      </c>
      <c r="E25" s="40" t="n">
        <f aca="false">J24</f>
        <v>177.48865904726</v>
      </c>
      <c r="F25" s="40" t="n">
        <f aca="false">D25+C25-E25</f>
        <v>13736.7959971548</v>
      </c>
      <c r="G25" s="41" t="n">
        <f aca="false">INDEX(QH_Z,MATCH(F25,INDEX(QH_f,0,$F$4),1))+(F25-INDEX(QH_f,MATCH(F25,INDEX(QH_f,0,$F$4),1),$F$4))*(INDEX(QH_Z,MATCH(F25,INDEX(QH_f,0,$F$4),1)+1)-INDEX(QH_Z,MATCH(F25,INDEX(QH_f,0,$F$4),1)))/(INDEX(QH_f,MATCH(F25,INDEX(QH_f,0,$F$4),1)+1,$F$4)-INDEX(QH_f,MATCH(F25,INDEX(QH_f,0,$F$4),1),$F$4))</f>
        <v>76.5775638778675</v>
      </c>
      <c r="H25" s="42" t="n">
        <f aca="false">TC_s*(1-0.2*(TC_xmb+(TC_n-1)*TC_xmt)*MAX(G25-TC_Z,0)/(TC_n*TC_b))*TC_m*TC_n*TC_b*SQRT(2*g_)*MAX(G25-TC_Z,0)^1.5</f>
        <v>102.486028051502</v>
      </c>
      <c r="I25" s="43" t="n">
        <f aca="false">IF($F$4=2,0,SC_s*(1-0.2*(SC_xmb+(SC_n-1)*SC_xmt)*MAX(G25-SC_Z,0)/(SC_n*SC_b))*SC_m*SC_n*SC_b*SQRT(2*g_)*MAX(G25-SC_Z,0)^1.5)</f>
        <v>110.777839219463</v>
      </c>
      <c r="J25" s="40" t="n">
        <f aca="false">H25+I25</f>
        <v>213.263867270965</v>
      </c>
      <c r="K25" s="23" t="n">
        <f aca="false">INDEX(QH_V,MATCH(G25,QH_Z,1))+(G25-INDEX(QH_Z,MATCH(G25,QH_Z,1)))*(INDEX(QH_V,MATCH(G25,QH_Z,1)+1)-INDEX(QH_V,MATCH(G25,QH_Z,1)))/(INDEX(QH_Z,MATCH(G25,QH_Z,1)+1)-INDEX(QH_Z,MATCH(G25,QH_Z,1)))</f>
        <v>49.0685903721729</v>
      </c>
      <c r="L25" s="40" t="n">
        <f aca="false">K25*1000000/dt_s+J25/2</f>
        <v>13736.7959259057</v>
      </c>
    </row>
    <row r="26" customFormat="false" ht="15" hidden="false" customHeight="false" outlineLevel="0" collapsed="false">
      <c r="A26" s="14" t="n">
        <v>10</v>
      </c>
      <c r="B26" s="40" t="n">
        <f aca="false">IFERROR(INDEX(Lu_Q,MATCH(A26,Lu_t,0),$C$4),0)</f>
        <v>812</v>
      </c>
      <c r="C26" s="40" t="n">
        <f aca="false">(B25+B26)/2</f>
        <v>845.5</v>
      </c>
      <c r="D26" s="40" t="n">
        <f aca="false">L25</f>
        <v>13736.7959259057</v>
      </c>
      <c r="E26" s="40" t="n">
        <f aca="false">J25</f>
        <v>213.263867270965</v>
      </c>
      <c r="F26" s="40" t="n">
        <f aca="false">D26+C26-E26</f>
        <v>14369.0320586348</v>
      </c>
      <c r="G26" s="41" t="n">
        <f aca="false">INDEX(QH_Z,MATCH(F26,INDEX(QH_f,0,$F$4),1))+(F26-INDEX(QH_f,MATCH(F26,INDEX(QH_f,0,$F$4),1),$F$4))*(INDEX(QH_Z,MATCH(F26,INDEX(QH_f,0,$F$4),1)+1)-INDEX(QH_Z,MATCH(F26,INDEX(QH_f,0,$F$4),1)))/(INDEX(QH_f,MATCH(F26,INDEX(QH_f,0,$F$4),1)+1,$F$4)-INDEX(QH_f,MATCH(F26,INDEX(QH_f,0,$F$4),1),$F$4))</f>
        <v>76.8828463043875</v>
      </c>
      <c r="H26" s="42" t="n">
        <f aca="false">TC_s*(1-0.2*(TC_xmb+(TC_n-1)*TC_xmt)*MAX(G26-TC_Z,0)/(TC_n*TC_b))*TC_m*TC_n*TC_b*SQRT(2*g_)*MAX(G26-TC_Z,0)^1.5</f>
        <v>126.783947524941</v>
      </c>
      <c r="I26" s="43" t="n">
        <f aca="false">IF($F$4=2,0,SC_s*(1-0.2*(SC_xmb+(SC_n-1)*SC_xmt)*MAX(G26-SC_Z,0)/(SC_n*SC_b))*SC_m*SC_n*SC_b*SQRT(2*g_)*MAX(G26-SC_Z,0)^1.5)</f>
        <v>118.780599634051</v>
      </c>
      <c r="J26" s="40" t="n">
        <f aca="false">H26+I26</f>
        <v>245.564547158992</v>
      </c>
      <c r="K26" s="23" t="n">
        <f aca="false">INDEX(QH_V,MATCH(G26,QH_Z,1))+(G26-INDEX(QH_Z,MATCH(G26,QH_Z,1)))*(INDEX(QH_V,MATCH(G26,QH_Z,1)+1)-INDEX(QH_V,MATCH(G26,QH_Z,1)))/(INDEX(QH_Z,MATCH(G26,QH_Z,1)+1)-INDEX(QH_Z,MATCH(G26,QH_Z,1)))</f>
        <v>51.2864989899655</v>
      </c>
      <c r="L26" s="40" t="n">
        <f aca="false">K26*1000000/dt_s+J26/2</f>
        <v>14369.0319930144</v>
      </c>
    </row>
    <row r="27" customFormat="false" ht="15" hidden="false" customHeight="false" outlineLevel="0" collapsed="false">
      <c r="A27" s="14" t="n">
        <v>11</v>
      </c>
      <c r="B27" s="40" t="n">
        <f aca="false">IFERROR(INDEX(Lu_Q,MATCH(A27,Lu_t,0),$C$4),0)</f>
        <v>727</v>
      </c>
      <c r="C27" s="40" t="n">
        <f aca="false">(B26+B27)/2</f>
        <v>769.5</v>
      </c>
      <c r="D27" s="40" t="n">
        <f aca="false">L26</f>
        <v>14369.0319930144</v>
      </c>
      <c r="E27" s="40" t="n">
        <f aca="false">J26</f>
        <v>245.564547158992</v>
      </c>
      <c r="F27" s="40" t="n">
        <f aca="false">D27+C27-E27</f>
        <v>14892.9674458554</v>
      </c>
      <c r="G27" s="41" t="n">
        <f aca="false">INDEX(QH_Z,MATCH(F27,INDEX(QH_f,0,$F$4),1))+(F27-INDEX(QH_f,MATCH(F27,INDEX(QH_f,0,$F$4),1),$F$4))*(INDEX(QH_Z,MATCH(F27,INDEX(QH_f,0,$F$4),1)+1)-INDEX(QH_Z,MATCH(F27,INDEX(QH_f,0,$F$4),1)))/(INDEX(QH_f,MATCH(F27,INDEX(QH_f,0,$F$4),1)+1,$F$4)-INDEX(QH_f,MATCH(F27,INDEX(QH_f,0,$F$4),1),$F$4))</f>
        <v>77.1310014381576</v>
      </c>
      <c r="H27" s="42" t="n">
        <f aca="false">TC_s*(1-0.2*(TC_xmb+(TC_n-1)*TC_xmt)*MAX(G27-TC_Z,0)/(TC_n*TC_b))*TC_m*TC_n*TC_b*SQRT(2*g_)*MAX(G27-TC_Z,0)^1.5</f>
        <v>147.394876957894</v>
      </c>
      <c r="I27" s="43" t="n">
        <f aca="false">IF($F$4=2,0,SC_s*(1-0.2*(SC_xmb+(SC_n-1)*SC_xmt)*MAX(G27-SC_Z,0)/(SC_n*SC_b))*SC_m*SC_n*SC_b*SQRT(2*g_)*MAX(G27-SC_Z,0)^1.5)</f>
        <v>125.323802872582</v>
      </c>
      <c r="J27" s="40" t="n">
        <f aca="false">H27+I27</f>
        <v>272.718679830476</v>
      </c>
      <c r="K27" s="23" t="n">
        <f aca="false">INDEX(QH_V,MATCH(G27,QH_Z,1))+(G27-INDEX(QH_Z,MATCH(G27,QH_Z,1)))*(INDEX(QH_V,MATCH(G27,QH_Z,1)+1)-INDEX(QH_V,MATCH(G27,QH_Z,1)))/(INDEX(QH_Z,MATCH(G27,QH_Z,1)+1)-INDEX(QH_Z,MATCH(G27,QH_Z,1)))</f>
        <v>53.123789091383</v>
      </c>
      <c r="L27" s="40" t="n">
        <f aca="false">K27*1000000/dt_s+J27/2</f>
        <v>14892.967420855</v>
      </c>
    </row>
    <row r="28" customFormat="false" ht="15" hidden="false" customHeight="false" outlineLevel="0" collapsed="false">
      <c r="A28" s="14" t="n">
        <v>12</v>
      </c>
      <c r="B28" s="40" t="n">
        <f aca="false">IFERROR(INDEX(Lu_Q,MATCH(A28,Lu_t,0),$C$4),0)</f>
        <v>636</v>
      </c>
      <c r="C28" s="40" t="n">
        <f aca="false">(B27+B28)/2</f>
        <v>681.5</v>
      </c>
      <c r="D28" s="40" t="n">
        <f aca="false">L27</f>
        <v>14892.967420855</v>
      </c>
      <c r="E28" s="40" t="n">
        <f aca="false">J27</f>
        <v>272.718679830476</v>
      </c>
      <c r="F28" s="40" t="n">
        <f aca="false">D28+C28-E28</f>
        <v>15301.7487410245</v>
      </c>
      <c r="G28" s="41" t="n">
        <f aca="false">INDEX(QH_Z,MATCH(F28,INDEX(QH_f,0,$F$4),1))+(F28-INDEX(QH_f,MATCH(F28,INDEX(QH_f,0,$F$4),1),$F$4))*(INDEX(QH_Z,MATCH(F28,INDEX(QH_f,0,$F$4),1)+1)-INDEX(QH_Z,MATCH(F28,INDEX(QH_f,0,$F$4),1)))/(INDEX(QH_f,MATCH(F28,INDEX(QH_f,0,$F$4),1)+1,$F$4)-INDEX(QH_f,MATCH(F28,INDEX(QH_f,0,$F$4),1),$F$4))</f>
        <v>77.3217024905478</v>
      </c>
      <c r="H28" s="42" t="n">
        <f aca="false">TC_s*(1-0.2*(TC_xmb+(TC_n-1)*TC_xmt)*MAX(G28-TC_Z,0)/(TC_n*TC_b))*TC_m*TC_n*TC_b*SQRT(2*g_)*MAX(G28-TC_Z,0)^1.5</f>
        <v>163.686702274214</v>
      </c>
      <c r="I28" s="43" t="n">
        <f aca="false">IF($F$4=2,0,SC_s*(1-0.2*(SC_xmb+(SC_n-1)*SC_xmt)*MAX(G28-SC_Z,0)/(SC_n*SC_b))*SC_m*SC_n*SC_b*SQRT(2*g_)*MAX(G28-SC_Z,0)^1.5)</f>
        <v>130.370366857473</v>
      </c>
      <c r="J28" s="40" t="n">
        <f aca="false">H28+I28</f>
        <v>294.057069131688</v>
      </c>
      <c r="K28" s="23" t="n">
        <f aca="false">INDEX(QH_V,MATCH(G28,QH_Z,1))+(G28-INDEX(QH_Z,MATCH(G28,QH_Z,1)))*(INDEX(QH_V,MATCH(G28,QH_Z,1)+1)-INDEX(QH_V,MATCH(G28,QH_Z,1)))/(INDEX(QH_Z,MATCH(G28,QH_Z,1)+1)-INDEX(QH_Z,MATCH(G28,QH_Z,1)))</f>
        <v>54.556992617862</v>
      </c>
      <c r="L28" s="40" t="n">
        <f aca="false">K28*1000000/dt_s+J28/2</f>
        <v>15301.7487061942</v>
      </c>
    </row>
    <row r="29" customFormat="false" ht="15" hidden="false" customHeight="false" outlineLevel="0" collapsed="false">
      <c r="A29" s="14" t="n">
        <v>13</v>
      </c>
      <c r="B29" s="40" t="n">
        <f aca="false">IFERROR(INDEX(Lu_Q,MATCH(A29,Lu_t,0),$C$4),0)</f>
        <v>547</v>
      </c>
      <c r="C29" s="40" t="n">
        <f aca="false">(B28+B29)/2</f>
        <v>591.5</v>
      </c>
      <c r="D29" s="40" t="n">
        <f aca="false">L28</f>
        <v>15301.7487061942</v>
      </c>
      <c r="E29" s="40" t="n">
        <f aca="false">J28</f>
        <v>294.057069131688</v>
      </c>
      <c r="F29" s="40" t="n">
        <f aca="false">D29+C29-E29</f>
        <v>15599.1916370625</v>
      </c>
      <c r="G29" s="41" t="n">
        <f aca="false">INDEX(QH_Z,MATCH(F29,INDEX(QH_f,0,$F$4),1))+(F29-INDEX(QH_f,MATCH(F29,INDEX(QH_f,0,$F$4),1),$F$4))*(INDEX(QH_Z,MATCH(F29,INDEX(QH_f,0,$F$4),1)+1)-INDEX(QH_Z,MATCH(F29,INDEX(QH_f,0,$F$4),1)))/(INDEX(QH_f,MATCH(F29,INDEX(QH_f,0,$F$4),1)+1,$F$4)-INDEX(QH_f,MATCH(F29,INDEX(QH_f,0,$F$4),1),$F$4))</f>
        <v>77.4589238294808</v>
      </c>
      <c r="H29" s="42" t="n">
        <f aca="false">TC_s*(1-0.2*(TC_xmb+(TC_n-1)*TC_xmt)*MAX(G29-TC_Z,0)/(TC_n*TC_b))*TC_m*TC_n*TC_b*SQRT(2*g_)*MAX(G29-TC_Z,0)^1.5</f>
        <v>175.626666992806</v>
      </c>
      <c r="I29" s="43" t="n">
        <f aca="false">IF($F$4=2,0,SC_s*(1-0.2*(SC_xmb+(SC_n-1)*SC_xmt)*MAX(G29-SC_Z,0)/(SC_n*SC_b))*SC_m*SC_n*SC_b*SQRT(2*g_)*MAX(G29-SC_Z,0)^1.5)</f>
        <v>134.009556522103</v>
      </c>
      <c r="J29" s="40" t="n">
        <f aca="false">H29+I29</f>
        <v>309.636223514908</v>
      </c>
      <c r="K29" s="23" t="n">
        <f aca="false">INDEX(QH_V,MATCH(G29,QH_Z,1))+(G29-INDEX(QH_Z,MATCH(G29,QH_Z,1)))*(INDEX(QH_V,MATCH(G29,QH_Z,1)+1)-INDEX(QH_V,MATCH(G29,QH_Z,1)))/(INDEX(QH_Z,MATCH(G29,QH_Z,1)+1)-INDEX(QH_Z,MATCH(G29,QH_Z,1)))</f>
        <v>55.5997446127887</v>
      </c>
      <c r="L29" s="40" t="n">
        <f aca="false">K29*1000000/dt_s+J29/2</f>
        <v>15599.1916153099</v>
      </c>
    </row>
    <row r="30" customFormat="false" ht="15" hidden="false" customHeight="false" outlineLevel="0" collapsed="false">
      <c r="A30" s="14" t="n">
        <v>14</v>
      </c>
      <c r="B30" s="40" t="n">
        <f aca="false">IFERROR(INDEX(Lu_Q,MATCH(A30,Lu_t,0),$C$4),0)</f>
        <v>461</v>
      </c>
      <c r="C30" s="40" t="n">
        <f aca="false">(B29+B30)/2</f>
        <v>504</v>
      </c>
      <c r="D30" s="40" t="n">
        <f aca="false">L29</f>
        <v>15599.1916153099</v>
      </c>
      <c r="E30" s="40" t="n">
        <f aca="false">J29</f>
        <v>309.636223514908</v>
      </c>
      <c r="F30" s="40" t="n">
        <f aca="false">D30+C30-E30</f>
        <v>15793.555391795</v>
      </c>
      <c r="G30" s="41" t="n">
        <f aca="false">INDEX(QH_Z,MATCH(F30,INDEX(QH_f,0,$F$4),1))+(F30-INDEX(QH_f,MATCH(F30,INDEX(QH_f,0,$F$4),1),$F$4))*(INDEX(QH_Z,MATCH(F30,INDEX(QH_f,0,$F$4),1)+1)-INDEX(QH_Z,MATCH(F30,INDEX(QH_f,0,$F$4),1)))/(INDEX(QH_f,MATCH(F30,INDEX(QH_f,0,$F$4),1)+1,$F$4)-INDEX(QH_f,MATCH(F30,INDEX(QH_f,0,$F$4),1),$F$4))</f>
        <v>77.5479116111803</v>
      </c>
      <c r="H30" s="42" t="n">
        <f aca="false">TC_s*(1-0.2*(TC_xmb+(TC_n-1)*TC_xmt)*MAX(G30-TC_Z,0)/(TC_n*TC_b))*TC_m*TC_n*TC_b*SQRT(2*g_)*MAX(G30-TC_Z,0)^1.5</f>
        <v>183.458823908637</v>
      </c>
      <c r="I30" s="43" t="n">
        <f aca="false">IF($F$4=2,0,SC_s*(1-0.2*(SC_xmb+(SC_n-1)*SC_xmt)*MAX(G30-SC_Z,0)/(SC_n*SC_b))*SC_m*SC_n*SC_b*SQRT(2*g_)*MAX(G30-SC_Z,0)^1.5)</f>
        <v>136.372469646572</v>
      </c>
      <c r="J30" s="40" t="n">
        <f aca="false">H30+I30</f>
        <v>319.831293555209</v>
      </c>
      <c r="K30" s="23" t="n">
        <f aca="false">INDEX(QH_V,MATCH(G30,QH_Z,1))+(G30-INDEX(QH_Z,MATCH(G30,QH_Z,1)))*(INDEX(QH_V,MATCH(G30,QH_Z,1)+1)-INDEX(QH_V,MATCH(G30,QH_Z,1)))/(INDEX(QH_Z,MATCH(G30,QH_Z,1)+1)-INDEX(QH_Z,MATCH(G30,QH_Z,1)))</f>
        <v>56.2811029550618</v>
      </c>
      <c r="L30" s="40" t="n">
        <f aca="false">K30*1000000/dt_s+J30/2</f>
        <v>15793.555356517</v>
      </c>
    </row>
    <row r="31" customFormat="false" ht="15" hidden="false" customHeight="false" outlineLevel="0" collapsed="false">
      <c r="A31" s="14" t="n">
        <v>15</v>
      </c>
      <c r="B31" s="40" t="n">
        <f aca="false">IFERROR(INDEX(Lu_Q,MATCH(A31,Lu_t,0),$C$4),0)</f>
        <v>386</v>
      </c>
      <c r="C31" s="40" t="n">
        <f aca="false">(B30+B31)/2</f>
        <v>423.5</v>
      </c>
      <c r="D31" s="40" t="n">
        <f aca="false">L30</f>
        <v>15793.555356517</v>
      </c>
      <c r="E31" s="40" t="n">
        <f aca="false">J30</f>
        <v>319.831293555209</v>
      </c>
      <c r="F31" s="40" t="n">
        <f aca="false">D31+C31-E31</f>
        <v>15897.2240629618</v>
      </c>
      <c r="G31" s="41" t="n">
        <f aca="false">INDEX(QH_Z,MATCH(F31,INDEX(QH_f,0,$F$4),1))+(F31-INDEX(QH_f,MATCH(F31,INDEX(QH_f,0,$F$4),1),$F$4))*(INDEX(QH_Z,MATCH(F31,INDEX(QH_f,0,$F$4),1)+1)-INDEX(QH_Z,MATCH(F31,INDEX(QH_f,0,$F$4),1)))/(INDEX(QH_f,MATCH(F31,INDEX(QH_f,0,$F$4),1)+1,$F$4)-INDEX(QH_f,MATCH(F31,INDEX(QH_f,0,$F$4),1),$F$4))</f>
        <v>77.5951601686508</v>
      </c>
      <c r="H31" s="42" t="n">
        <f aca="false">TC_s*(1-0.2*(TC_xmb+(TC_n-1)*TC_xmt)*MAX(G31-TC_Z,0)/(TC_n*TC_b))*TC_m*TC_n*TC_b*SQRT(2*g_)*MAX(G31-TC_Z,0)^1.5</f>
        <v>187.644259357286</v>
      </c>
      <c r="I31" s="43" t="n">
        <f aca="false">IF($F$4=2,0,SC_s*(1-0.2*(SC_xmb+(SC_n-1)*SC_xmt)*MAX(G31-SC_Z,0)/(SC_n*SC_b))*SC_m*SC_n*SC_b*SQRT(2*g_)*MAX(G31-SC_Z,0)^1.5)</f>
        <v>137.627873825673</v>
      </c>
      <c r="J31" s="40" t="n">
        <f aca="false">H31+I31</f>
        <v>325.272133182959</v>
      </c>
      <c r="K31" s="23" t="n">
        <f aca="false">INDEX(QH_V,MATCH(G31,QH_Z,1))+(G31-INDEX(QH_Z,MATCH(G31,QH_Z,1)))*(INDEX(QH_V,MATCH(G31,QH_Z,1)+1)-INDEX(QH_V,MATCH(G31,QH_Z,1)))/(INDEX(QH_Z,MATCH(G31,QH_Z,1)+1)-INDEX(QH_Z,MATCH(G31,QH_Z,1)))</f>
        <v>56.6445166011927</v>
      </c>
      <c r="L31" s="40" t="n">
        <f aca="false">K31*1000000/dt_s+J31/2</f>
        <v>15897.2240113672</v>
      </c>
    </row>
    <row r="32" customFormat="false" ht="15" hidden="false" customHeight="false" outlineLevel="0" collapsed="false">
      <c r="A32" s="14" t="n">
        <v>16</v>
      </c>
      <c r="B32" s="40" t="n">
        <f aca="false">IFERROR(INDEX(Lu_Q,MATCH(A32,Lu_t,0),$C$4),0)</f>
        <v>321</v>
      </c>
      <c r="C32" s="40" t="n">
        <f aca="false">(B31+B32)/2</f>
        <v>353.5</v>
      </c>
      <c r="D32" s="40" t="n">
        <f aca="false">L31</f>
        <v>15897.2240113672</v>
      </c>
      <c r="E32" s="40" t="n">
        <f aca="false">J31</f>
        <v>325.272133182959</v>
      </c>
      <c r="F32" s="40" t="n">
        <f aca="false">D32+C32-E32</f>
        <v>15925.4518781843</v>
      </c>
      <c r="G32" s="41" t="n">
        <f aca="false">INDEX(QH_Z,MATCH(F32,INDEX(QH_f,0,$F$4),1))+(F32-INDEX(QH_f,MATCH(F32,INDEX(QH_f,0,$F$4),1),$F$4))*(INDEX(QH_Z,MATCH(F32,INDEX(QH_f,0,$F$4),1)+1)-INDEX(QH_Z,MATCH(F32,INDEX(QH_f,0,$F$4),1)))/(INDEX(QH_f,MATCH(F32,INDEX(QH_f,0,$F$4),1)+1,$F$4)-INDEX(QH_f,MATCH(F32,INDEX(QH_f,0,$F$4),1),$F$4))</f>
        <v>77.6080001550135</v>
      </c>
      <c r="H32" s="42" t="n">
        <f aca="false">TC_s*(1-0.2*(TC_xmb+(TC_n-1)*TC_xmt)*MAX(G32-TC_Z,0)/(TC_n*TC_b))*TC_m*TC_n*TC_b*SQRT(2*g_)*MAX(G32-TC_Z,0)^1.5</f>
        <v>188.7847928325</v>
      </c>
      <c r="I32" s="43" t="n">
        <f aca="false">IF($F$4=2,0,SC_s*(1-0.2*(SC_xmb+(SC_n-1)*SC_xmt)*MAX(G32-SC_Z,0)/(SC_n*SC_b))*SC_m*SC_n*SC_b*SQRT(2*g_)*MAX(G32-SC_Z,0)^1.5)</f>
        <v>137.969122958858</v>
      </c>
      <c r="J32" s="40" t="n">
        <f aca="false">H32+I32</f>
        <v>326.753915791357</v>
      </c>
      <c r="K32" s="23" t="n">
        <f aca="false">INDEX(QH_V,MATCH(G32,QH_Z,1))+(G32-INDEX(QH_Z,MATCH(G32,QH_Z,1)))*(INDEX(QH_V,MATCH(G32,QH_Z,1)+1)-INDEX(QH_V,MATCH(G32,QH_Z,1)))/(INDEX(QH_Z,MATCH(G32,QH_Z,1)+1)-INDEX(QH_Z,MATCH(G32,QH_Z,1)))</f>
        <v>56.7434695949294</v>
      </c>
      <c r="L32" s="40" t="n">
        <f aca="false">K32*1000000/dt_s+J32/2</f>
        <v>15925.4518453761</v>
      </c>
    </row>
    <row r="33" customFormat="false" ht="15" hidden="false" customHeight="false" outlineLevel="0" collapsed="false">
      <c r="A33" s="14" t="n">
        <v>17</v>
      </c>
      <c r="B33" s="40" t="n">
        <f aca="false">IFERROR(INDEX(Lu_Q,MATCH(A33,Lu_t,0),$C$4),0)</f>
        <v>263</v>
      </c>
      <c r="C33" s="40" t="n">
        <f aca="false">(B32+B33)/2</f>
        <v>292</v>
      </c>
      <c r="D33" s="40" t="n">
        <f aca="false">L32</f>
        <v>15925.4518453761</v>
      </c>
      <c r="E33" s="40" t="n">
        <f aca="false">J32</f>
        <v>326.753915791357</v>
      </c>
      <c r="F33" s="40" t="n">
        <f aca="false">D33+C33-E33</f>
        <v>15890.6979295847</v>
      </c>
      <c r="G33" s="41" t="n">
        <f aca="false">INDEX(QH_Z,MATCH(F33,INDEX(QH_f,0,$F$4),1))+(F33-INDEX(QH_f,MATCH(F33,INDEX(QH_f,0,$F$4),1),$F$4))*(INDEX(QH_Z,MATCH(F33,INDEX(QH_f,0,$F$4),1)+1)-INDEX(QH_Z,MATCH(F33,INDEX(QH_f,0,$F$4),1)))/(INDEX(QH_f,MATCH(F33,INDEX(QH_f,0,$F$4),1)+1,$F$4)-INDEX(QH_f,MATCH(F33,INDEX(QH_f,0,$F$4),1),$F$4))</f>
        <v>77.592190399318</v>
      </c>
      <c r="H33" s="42" t="n">
        <f aca="false">TC_s*(1-0.2*(TC_xmb+(TC_n-1)*TC_xmt)*MAX(G33-TC_Z,0)/(TC_n*TC_b))*TC_m*TC_n*TC_b*SQRT(2*g_)*MAX(G33-TC_Z,0)^1.5</f>
        <v>187.380652922127</v>
      </c>
      <c r="I33" s="43" t="n">
        <f aca="false">IF($F$4=2,0,SC_s*(1-0.2*(SC_xmb+(SC_n-1)*SC_xmt)*MAX(G33-SC_Z,0)/(SC_n*SC_b))*SC_m*SC_n*SC_b*SQRT(2*g_)*MAX(G33-SC_Z,0)^1.5)</f>
        <v>137.548951283931</v>
      </c>
      <c r="J33" s="40" t="n">
        <f aca="false">H33+I33</f>
        <v>324.929604206058</v>
      </c>
      <c r="K33" s="23" t="n">
        <f aca="false">INDEX(QH_V,MATCH(G33,QH_Z,1))+(G33-INDEX(QH_Z,MATCH(G33,QH_Z,1)))*(INDEX(QH_V,MATCH(G33,QH_Z,1)+1)-INDEX(QH_V,MATCH(G33,QH_Z,1)))/(INDEX(QH_Z,MATCH(G33,QH_Z,1)+1)-INDEX(QH_Z,MATCH(G33,QH_Z,1)))</f>
        <v>56.6216391316262</v>
      </c>
      <c r="L33" s="40" t="n">
        <f aca="false">K33*1000000/dt_s+J33/2</f>
        <v>15890.6978942214</v>
      </c>
    </row>
    <row r="34" customFormat="false" ht="15" hidden="false" customHeight="false" outlineLevel="0" collapsed="false">
      <c r="A34" s="14" t="n">
        <v>18</v>
      </c>
      <c r="B34" s="40" t="n">
        <f aca="false">IFERROR(INDEX(Lu_Q,MATCH(A34,Lu_t,0),$C$4),0)</f>
        <v>214</v>
      </c>
      <c r="C34" s="40" t="n">
        <f aca="false">(B33+B34)/2</f>
        <v>238.5</v>
      </c>
      <c r="D34" s="40" t="n">
        <f aca="false">L33</f>
        <v>15890.6978942214</v>
      </c>
      <c r="E34" s="40" t="n">
        <f aca="false">J33</f>
        <v>324.929604206058</v>
      </c>
      <c r="F34" s="40" t="n">
        <f aca="false">D34+C34-E34</f>
        <v>15804.2682900154</v>
      </c>
      <c r="G34" s="41" t="n">
        <f aca="false">INDEX(QH_Z,MATCH(F34,INDEX(QH_f,0,$F$4),1))+(F34-INDEX(QH_f,MATCH(F34,INDEX(QH_f,0,$F$4),1),$F$4))*(INDEX(QH_Z,MATCH(F34,INDEX(QH_f,0,$F$4),1)+1)-INDEX(QH_Z,MATCH(F34,INDEX(QH_f,0,$F$4),1)))/(INDEX(QH_f,MATCH(F34,INDEX(QH_f,0,$F$4),1)+1,$F$4)-INDEX(QH_f,MATCH(F34,INDEX(QH_f,0,$F$4),1),$F$4))</f>
        <v>77.5528009689552</v>
      </c>
      <c r="H34" s="42" t="n">
        <f aca="false">TC_s*(1-0.2*(TC_xmb+(TC_n-1)*TC_xmt)*MAX(G34-TC_Z,0)/(TC_n*TC_b))*TC_m*TC_n*TC_b*SQRT(2*g_)*MAX(G34-TC_Z,0)^1.5</f>
        <v>183.891090946221</v>
      </c>
      <c r="I34" s="43" t="n">
        <f aca="false">IF($F$4=2,0,SC_s*(1-0.2*(SC_xmb+(SC_n-1)*SC_xmt)*MAX(G34-SC_Z,0)/(SC_n*SC_b))*SC_m*SC_n*SC_b*SQRT(2*g_)*MAX(G34-SC_Z,0)^1.5)</f>
        <v>136.502356491067</v>
      </c>
      <c r="J34" s="40" t="n">
        <f aca="false">H34+I34</f>
        <v>320.393447437288</v>
      </c>
      <c r="K34" s="23" t="n">
        <f aca="false">INDEX(QH_V,MATCH(G34,QH_Z,1))+(G34-INDEX(QH_Z,MATCH(G34,QH_Z,1)))*(INDEX(QH_V,MATCH(G34,QH_Z,1)+1)-INDEX(QH_V,MATCH(G34,QH_Z,1)))/(INDEX(QH_Z,MATCH(G34,QH_Z,1)+1)-INDEX(QH_Z,MATCH(G34,QH_Z,1)))</f>
        <v>56.3186574845314</v>
      </c>
      <c r="L34" s="40" t="n">
        <f aca="false">K34*1000000/dt_s+J34/2</f>
        <v>15804.2682471996</v>
      </c>
    </row>
    <row r="35" customFormat="false" ht="15" hidden="false" customHeight="false" outlineLevel="0" collapsed="false">
      <c r="A35" s="14" t="n">
        <v>19</v>
      </c>
      <c r="B35" s="40" t="n">
        <f aca="false">IFERROR(INDEX(Lu_Q,MATCH(A35,Lu_t,0),$C$4),0)</f>
        <v>174</v>
      </c>
      <c r="C35" s="40" t="n">
        <f aca="false">(B34+B35)/2</f>
        <v>194</v>
      </c>
      <c r="D35" s="40" t="n">
        <f aca="false">L34</f>
        <v>15804.2682471996</v>
      </c>
      <c r="E35" s="40" t="n">
        <f aca="false">J34</f>
        <v>320.393447437288</v>
      </c>
      <c r="F35" s="40" t="n">
        <f aca="false">D35+C35-E35</f>
        <v>15677.8747997623</v>
      </c>
      <c r="G35" s="41" t="n">
        <f aca="false">INDEX(QH_Z,MATCH(F35,INDEX(QH_f,0,$F$4),1))+(F35-INDEX(QH_f,MATCH(F35,INDEX(QH_f,0,$F$4),1),$F$4))*(INDEX(QH_Z,MATCH(F35,INDEX(QH_f,0,$F$4),1)+1)-INDEX(QH_Z,MATCH(F35,INDEX(QH_f,0,$F$4),1)))/(INDEX(QH_f,MATCH(F35,INDEX(QH_f,0,$F$4),1)+1,$F$4)-INDEX(QH_f,MATCH(F35,INDEX(QH_f,0,$F$4),1),$F$4))</f>
        <v>77.4950116553818</v>
      </c>
      <c r="H35" s="42" t="n">
        <f aca="false">TC_s*(1-0.2*(TC_xmb+(TC_n-1)*TC_xmt)*MAX(G35-TC_Z,0)/(TC_n*TC_b))*TC_m*TC_n*TC_b*SQRT(2*g_)*MAX(G35-TC_Z,0)^1.5</f>
        <v>178.794745699195</v>
      </c>
      <c r="I35" s="43" t="n">
        <f aca="false">IF($F$4=2,0,SC_s*(1-0.2*(SC_xmb+(SC_n-1)*SC_xmt)*MAX(G35-SC_Z,0)/(SC_n*SC_b))*SC_m*SC_n*SC_b*SQRT(2*g_)*MAX(G35-SC_Z,0)^1.5)</f>
        <v>134.967553278762</v>
      </c>
      <c r="J35" s="40" t="n">
        <f aca="false">H35+I35</f>
        <v>313.762298977956</v>
      </c>
      <c r="K35" s="23" t="n">
        <f aca="false">INDEX(QH_V,MATCH(G35,QH_Z,1))+(G35-INDEX(QH_Z,MATCH(G35,QH_Z,1)))*(INDEX(QH_V,MATCH(G35,QH_Z,1)+1)-INDEX(QH_V,MATCH(G35,QH_Z,1)))/(INDEX(QH_Z,MATCH(G35,QH_Z,1)+1)-INDEX(QH_Z,MATCH(G35,QH_Z,1)))</f>
        <v>55.8755769422262</v>
      </c>
      <c r="L35" s="40" t="n">
        <f aca="false">K35*1000000/dt_s+J35/2</f>
        <v>15677.8747445518</v>
      </c>
    </row>
    <row r="36" customFormat="false" ht="15" hidden="false" customHeight="false" outlineLevel="0" collapsed="false">
      <c r="A36" s="14" t="n">
        <v>20</v>
      </c>
      <c r="B36" s="40" t="n">
        <f aca="false">IFERROR(INDEX(Lu_Q,MATCH(A36,Lu_t,0),$C$4),0)</f>
        <v>141</v>
      </c>
      <c r="C36" s="40" t="n">
        <f aca="false">(B35+B36)/2</f>
        <v>157.5</v>
      </c>
      <c r="D36" s="40" t="n">
        <f aca="false">L35</f>
        <v>15677.8747445518</v>
      </c>
      <c r="E36" s="40" t="n">
        <f aca="false">J35</f>
        <v>313.762298977956</v>
      </c>
      <c r="F36" s="40" t="n">
        <f aca="false">D36+C36-E36</f>
        <v>15521.6124455738</v>
      </c>
      <c r="G36" s="41" t="n">
        <f aca="false">INDEX(QH_Z,MATCH(F36,INDEX(QH_f,0,$F$4),1))+(F36-INDEX(QH_f,MATCH(F36,INDEX(QH_f,0,$F$4),1),$F$4))*(INDEX(QH_Z,MATCH(F36,INDEX(QH_f,0,$F$4),1)+1)-INDEX(QH_Z,MATCH(F36,INDEX(QH_f,0,$F$4),1)))/(INDEX(QH_f,MATCH(F36,INDEX(QH_f,0,$F$4),1)+1,$F$4)-INDEX(QH_f,MATCH(F36,INDEX(QH_f,0,$F$4),1),$F$4))</f>
        <v>77.4232556098097</v>
      </c>
      <c r="H36" s="42" t="n">
        <f aca="false">TC_s*(1-0.2*(TC_xmb+(TC_n-1)*TC_xmt)*MAX(G36-TC_Z,0)/(TC_n*TC_b))*TC_m*TC_n*TC_b*SQRT(2*g_)*MAX(G36-TC_Z,0)^1.5</f>
        <v>172.506638313154</v>
      </c>
      <c r="I36" s="43" t="n">
        <f aca="false">IF($F$4=2,0,SC_s*(1-0.2*(SC_xmb+(SC_n-1)*SC_xmt)*MAX(G36-SC_Z,0)/(SC_n*SC_b))*SC_m*SC_n*SC_b*SQRT(2*g_)*MAX(G36-SC_Z,0)^1.5)</f>
        <v>133.063059056278</v>
      </c>
      <c r="J36" s="40" t="n">
        <f aca="false">H36+I36</f>
        <v>305.569697369432</v>
      </c>
      <c r="K36" s="23" t="n">
        <f aca="false">INDEX(QH_V,MATCH(G36,QH_Z,1))+(G36-INDEX(QH_Z,MATCH(G36,QH_Z,1)))*(INDEX(QH_V,MATCH(G36,QH_Z,1)+1)-INDEX(QH_V,MATCH(G36,QH_Z,1)))/(INDEX(QH_Z,MATCH(G36,QH_Z,1)+1)-INDEX(QH_Z,MATCH(G36,QH_Z,1)))</f>
        <v>55.3277791660177</v>
      </c>
      <c r="L36" s="40" t="n">
        <f aca="false">K36*1000000/dt_s+J36/2</f>
        <v>15521.6123948007</v>
      </c>
    </row>
    <row r="37" customFormat="false" ht="15" hidden="false" customHeight="false" outlineLevel="0" collapsed="false">
      <c r="A37" s="14" t="n">
        <v>21</v>
      </c>
      <c r="B37" s="40" t="n">
        <f aca="false">IFERROR(INDEX(Lu_Q,MATCH(A37,Lu_t,0),$C$4),0)</f>
        <v>112</v>
      </c>
      <c r="C37" s="40" t="n">
        <f aca="false">(B36+B37)/2</f>
        <v>126.5</v>
      </c>
      <c r="D37" s="40" t="n">
        <f aca="false">L36</f>
        <v>15521.6123948007</v>
      </c>
      <c r="E37" s="40" t="n">
        <f aca="false">J36</f>
        <v>305.569697369432</v>
      </c>
      <c r="F37" s="40" t="n">
        <f aca="false">D37+C37-E37</f>
        <v>15342.5426974313</v>
      </c>
      <c r="G37" s="41" t="n">
        <f aca="false">INDEX(QH_Z,MATCH(F37,INDEX(QH_f,0,$F$4),1))+(F37-INDEX(QH_f,MATCH(F37,INDEX(QH_f,0,$F$4),1),$F$4))*(INDEX(QH_Z,MATCH(F37,INDEX(QH_f,0,$F$4),1)+1)-INDEX(QH_Z,MATCH(F37,INDEX(QH_f,0,$F$4),1)))/(INDEX(QH_f,MATCH(F37,INDEX(QH_f,0,$F$4),1)+1,$F$4)-INDEX(QH_f,MATCH(F37,INDEX(QH_f,0,$F$4),1),$F$4))</f>
        <v>77.3405980350869</v>
      </c>
      <c r="H37" s="42" t="n">
        <f aca="false">TC_s*(1-0.2*(TC_xmb+(TC_n-1)*TC_xmt)*MAX(G37-TC_Z,0)/(TC_n*TC_b))*TC_m*TC_n*TC_b*SQRT(2*g_)*MAX(G37-TC_Z,0)^1.5</f>
        <v>165.32052293574</v>
      </c>
      <c r="I37" s="43" t="n">
        <f aca="false">IF($F$4=2,0,SC_s*(1-0.2*(SC_xmb+(SC_n-1)*SC_xmt)*MAX(G37-SC_Z,0)/(SC_n*SC_b))*SC_m*SC_n*SC_b*SQRT(2*g_)*MAX(G37-SC_Z,0)^1.5)</f>
        <v>130.871131255424</v>
      </c>
      <c r="J37" s="40" t="n">
        <f aca="false">H37+I37</f>
        <v>296.191654191164</v>
      </c>
      <c r="K37" s="23" t="n">
        <f aca="false">INDEX(QH_V,MATCH(G37,QH_Z,1))+(G37-INDEX(QH_Z,MATCH(G37,QH_Z,1)))*(INDEX(QH_V,MATCH(G37,QH_Z,1)+1)-INDEX(QH_V,MATCH(G37,QH_Z,1)))/(INDEX(QH_Z,MATCH(G37,QH_Z,1)+1)-INDEX(QH_Z,MATCH(G37,QH_Z,1)))</f>
        <v>54.7000086839163</v>
      </c>
      <c r="L37" s="40" t="n">
        <f aca="false">K37*1000000/dt_s+J37/2</f>
        <v>15342.542683739</v>
      </c>
    </row>
    <row r="38" customFormat="false" ht="15" hidden="false" customHeight="false" outlineLevel="0" collapsed="false">
      <c r="A38" s="14" t="n">
        <v>22</v>
      </c>
      <c r="B38" s="40" t="n">
        <f aca="false">IFERROR(INDEX(Lu_Q,MATCH(A38,Lu_t,0),$C$4),0)</f>
        <v>89</v>
      </c>
      <c r="C38" s="40" t="n">
        <f aca="false">(B37+B38)/2</f>
        <v>100.5</v>
      </c>
      <c r="D38" s="40" t="n">
        <f aca="false">L37</f>
        <v>15342.542683739</v>
      </c>
      <c r="E38" s="40" t="n">
        <f aca="false">J37</f>
        <v>296.191654191164</v>
      </c>
      <c r="F38" s="40" t="n">
        <f aca="false">D38+C38-E38</f>
        <v>15146.8510295478</v>
      </c>
      <c r="G38" s="41" t="n">
        <f aca="false">INDEX(QH_Z,MATCH(F38,INDEX(QH_f,0,$F$4),1))+(F38-INDEX(QH_f,MATCH(F38,INDEX(QH_f,0,$F$4),1),$F$4))*(INDEX(QH_Z,MATCH(F38,INDEX(QH_f,0,$F$4),1)+1)-INDEX(QH_Z,MATCH(F38,INDEX(QH_f,0,$F$4),1)))/(INDEX(QH_f,MATCH(F38,INDEX(QH_f,0,$F$4),1)+1,$F$4)-INDEX(QH_f,MATCH(F38,INDEX(QH_f,0,$F$4),1),$F$4))</f>
        <v>77.249734066512</v>
      </c>
      <c r="H38" s="42" t="n">
        <f aca="false">TC_s*(1-0.2*(TC_xmb+(TC_n-1)*TC_xmt)*MAX(G38-TC_Z,0)/(TC_n*TC_b))*TC_m*TC_n*TC_b*SQRT(2*g_)*MAX(G38-TC_Z,0)^1.5</f>
        <v>157.495398221531</v>
      </c>
      <c r="I38" s="43" t="n">
        <f aca="false">IF($F$4=2,0,SC_s*(1-0.2*(SC_xmb+(SC_n-1)*SC_xmt)*MAX(G38-SC_Z,0)/(SC_n*SC_b))*SC_m*SC_n*SC_b*SQRT(2*g_)*MAX(G38-SC_Z,0)^1.5)</f>
        <v>128.464223142586</v>
      </c>
      <c r="J38" s="40" t="n">
        <f aca="false">H38+I38</f>
        <v>285.959621364117</v>
      </c>
      <c r="K38" s="23" t="n">
        <f aca="false">INDEX(QH_V,MATCH(G38,QH_Z,1))+(G38-INDEX(QH_Z,MATCH(G38,QH_Z,1)))*(INDEX(QH_V,MATCH(G38,QH_Z,1)+1)-INDEX(QH_V,MATCH(G38,QH_Z,1)))/(INDEX(QH_Z,MATCH(G38,QH_Z,1)+1)-INDEX(QH_Z,MATCH(G38,QH_Z,1)))</f>
        <v>54.0139363637994</v>
      </c>
      <c r="L38" s="40" t="n">
        <f aca="false">K38*1000000/dt_s+J38/2</f>
        <v>15146.8510228486</v>
      </c>
    </row>
    <row r="39" customFormat="false" ht="15" hidden="false" customHeight="false" outlineLevel="0" collapsed="false">
      <c r="A39" s="14" t="n">
        <v>23</v>
      </c>
      <c r="B39" s="40" t="n">
        <f aca="false">IFERROR(INDEX(Lu_Q,MATCH(A39,Lu_t,0),$C$4),0)</f>
        <v>71</v>
      </c>
      <c r="C39" s="40" t="n">
        <f aca="false">(B38+B39)/2</f>
        <v>80</v>
      </c>
      <c r="D39" s="40" t="n">
        <f aca="false">L38</f>
        <v>15146.8510228486</v>
      </c>
      <c r="E39" s="40" t="n">
        <f aca="false">J38</f>
        <v>285.959621364117</v>
      </c>
      <c r="F39" s="40" t="n">
        <f aca="false">D39+C39-E39</f>
        <v>14940.8914014844</v>
      </c>
      <c r="G39" s="41" t="n">
        <f aca="false">INDEX(QH_Z,MATCH(F39,INDEX(QH_f,0,$F$4),1))+(F39-INDEX(QH_f,MATCH(F39,INDEX(QH_f,0,$F$4),1),$F$4))*(INDEX(QH_Z,MATCH(F39,INDEX(QH_f,0,$F$4),1)+1)-INDEX(QH_Z,MATCH(F39,INDEX(QH_f,0,$F$4),1)))/(INDEX(QH_f,MATCH(F39,INDEX(QH_f,0,$F$4),1)+1,$F$4)-INDEX(QH_f,MATCH(F39,INDEX(QH_f,0,$F$4),1),$F$4))</f>
        <v>77.1534877379193</v>
      </c>
      <c r="H39" s="42" t="n">
        <f aca="false">TC_s*(1-0.2*(TC_xmb+(TC_n-1)*TC_xmt)*MAX(G39-TC_Z,0)/(TC_n*TC_b))*TC_m*TC_n*TC_b*SQRT(2*g_)*MAX(G39-TC_Z,0)^1.5</f>
        <v>149.296526713916</v>
      </c>
      <c r="I39" s="43" t="n">
        <f aca="false">IF($F$4=2,0,SC_s*(1-0.2*(SC_xmb+(SC_n-1)*SC_xmt)*MAX(G39-SC_Z,0)/(SC_n*SC_b))*SC_m*SC_n*SC_b*SQRT(2*g_)*MAX(G39-SC_Z,0)^1.5)</f>
        <v>125.918114998962</v>
      </c>
      <c r="J39" s="40" t="n">
        <f aca="false">H39+I39</f>
        <v>275.214641712879</v>
      </c>
      <c r="K39" s="23" t="n">
        <f aca="false">INDEX(QH_V,MATCH(G39,QH_Z,1))+(G39-INDEX(QH_Z,MATCH(G39,QH_Z,1)))*(INDEX(QH_V,MATCH(G39,QH_Z,1)+1)-INDEX(QH_V,MATCH(G39,QH_Z,1)))/(INDEX(QH_Z,MATCH(G39,QH_Z,1)+1)-INDEX(QH_Z,MATCH(G39,QH_Z,1)))</f>
        <v>53.2918224662855</v>
      </c>
      <c r="L39" s="40" t="n">
        <f aca="false">K39*1000000/dt_s+J39/2</f>
        <v>14940.8913392691</v>
      </c>
    </row>
    <row r="40" customFormat="false" ht="15" hidden="false" customHeight="false" outlineLevel="0" collapsed="false">
      <c r="A40" s="14" t="n">
        <v>24</v>
      </c>
      <c r="B40" s="40" t="n">
        <f aca="false">IFERROR(INDEX(Lu_Q,MATCH(A40,Lu_t,0),$C$4),0)</f>
        <v>57</v>
      </c>
      <c r="C40" s="40" t="n">
        <f aca="false">(B39+B40)/2</f>
        <v>64</v>
      </c>
      <c r="D40" s="40" t="n">
        <f aca="false">L39</f>
        <v>14940.8913392691</v>
      </c>
      <c r="E40" s="40" t="n">
        <f aca="false">J39</f>
        <v>275.214641712879</v>
      </c>
      <c r="F40" s="40" t="n">
        <f aca="false">D40+C40-E40</f>
        <v>14729.6766975562</v>
      </c>
      <c r="G40" s="41" t="n">
        <f aca="false">INDEX(QH_Z,MATCH(F40,INDEX(QH_f,0,$F$4),1))+(F40-INDEX(QH_f,MATCH(F40,INDEX(QH_f,0,$F$4),1),$F$4))*(INDEX(QH_Z,MATCH(F40,INDEX(QH_f,0,$F$4),1)+1)-INDEX(QH_Z,MATCH(F40,INDEX(QH_f,0,$F$4),1)))/(INDEX(QH_f,MATCH(F40,INDEX(QH_f,0,$F$4),1)+1,$F$4)-INDEX(QH_f,MATCH(F40,INDEX(QH_f,0,$F$4),1),$F$4))</f>
        <v>77.0541179931066</v>
      </c>
      <c r="H40" s="42" t="n">
        <f aca="false">TC_s*(1-0.2*(TC_xmb+(TC_n-1)*TC_xmt)*MAX(G40-TC_Z,0)/(TC_n*TC_b))*TC_m*TC_n*TC_b*SQRT(2*g_)*MAX(G40-TC_Z,0)^1.5</f>
        <v>140.934168975668</v>
      </c>
      <c r="I40" s="43" t="n">
        <f aca="false">IF($F$4=2,0,SC_s*(1-0.2*(SC_xmb+(SC_n-1)*SC_xmt)*MAX(G40-SC_Z,0)/(SC_n*SC_b))*SC_m*SC_n*SC_b*SQRT(2*g_)*MAX(G40-SC_Z,0)^1.5)</f>
        <v>123.293441424487</v>
      </c>
      <c r="J40" s="40" t="n">
        <f aca="false">H40+I40</f>
        <v>264.227610400155</v>
      </c>
      <c r="K40" s="23" t="n">
        <f aca="false">INDEX(QH_V,MATCH(G40,QH_Z,1))+(G40-INDEX(QH_Z,MATCH(G40,QH_Z,1)))*(INDEX(QH_V,MATCH(G40,QH_Z,1)+1)-INDEX(QH_V,MATCH(G40,QH_Z,1)))/(INDEX(QH_Z,MATCH(G40,QH_Z,1)+1)-INDEX(QH_Z,MATCH(G40,QH_Z,1)))</f>
        <v>52.5512261586954</v>
      </c>
      <c r="L40" s="40" t="n">
        <f aca="false">K40*1000000/dt_s+J40/2</f>
        <v>14729.6766270599</v>
      </c>
    </row>
    <row r="41" customFormat="false" ht="15" hidden="false" customHeight="false" outlineLevel="0" collapsed="false">
      <c r="A41" s="14" t="n">
        <v>25</v>
      </c>
      <c r="B41" s="40" t="n">
        <f aca="false">IFERROR(INDEX(Lu_Q,MATCH(A41,Lu_t,0),$C$4),0)</f>
        <v>46</v>
      </c>
      <c r="C41" s="40" t="n">
        <f aca="false">(B40+B41)/2</f>
        <v>51.5</v>
      </c>
      <c r="D41" s="40" t="n">
        <f aca="false">L40</f>
        <v>14729.6766270599</v>
      </c>
      <c r="E41" s="40" t="n">
        <f aca="false">J40</f>
        <v>264.227610400155</v>
      </c>
      <c r="F41" s="40" t="n">
        <f aca="false">D41+C41-E41</f>
        <v>14516.9490166598</v>
      </c>
      <c r="G41" s="41" t="n">
        <f aca="false">INDEX(QH_Z,MATCH(F41,INDEX(QH_f,0,$F$4),1))+(F41-INDEX(QH_f,MATCH(F41,INDEX(QH_f,0,$F$4),1),$F$4))*(INDEX(QH_Z,MATCH(F41,INDEX(QH_f,0,$F$4),1)+1)-INDEX(QH_Z,MATCH(F41,INDEX(QH_f,0,$F$4),1)))/(INDEX(QH_f,MATCH(F41,INDEX(QH_f,0,$F$4),1)+1,$F$4)-INDEX(QH_f,MATCH(F41,INDEX(QH_f,0,$F$4),1),$F$4))</f>
        <v>76.9533381604905</v>
      </c>
      <c r="H41" s="42" t="n">
        <f aca="false">TC_s*(1-0.2*(TC_xmb+(TC_n-1)*TC_xmt)*MAX(G41-TC_Z,0)/(TC_n*TC_b))*TC_m*TC_n*TC_b*SQRT(2*g_)*MAX(G41-TC_Z,0)^1.5</f>
        <v>132.565989489178</v>
      </c>
      <c r="I41" s="43" t="n">
        <f aca="false">IF($F$4=2,0,SC_s*(1-0.2*(SC_xmb+(SC_n-1)*SC_xmt)*MAX(G41-SC_Z,0)/(SC_n*SC_b))*SC_m*SC_n*SC_b*SQRT(2*g_)*MAX(G41-SC_Z,0)^1.5)</f>
        <v>120.636195791046</v>
      </c>
      <c r="J41" s="40" t="n">
        <f aca="false">H41+I41</f>
        <v>253.202185280224</v>
      </c>
      <c r="K41" s="23" t="n">
        <f aca="false">INDEX(QH_V,MATCH(G41,QH_Z,1))+(G41-INDEX(QH_Z,MATCH(G41,QH_Z,1)))*(INDEX(QH_V,MATCH(G41,QH_Z,1)+1)-INDEX(QH_V,MATCH(G41,QH_Z,1)))/(INDEX(QH_Z,MATCH(G41,QH_Z,1)+1)-INDEX(QH_Z,MATCH(G41,QH_Z,1)))</f>
        <v>51.8052522790189</v>
      </c>
      <c r="L41" s="40" t="n">
        <f aca="false">K41*1000000/dt_s+J41/2</f>
        <v>14516.9489479231</v>
      </c>
    </row>
    <row r="42" customFormat="false" ht="15" hidden="false" customHeight="false" outlineLevel="0" collapsed="false">
      <c r="A42" s="14" t="n">
        <v>26</v>
      </c>
      <c r="B42" s="40" t="n">
        <f aca="false">IFERROR(INDEX(Lu_Q,MATCH(A42,Lu_t,0),$C$4),0)</f>
        <v>36</v>
      </c>
      <c r="C42" s="40" t="n">
        <f aca="false">(B41+B42)/2</f>
        <v>41</v>
      </c>
      <c r="D42" s="40" t="n">
        <f aca="false">L41</f>
        <v>14516.9489479231</v>
      </c>
      <c r="E42" s="40" t="n">
        <f aca="false">J41</f>
        <v>253.202185280224</v>
      </c>
      <c r="F42" s="40" t="n">
        <f aca="false">D42+C42-E42</f>
        <v>14304.7467626429</v>
      </c>
      <c r="G42" s="41" t="n">
        <f aca="false">INDEX(QH_Z,MATCH(F42,INDEX(QH_f,0,$F$4),1))+(F42-INDEX(QH_f,MATCH(F42,INDEX(QH_f,0,$F$4),1),$F$4))*(INDEX(QH_Z,MATCH(F42,INDEX(QH_f,0,$F$4),1)+1)-INDEX(QH_Z,MATCH(F42,INDEX(QH_f,0,$F$4),1)))/(INDEX(QH_f,MATCH(F42,INDEX(QH_f,0,$F$4),1)+1,$F$4)-INDEX(QH_f,MATCH(F42,INDEX(QH_f,0,$F$4),1),$F$4))</f>
        <v>76.8521026169023</v>
      </c>
      <c r="H42" s="42" t="n">
        <f aca="false">TC_s*(1-0.2*(TC_xmb+(TC_n-1)*TC_xmt)*MAX(G42-TC_Z,0)/(TC_n*TC_b))*TC_m*TC_n*TC_b*SQRT(2*g_)*MAX(G42-TC_Z,0)^1.5</f>
        <v>124.281305090167</v>
      </c>
      <c r="I42" s="43" t="n">
        <f aca="false">IF($F$4=2,0,SC_s*(1-0.2*(SC_xmb+(SC_n-1)*SC_xmt)*MAX(G42-SC_Z,0)/(SC_n*SC_b))*SC_m*SC_n*SC_b*SQRT(2*g_)*MAX(G42-SC_Z,0)^1.5)</f>
        <v>117.972152700887</v>
      </c>
      <c r="J42" s="40" t="n">
        <f aca="false">H42+I42</f>
        <v>242.253457791054</v>
      </c>
      <c r="K42" s="23" t="n">
        <f aca="false">INDEX(QH_V,MATCH(G42,QH_Z,1))+(G42-INDEX(QH_Z,MATCH(G42,QH_Z,1)))*(INDEX(QH_V,MATCH(G42,QH_Z,1)+1)-INDEX(QH_V,MATCH(G42,QH_Z,1)))/(INDEX(QH_Z,MATCH(G42,QH_Z,1)+1)-INDEX(QH_Z,MATCH(G42,QH_Z,1)))</f>
        <v>51.0610319253514</v>
      </c>
      <c r="L42" s="40" t="n">
        <f aca="false">K42*1000000/dt_s+J42/2</f>
        <v>14304.7467081598</v>
      </c>
    </row>
    <row r="43" customFormat="false" ht="15" hidden="false" customHeight="false" outlineLevel="0" collapsed="false">
      <c r="A43" s="14" t="n">
        <v>27</v>
      </c>
      <c r="B43" s="40" t="n">
        <f aca="false">IFERROR(INDEX(Lu_Q,MATCH(A43,Lu_t,0),$C$4),0)</f>
        <v>29</v>
      </c>
      <c r="C43" s="40" t="n">
        <f aca="false">(B42+B43)/2</f>
        <v>32.5</v>
      </c>
      <c r="D43" s="40" t="n">
        <f aca="false">L42</f>
        <v>14304.7467081598</v>
      </c>
      <c r="E43" s="40" t="n">
        <f aca="false">J42</f>
        <v>242.253457791054</v>
      </c>
      <c r="F43" s="40" t="n">
        <f aca="false">D43+C43-E43</f>
        <v>14094.9932503688</v>
      </c>
      <c r="G43" s="41" t="n">
        <f aca="false">INDEX(QH_Z,MATCH(F43,INDEX(QH_f,0,$F$4),1))+(F43-INDEX(QH_f,MATCH(F43,INDEX(QH_f,0,$F$4),1),$F$4))*(INDEX(QH_Z,MATCH(F43,INDEX(QH_f,0,$F$4),1)+1)-INDEX(QH_Z,MATCH(F43,INDEX(QH_f,0,$F$4),1)))/(INDEX(QH_f,MATCH(F43,INDEX(QH_f,0,$F$4),1)+1,$F$4)-INDEX(QH_f,MATCH(F43,INDEX(QH_f,0,$F$4),1),$F$4))</f>
        <v>76.7513289390506</v>
      </c>
      <c r="H43" s="42" t="n">
        <f aca="false">TC_s*(1-0.2*(TC_xmb+(TC_n-1)*TC_xmt)*MAX(G43-TC_Z,0)/(TC_n*TC_b))*TC_m*TC_n*TC_b*SQRT(2*g_)*MAX(G43-TC_Z,0)^1.5</f>
        <v>116.16249909697</v>
      </c>
      <c r="I43" s="43" t="n">
        <f aca="false">IF($F$4=2,0,SC_s*(1-0.2*(SC_xmb+(SC_n-1)*SC_xmt)*MAX(G43-SC_Z,0)/(SC_n*SC_b))*SC_m*SC_n*SC_b*SQRT(2*g_)*MAX(G43-SC_Z,0)^1.5)</f>
        <v>115.325946993491</v>
      </c>
      <c r="J43" s="40" t="n">
        <f aca="false">H43+I43</f>
        <v>231.488446090462</v>
      </c>
      <c r="K43" s="23" t="n">
        <f aca="false">INDEX(QH_V,MATCH(G43,QH_Z,1))+(G43-INDEX(QH_Z,MATCH(G43,QH_Z,1)))*(INDEX(QH_V,MATCH(G43,QH_Z,1)+1)-INDEX(QH_V,MATCH(G43,QH_Z,1)))/(INDEX(QH_Z,MATCH(G43,QH_Z,1)+1)-INDEX(QH_Z,MATCH(G43,QH_Z,1)))</f>
        <v>50.325296353941</v>
      </c>
      <c r="L43" s="40" t="n">
        <f aca="false">K43*1000000/dt_s+J43/2</f>
        <v>14094.9932102511</v>
      </c>
    </row>
    <row r="44" customFormat="false" ht="15" hidden="false" customHeight="false" outlineLevel="0" collapsed="false">
      <c r="A44" s="14" t="n">
        <v>28</v>
      </c>
      <c r="B44" s="40" t="n">
        <f aca="false">IFERROR(INDEX(Lu_Q,MATCH(A44,Lu_t,0),$C$4),0)</f>
        <v>23</v>
      </c>
      <c r="C44" s="40" t="n">
        <f aca="false">(B43+B44)/2</f>
        <v>26</v>
      </c>
      <c r="D44" s="40" t="n">
        <f aca="false">L43</f>
        <v>14094.9932102511</v>
      </c>
      <c r="E44" s="40" t="n">
        <f aca="false">J43</f>
        <v>231.488446090462</v>
      </c>
      <c r="F44" s="40" t="n">
        <f aca="false">D44+C44-E44</f>
        <v>13889.5047641606</v>
      </c>
      <c r="G44" s="41" t="n">
        <f aca="false">INDEX(QH_Z,MATCH(F44,INDEX(QH_f,0,$F$4),1))+(F44-INDEX(QH_f,MATCH(F44,INDEX(QH_f,0,$F$4),1),$F$4))*(INDEX(QH_Z,MATCH(F44,INDEX(QH_f,0,$F$4),1)+1)-INDEX(QH_Z,MATCH(F44,INDEX(QH_f,0,$F$4),1)))/(INDEX(QH_f,MATCH(F44,INDEX(QH_f,0,$F$4),1)+1,$F$4)-INDEX(QH_f,MATCH(F44,INDEX(QH_f,0,$F$4),1),$F$4))</f>
        <v>76.6519066202781</v>
      </c>
      <c r="H44" s="42" t="n">
        <f aca="false">TC_s*(1-0.2*(TC_xmb+(TC_n-1)*TC_xmt)*MAX(G44-TC_Z,0)/(TC_n*TC_b))*TC_m*TC_n*TC_b*SQRT(2*g_)*MAX(G44-TC_Z,0)^1.5</f>
        <v>108.285314266263</v>
      </c>
      <c r="I44" s="43" t="n">
        <f aca="false">IF($F$4=2,0,SC_s*(1-0.2*(SC_xmb+(SC_n-1)*SC_xmt)*MAX(G44-SC_Z,0)/(SC_n*SC_b))*SC_m*SC_n*SC_b*SQRT(2*g_)*MAX(G44-SC_Z,0)^1.5)</f>
        <v>112.721267842137</v>
      </c>
      <c r="J44" s="40" t="n">
        <f aca="false">H44+I44</f>
        <v>221.0065821084</v>
      </c>
      <c r="K44" s="23" t="n">
        <f aca="false">INDEX(QH_V,MATCH(G44,QH_Z,1))+(G44-INDEX(QH_Z,MATCH(G44,QH_Z,1)))*(INDEX(QH_V,MATCH(G44,QH_Z,1)+1)-INDEX(QH_V,MATCH(G44,QH_Z,1)))/(INDEX(QH_Z,MATCH(G44,QH_Z,1)+1)-INDEX(QH_Z,MATCH(G44,QH_Z,1)))</f>
        <v>49.6044050980599</v>
      </c>
      <c r="L44" s="40" t="n">
        <f aca="false">K44*1000000/dt_s+J44/2</f>
        <v>13889.5047071819</v>
      </c>
    </row>
    <row r="45" customFormat="false" ht="15" hidden="false" customHeight="false" outlineLevel="0" collapsed="false">
      <c r="A45" s="14" t="n">
        <v>29</v>
      </c>
      <c r="B45" s="40" t="n">
        <f aca="false">IFERROR(INDEX(Lu_Q,MATCH(A45,Lu_t,0),$C$4),0)</f>
        <v>18</v>
      </c>
      <c r="C45" s="40" t="n">
        <f aca="false">(B44+B45)/2</f>
        <v>20.5</v>
      </c>
      <c r="D45" s="40" t="n">
        <f aca="false">L44</f>
        <v>13889.5047071819</v>
      </c>
      <c r="E45" s="40" t="n">
        <f aca="false">J44</f>
        <v>221.0065821084</v>
      </c>
      <c r="F45" s="40" t="n">
        <f aca="false">D45+C45-E45</f>
        <v>13688.9981250735</v>
      </c>
      <c r="G45" s="41" t="n">
        <f aca="false">INDEX(QH_Z,MATCH(F45,INDEX(QH_f,0,$F$4),1))+(F45-INDEX(QH_f,MATCH(F45,INDEX(QH_f,0,$F$4),1),$F$4))*(INDEX(QH_Z,MATCH(F45,INDEX(QH_f,0,$F$4),1)+1)-INDEX(QH_Z,MATCH(F45,INDEX(QH_f,0,$F$4),1)))/(INDEX(QH_f,MATCH(F45,INDEX(QH_f,0,$F$4),1)+1,$F$4)-INDEX(QH_f,MATCH(F45,INDEX(QH_f,0,$F$4),1),$F$4))</f>
        <v>76.5542130370213</v>
      </c>
      <c r="H45" s="42" t="n">
        <f aca="false">TC_s*(1-0.2*(TC_xmb+(TC_n-1)*TC_xmt)*MAX(G45-TC_Z,0)/(TC_n*TC_b))*TC_m*TC_n*TC_b*SQRT(2*g_)*MAX(G45-TC_Z,0)^1.5</f>
        <v>100.681156646491</v>
      </c>
      <c r="I45" s="43" t="n">
        <f aca="false">IF($F$4=2,0,SC_s*(1-0.2*(SC_xmb+(SC_n-1)*SC_xmt)*MAX(G45-SC_Z,0)/(SC_n*SC_b))*SC_m*SC_n*SC_b*SQRT(2*g_)*MAX(G45-SC_Z,0)^1.5)</f>
        <v>110.168195244639</v>
      </c>
      <c r="J45" s="40" t="n">
        <f aca="false">H45+I45</f>
        <v>210.84935189113</v>
      </c>
      <c r="K45" s="23" t="n">
        <f aca="false">INDEX(QH_V,MATCH(G45,QH_Z,1))+(G45-INDEX(QH_Z,MATCH(G45,QH_Z,1)))*(INDEX(QH_V,MATCH(G45,QH_Z,1)+1)-INDEX(QH_V,MATCH(G45,QH_Z,1)))/(INDEX(QH_Z,MATCH(G45,QH_Z,1)+1)-INDEX(QH_Z,MATCH(G45,QH_Z,1)))</f>
        <v>48.9008640732207</v>
      </c>
      <c r="L45" s="40" t="n">
        <f aca="false">K45*1000000/dt_s+J45/2</f>
        <v>13688.998029618</v>
      </c>
    </row>
    <row r="46" customFormat="false" ht="15" hidden="false" customHeight="false" outlineLevel="0" collapsed="false">
      <c r="A46" s="14" t="n">
        <v>30</v>
      </c>
      <c r="B46" s="40" t="n">
        <f aca="false">IFERROR(INDEX(Lu_Q,MATCH(A46,Lu_t,0),$C$4),0)</f>
        <v>14</v>
      </c>
      <c r="C46" s="40" t="n">
        <f aca="false">(B45+B46)/2</f>
        <v>16</v>
      </c>
      <c r="D46" s="40" t="n">
        <f aca="false">L45</f>
        <v>13688.998029618</v>
      </c>
      <c r="E46" s="40" t="n">
        <f aca="false">J45</f>
        <v>210.84935189113</v>
      </c>
      <c r="F46" s="40" t="n">
        <f aca="false">D46+C46-E46</f>
        <v>13494.1486777269</v>
      </c>
      <c r="G46" s="41" t="n">
        <f aca="false">INDEX(QH_Z,MATCH(F46,INDEX(QH_f,0,$F$4),1))+(F46-INDEX(QH_f,MATCH(F46,INDEX(QH_f,0,$F$4),1),$F$4))*(INDEX(QH_Z,MATCH(F46,INDEX(QH_f,0,$F$4),1)+1)-INDEX(QH_Z,MATCH(F46,INDEX(QH_f,0,$F$4),1)))/(INDEX(QH_f,MATCH(F46,INDEX(QH_f,0,$F$4),1)+1,$F$4)-INDEX(QH_f,MATCH(F46,INDEX(QH_f,0,$F$4),1),$F$4))</f>
        <v>76.4586161160983</v>
      </c>
      <c r="H46" s="42" t="n">
        <f aca="false">TC_s*(1-0.2*(TC_xmb+(TC_n-1)*TC_xmt)*MAX(G46-TC_Z,0)/(TC_n*TC_b))*TC_m*TC_n*TC_b*SQRT(2*g_)*MAX(G46-TC_Z,0)^1.5</f>
        <v>93.3783997479337</v>
      </c>
      <c r="I46" s="43" t="n">
        <f aca="false">IF($F$4=2,0,SC_s*(1-0.2*(SC_xmb+(SC_n-1)*SC_xmt)*MAX(G46-SC_Z,0)/(SC_n*SC_b))*SC_m*SC_n*SC_b*SQRT(2*g_)*MAX(G46-SC_Z,0)^1.5)</f>
        <v>107.676430336998</v>
      </c>
      <c r="J46" s="40" t="n">
        <f aca="false">H46+I46</f>
        <v>201.054830084932</v>
      </c>
      <c r="K46" s="23" t="n">
        <f aca="false">INDEX(QH_V,MATCH(G46,QH_Z,1))+(G46-INDEX(QH_Z,MATCH(G46,QH_Z,1)))*(INDEX(QH_V,MATCH(G46,QH_Z,1)+1)-INDEX(QH_V,MATCH(G46,QH_Z,1)))/(INDEX(QH_Z,MATCH(G46,QH_Z,1)+1)-INDEX(QH_Z,MATCH(G46,QH_Z,1)))</f>
        <v>48.2170363674903</v>
      </c>
      <c r="L46" s="40" t="n">
        <f aca="false">K46*1000000/dt_s+J46/2</f>
        <v>13494.1486282342</v>
      </c>
    </row>
    <row r="47" customFormat="false" ht="15" hidden="false" customHeight="false" outlineLevel="0" collapsed="false">
      <c r="A47" s="14" t="n">
        <v>31</v>
      </c>
      <c r="B47" s="40" t="n">
        <f aca="false">IFERROR(INDEX(Lu_Q,MATCH(A47,Lu_t,0),$C$4),0)</f>
        <v>11</v>
      </c>
      <c r="C47" s="40" t="n">
        <f aca="false">(B46+B47)/2</f>
        <v>12.5</v>
      </c>
      <c r="D47" s="40" t="n">
        <f aca="false">L46</f>
        <v>13494.1486282342</v>
      </c>
      <c r="E47" s="40" t="n">
        <f aca="false">J46</f>
        <v>201.054830084932</v>
      </c>
      <c r="F47" s="40" t="n">
        <f aca="false">D47+C47-E47</f>
        <v>13305.5937981493</v>
      </c>
      <c r="G47" s="41" t="n">
        <f aca="false">INDEX(QH_Z,MATCH(F47,INDEX(QH_f,0,$F$4),1))+(F47-INDEX(QH_f,MATCH(F47,INDEX(QH_f,0,$F$4),1),$F$4))*(INDEX(QH_Z,MATCH(F47,INDEX(QH_f,0,$F$4),1)+1)-INDEX(QH_Z,MATCH(F47,INDEX(QH_f,0,$F$4),1)))/(INDEX(QH_f,MATCH(F47,INDEX(QH_f,0,$F$4),1)+1,$F$4)-INDEX(QH_f,MATCH(F47,INDEX(QH_f,0,$F$4),1),$F$4))</f>
        <v>76.3654718164569</v>
      </c>
      <c r="H47" s="42" t="n">
        <f aca="false">TC_s*(1-0.2*(TC_xmb+(TC_n-1)*TC_xmt)*MAX(G47-TC_Z,0)/(TC_n*TC_b))*TC_m*TC_n*TC_b*SQRT(2*g_)*MAX(G47-TC_Z,0)^1.5</f>
        <v>86.4020795745297</v>
      </c>
      <c r="I47" s="43" t="n">
        <f aca="false">IF($F$4=2,0,SC_s*(1-0.2*(SC_xmb+(SC_n-1)*SC_xmt)*MAX(G47-SC_Z,0)/(SC_n*SC_b))*SC_m*SC_n*SC_b*SQRT(2*g_)*MAX(G47-SC_Z,0)^1.5)</f>
        <v>105.255221720655</v>
      </c>
      <c r="J47" s="40" t="n">
        <f aca="false">H47+I47</f>
        <v>191.657301295185</v>
      </c>
      <c r="K47" s="23" t="n">
        <f aca="false">INDEX(QH_V,MATCH(G47,QH_Z,1))+(G47-INDEX(QH_Z,MATCH(G47,QH_Z,1)))*(INDEX(QH_V,MATCH(G47,QH_Z,1)+1)-INDEX(QH_V,MATCH(G47,QH_Z,1)))/(INDEX(QH_Z,MATCH(G47,QH_Z,1)+1)-INDEX(QH_Z,MATCH(G47,QH_Z,1)))</f>
        <v>47.5551541400559</v>
      </c>
      <c r="L47" s="40" t="n">
        <f aca="false">K47*1000000/dt_s+J47/2</f>
        <v>13305.593689552</v>
      </c>
    </row>
    <row r="48" customFormat="false" ht="15" hidden="false" customHeight="false" outlineLevel="0" collapsed="false">
      <c r="A48" s="14" t="n">
        <v>32</v>
      </c>
      <c r="B48" s="40" t="n">
        <f aca="false">IFERROR(INDEX(Lu_Q,MATCH(A48,Lu_t,0),$C$4),0)</f>
        <v>8</v>
      </c>
      <c r="C48" s="40" t="n">
        <f aca="false">(B47+B48)/2</f>
        <v>9.5</v>
      </c>
      <c r="D48" s="40" t="n">
        <f aca="false">L47</f>
        <v>13305.593689552</v>
      </c>
      <c r="E48" s="40" t="n">
        <f aca="false">J47</f>
        <v>191.657301295185</v>
      </c>
      <c r="F48" s="40" t="n">
        <f aca="false">D48+C48-E48</f>
        <v>13123.4363882568</v>
      </c>
      <c r="G48" s="41" t="n">
        <f aca="false">INDEX(QH_Z,MATCH(F48,INDEX(QH_f,0,$F$4),1))+(F48-INDEX(QH_f,MATCH(F48,INDEX(QH_f,0,$F$4),1),$F$4))*(INDEX(QH_Z,MATCH(F48,INDEX(QH_f,0,$F$4),1)+1)-INDEX(QH_Z,MATCH(F48,INDEX(QH_f,0,$F$4),1)))/(INDEX(QH_f,MATCH(F48,INDEX(QH_f,0,$F$4),1)+1,$F$4)-INDEX(QH_f,MATCH(F48,INDEX(QH_f,0,$F$4),1),$F$4))</f>
        <v>76.2748812357667</v>
      </c>
      <c r="H48" s="42" t="n">
        <f aca="false">TC_s*(1-0.2*(TC_xmb+(TC_n-1)*TC_xmt)*MAX(G48-TC_Z,0)/(TC_n*TC_b))*TC_m*TC_n*TC_b*SQRT(2*g_)*MAX(G48-TC_Z,0)^1.5</f>
        <v>79.7561949097218</v>
      </c>
      <c r="I48" s="43" t="n">
        <f aca="false">IF($F$4=2,0,SC_s*(1-0.2*(SC_xmb+(SC_n-1)*SC_xmt)*MAX(G48-SC_Z,0)/(SC_n*SC_b))*SC_m*SC_n*SC_b*SQRT(2*g_)*MAX(G48-SC_Z,0)^1.5)</f>
        <v>102.90707436119</v>
      </c>
      <c r="J48" s="40" t="n">
        <f aca="false">H48+I48</f>
        <v>182.663269270912</v>
      </c>
      <c r="K48" s="23" t="n">
        <f aca="false">INDEX(QH_V,MATCH(G48,QH_Z,1))+(G48-INDEX(QH_Z,MATCH(G48,QH_Z,1)))*(INDEX(QH_V,MATCH(G48,QH_Z,1)+1)-INDEX(QH_V,MATCH(G48,QH_Z,1)))/(INDEX(QH_Z,MATCH(G48,QH_Z,1)+1)-INDEX(QH_Z,MATCH(G48,QH_Z,1)))</f>
        <v>46.9155766967078</v>
      </c>
      <c r="L48" s="40" t="n">
        <f aca="false">K48*1000000/dt_s+J48/2</f>
        <v>13123.4362726099</v>
      </c>
    </row>
    <row r="49" customFormat="false" ht="15" hidden="false" customHeight="false" outlineLevel="0" collapsed="false">
      <c r="A49" s="14" t="n">
        <v>33</v>
      </c>
      <c r="B49" s="40" t="n">
        <f aca="false">IFERROR(INDEX(Lu_Q,MATCH(A49,Lu_t,0),$C$4),0)</f>
        <v>7</v>
      </c>
      <c r="C49" s="40" t="n">
        <f aca="false">(B48+B49)/2</f>
        <v>7.5</v>
      </c>
      <c r="D49" s="40" t="n">
        <f aca="false">L48</f>
        <v>13123.4362726099</v>
      </c>
      <c r="E49" s="40" t="n">
        <f aca="false">J48</f>
        <v>182.663269270912</v>
      </c>
      <c r="F49" s="40" t="n">
        <f aca="false">D49+C49-E49</f>
        <v>12948.2730033389</v>
      </c>
      <c r="G49" s="41" t="n">
        <f aca="false">INDEX(QH_Z,MATCH(F49,INDEX(QH_f,0,$F$4),1))+(F49-INDEX(QH_f,MATCH(F49,INDEX(QH_f,0,$F$4),1),$F$4))*(INDEX(QH_Z,MATCH(F49,INDEX(QH_f,0,$F$4),1)+1)-INDEX(QH_Z,MATCH(F49,INDEX(QH_f,0,$F$4),1)))/(INDEX(QH_f,MATCH(F49,INDEX(QH_f,0,$F$4),1)+1,$F$4)-INDEX(QH_f,MATCH(F49,INDEX(QH_f,0,$F$4),1),$F$4))</f>
        <v>76.1871932343983</v>
      </c>
      <c r="H49" s="42" t="n">
        <f aca="false">TC_s*(1-0.2*(TC_xmb+(TC_n-1)*TC_xmt)*MAX(G49-TC_Z,0)/(TC_n*TC_b))*TC_m*TC_n*TC_b*SQRT(2*g_)*MAX(G49-TC_Z,0)^1.5</f>
        <v>73.4612794532428</v>
      </c>
      <c r="I49" s="43" t="n">
        <f aca="false">IF($F$4=2,0,SC_s*(1-0.2*(SC_xmb+(SC_n-1)*SC_xmt)*MAX(G49-SC_Z,0)/(SC_n*SC_b))*SC_m*SC_n*SC_b*SQRT(2*g_)*MAX(G49-SC_Z,0)^1.5)</f>
        <v>100.640812297777</v>
      </c>
      <c r="J49" s="40" t="n">
        <f aca="false">H49+I49</f>
        <v>174.102091751019</v>
      </c>
      <c r="K49" s="23" t="n">
        <f aca="false">INDEX(QH_V,MATCH(G49,QH_Z,1))+(G49-INDEX(QH_Z,MATCH(G49,QH_Z,1)))*(INDEX(QH_V,MATCH(G49,QH_Z,1)+1)-INDEX(QH_V,MATCH(G49,QH_Z,1)))/(INDEX(QH_Z,MATCH(G49,QH_Z,1)+1)-INDEX(QH_Z,MATCH(G49,QH_Z,1)))</f>
        <v>46.3003986915304</v>
      </c>
      <c r="L49" s="40" t="n">
        <f aca="false">K49*1000000/dt_s+J49/2</f>
        <v>12948.2729046339</v>
      </c>
    </row>
    <row r="50" customFormat="false" ht="15" hidden="false" customHeight="false" outlineLevel="0" collapsed="false">
      <c r="A50" s="14" t="n">
        <v>34</v>
      </c>
      <c r="B50" s="40" t="n">
        <f aca="false">IFERROR(INDEX(Lu_Q,MATCH(A50,Lu_t,0),$C$4),0)</f>
        <v>5</v>
      </c>
      <c r="C50" s="40" t="n">
        <f aca="false">(B49+B50)/2</f>
        <v>6</v>
      </c>
      <c r="D50" s="40" t="n">
        <f aca="false">L49</f>
        <v>12948.2729046339</v>
      </c>
      <c r="E50" s="40" t="n">
        <f aca="false">J49</f>
        <v>174.102091751019</v>
      </c>
      <c r="F50" s="40" t="n">
        <f aca="false">D50+C50-E50</f>
        <v>12780.1708128829</v>
      </c>
      <c r="G50" s="41" t="n">
        <f aca="false">INDEX(QH_Z,MATCH(F50,INDEX(QH_f,0,$F$4),1))+(F50-INDEX(QH_f,MATCH(F50,INDEX(QH_f,0,$F$4),1),$F$4))*(INDEX(QH_Z,MATCH(F50,INDEX(QH_f,0,$F$4),1)+1)-INDEX(QH_Z,MATCH(F50,INDEX(QH_f,0,$F$4),1)))/(INDEX(QH_f,MATCH(F50,INDEX(QH_f,0,$F$4),1)+1,$F$4)-INDEX(QH_f,MATCH(F50,INDEX(QH_f,0,$F$4),1),$F$4))</f>
        <v>76.1024967359996</v>
      </c>
      <c r="H50" s="42" t="n">
        <f aca="false">TC_s*(1-0.2*(TC_xmb+(TC_n-1)*TC_xmt)*MAX(G50-TC_Z,0)/(TC_n*TC_b))*TC_m*TC_n*TC_b*SQRT(2*g_)*MAX(G50-TC_Z,0)^1.5</f>
        <v>67.5171473216053</v>
      </c>
      <c r="I50" s="43" t="n">
        <f aca="false">IF($F$4=2,0,SC_s*(1-0.2*(SC_xmb+(SC_n-1)*SC_xmt)*MAX(G50-SC_Z,0)/(SC_n*SC_b))*SC_m*SC_n*SC_b*SQRT(2*g_)*MAX(G50-SC_Z,0)^1.5)</f>
        <v>98.4584206811303</v>
      </c>
      <c r="J50" s="40" t="n">
        <f aca="false">H50+I50</f>
        <v>165.975568002736</v>
      </c>
      <c r="K50" s="23" t="n">
        <f aca="false">INDEX(QH_V,MATCH(G50,QH_Z,1))+(G50-INDEX(QH_Z,MATCH(G50,QH_Z,1)))*(INDEX(QH_V,MATCH(G50,QH_Z,1)+1)-INDEX(QH_V,MATCH(G50,QH_Z,1)))/(INDEX(QH_Z,MATCH(G50,QH_Z,1)+1)-INDEX(QH_Z,MATCH(G50,QH_Z,1)))</f>
        <v>45.7098585570372</v>
      </c>
      <c r="L50" s="40" t="n">
        <f aca="false">K50*1000000/dt_s+J50/2</f>
        <v>12780.1707165117</v>
      </c>
    </row>
    <row r="51" customFormat="false" ht="15" hidden="false" customHeight="false" outlineLevel="0" collapsed="false">
      <c r="A51" s="14" t="n">
        <v>35</v>
      </c>
      <c r="B51" s="40" t="n">
        <f aca="false">IFERROR(INDEX(Lu_Q,MATCH(A51,Lu_t,0),$C$4),0)</f>
        <v>4</v>
      </c>
      <c r="C51" s="40" t="n">
        <f aca="false">(B50+B51)/2</f>
        <v>4.5</v>
      </c>
      <c r="D51" s="40" t="n">
        <f aca="false">L50</f>
        <v>12780.1707165117</v>
      </c>
      <c r="E51" s="40" t="n">
        <f aca="false">J50</f>
        <v>165.975568002736</v>
      </c>
      <c r="F51" s="40" t="n">
        <f aca="false">D51+C51-E51</f>
        <v>12618.695148509</v>
      </c>
      <c r="G51" s="41" t="n">
        <f aca="false">INDEX(QH_Z,MATCH(F51,INDEX(QH_f,0,$F$4),1))+(F51-INDEX(QH_f,MATCH(F51,INDEX(QH_f,0,$F$4),1),$F$4))*(INDEX(QH_Z,MATCH(F51,INDEX(QH_f,0,$F$4),1)+1)-INDEX(QH_Z,MATCH(F51,INDEX(QH_f,0,$F$4),1)))/(INDEX(QH_f,MATCH(F51,INDEX(QH_f,0,$F$4),1)+1,$F$4)-INDEX(QH_f,MATCH(F51,INDEX(QH_f,0,$F$4),1),$F$4))</f>
        <v>76.0206268669827</v>
      </c>
      <c r="H51" s="42" t="n">
        <f aca="false">TC_s*(1-0.2*(TC_xmb+(TC_n-1)*TC_xmt)*MAX(G51-TC_Z,0)/(TC_n*TC_b))*TC_m*TC_n*TC_b*SQRT(2*g_)*MAX(G51-TC_Z,0)^1.5</f>
        <v>61.9053625988043</v>
      </c>
      <c r="I51" s="43" t="n">
        <f aca="false">IF($F$4=2,0,SC_s*(1-0.2*(SC_xmb+(SC_n-1)*SC_xmt)*MAX(G51-SC_Z,0)/(SC_n*SC_b))*SC_m*SC_n*SC_b*SQRT(2*g_)*MAX(G51-SC_Z,0)^1.5)</f>
        <v>96.3553052140064</v>
      </c>
      <c r="J51" s="40" t="n">
        <f aca="false">H51+I51</f>
        <v>158.260667812811</v>
      </c>
      <c r="K51" s="23" t="n">
        <f aca="false">INDEX(QH_V,MATCH(G51,QH_Z,1))+(G51-INDEX(QH_Z,MATCH(G51,QH_Z,1)))*(INDEX(QH_V,MATCH(G51,QH_Z,1)+1)-INDEX(QH_V,MATCH(G51,QH_Z,1)))/(INDEX(QH_Z,MATCH(G51,QH_Z,1)+1)-INDEX(QH_Z,MATCH(G51,QH_Z,1)))</f>
        <v>45.142433218018</v>
      </c>
      <c r="L51" s="40" t="n">
        <f aca="false">K51*1000000/dt_s+J51/2</f>
        <v>12618.6951166892</v>
      </c>
    </row>
    <row r="52" customFormat="false" ht="15" hidden="false" customHeight="false" outlineLevel="0" collapsed="false">
      <c r="A52" s="14" t="n">
        <v>36</v>
      </c>
      <c r="B52" s="40" t="n">
        <f aca="false">IFERROR(INDEX(Lu_Q,MATCH(A52,Lu_t,0),$C$4),0)</f>
        <v>3</v>
      </c>
      <c r="C52" s="40" t="n">
        <f aca="false">(B51+B52)/2</f>
        <v>3.5</v>
      </c>
      <c r="D52" s="40" t="n">
        <f aca="false">L51</f>
        <v>12618.6951166892</v>
      </c>
      <c r="E52" s="40" t="n">
        <f aca="false">J51</f>
        <v>158.260667812811</v>
      </c>
      <c r="F52" s="40" t="n">
        <f aca="false">D52+C52-E52</f>
        <v>12463.9344488764</v>
      </c>
      <c r="G52" s="41" t="n">
        <f aca="false">INDEX(QH_Z,MATCH(F52,INDEX(QH_f,0,$F$4),1))+(F52-INDEX(QH_f,MATCH(F52,INDEX(QH_f,0,$F$4),1),$F$4))*(INDEX(QH_Z,MATCH(F52,INDEX(QH_f,0,$F$4),1)+1)-INDEX(QH_Z,MATCH(F52,INDEX(QH_f,0,$F$4),1)))/(INDEX(QH_f,MATCH(F52,INDEX(QH_f,0,$F$4),1)+1,$F$4)-INDEX(QH_f,MATCH(F52,INDEX(QH_f,0,$F$4),1),$F$4))</f>
        <v>75.9416933923496</v>
      </c>
      <c r="H52" s="42" t="n">
        <f aca="false">TC_s*(1-0.2*(TC_xmb+(TC_n-1)*TC_xmt)*MAX(G52-TC_Z,0)/(TC_n*TC_b))*TC_m*TC_n*TC_b*SQRT(2*g_)*MAX(G52-TC_Z,0)^1.5</f>
        <v>56.6262582306177</v>
      </c>
      <c r="I52" s="43" t="n">
        <f aca="false">IF($F$4=2,0,SC_s*(1-0.2*(SC_xmb+(SC_n-1)*SC_xmt)*MAX(G52-SC_Z,0)/(SC_n*SC_b))*SC_m*SC_n*SC_b*SQRT(2*g_)*MAX(G52-SC_Z,0)^1.5)</f>
        <v>94.3339084189501</v>
      </c>
      <c r="J52" s="40" t="n">
        <f aca="false">H52+I52</f>
        <v>150.960166649568</v>
      </c>
      <c r="K52" s="23" t="n">
        <f aca="false">INDEX(QH_V,MATCH(G52,QH_Z,1))+(G52-INDEX(QH_Z,MATCH(G52,QH_Z,1)))*(INDEX(QH_V,MATCH(G52,QH_Z,1)+1)-INDEX(QH_V,MATCH(G52,QH_Z,1)))/(INDEX(QH_Z,MATCH(G52,QH_Z,1)+1)-INDEX(QH_Z,MATCH(G52,QH_Z,1)))</f>
        <v>44.5984354271172</v>
      </c>
      <c r="L52" s="40" t="n">
        <f aca="false">K52*1000000/dt_s+J52/2</f>
        <v>12463.9343686351</v>
      </c>
    </row>
    <row r="53" customFormat="false" ht="15" hidden="false" customHeight="false" outlineLevel="0" collapsed="false">
      <c r="A53" s="14" t="n">
        <v>37</v>
      </c>
      <c r="B53" s="40" t="n">
        <f aca="false">IFERROR(INDEX(Lu_Q,MATCH(A53,Lu_t,0),$C$4),0)</f>
        <v>0</v>
      </c>
      <c r="C53" s="40" t="n">
        <f aca="false">(B52+B53)/2</f>
        <v>1.5</v>
      </c>
      <c r="D53" s="40" t="n">
        <f aca="false">L52</f>
        <v>12463.9343686351</v>
      </c>
      <c r="E53" s="40" t="n">
        <f aca="false">J52</f>
        <v>150.960166649568</v>
      </c>
      <c r="F53" s="40" t="n">
        <f aca="false">D53+C53-E53</f>
        <v>12314.4742019856</v>
      </c>
      <c r="G53" s="41" t="n">
        <f aca="false">INDEX(QH_Z,MATCH(F53,INDEX(QH_f,0,$F$4),1))+(F53-INDEX(QH_f,MATCH(F53,INDEX(QH_f,0,$F$4),1),$F$4))*(INDEX(QH_Z,MATCH(F53,INDEX(QH_f,0,$F$4),1)+1)-INDEX(QH_Z,MATCH(F53,INDEX(QH_f,0,$F$4),1)))/(INDEX(QH_f,MATCH(F53,INDEX(QH_f,0,$F$4),1)+1,$F$4)-INDEX(QH_f,MATCH(F53,INDEX(QH_f,0,$F$4),1),$F$4))</f>
        <v>75.8650551005507</v>
      </c>
      <c r="H53" s="42" t="n">
        <f aca="false">TC_s*(1-0.2*(TC_xmb+(TC_n-1)*TC_xmt)*MAX(G53-TC_Z,0)/(TC_n*TC_b))*TC_m*TC_n*TC_b*SQRT(2*g_)*MAX(G53-TC_Z,0)^1.5</f>
        <v>51.63068377811</v>
      </c>
      <c r="I53" s="43" t="n">
        <f aca="false">IF($F$4=2,0,SC_s*(1-0.2*(SC_xmb+(SC_n-1)*SC_xmt)*MAX(G53-SC_Z,0)/(SC_n*SC_b))*SC_m*SC_n*SC_b*SQRT(2*g_)*MAX(G53-SC_Z,0)^1.5)</f>
        <v>92.3774634790146</v>
      </c>
      <c r="J53" s="40" t="n">
        <f aca="false">H53+I53</f>
        <v>144.008147257125</v>
      </c>
      <c r="K53" s="23" t="n">
        <f aca="false">INDEX(QH_V,MATCH(G53,QH_Z,1))+(G53-INDEX(QH_Z,MATCH(G53,QH_Z,1)))*(INDEX(QH_V,MATCH(G53,QH_Z,1)+1)-INDEX(QH_V,MATCH(G53,QH_Z,1)))/(INDEX(QH_Z,MATCH(G53,QH_Z,1)+1)-INDEX(QH_Z,MATCH(G53,QH_Z,1)))</f>
        <v>44.0728919208271</v>
      </c>
      <c r="L53" s="40" t="n">
        <f aca="false">K53*1000000/dt_s+J53/2</f>
        <v>12314.4740516361</v>
      </c>
    </row>
    <row r="54" customFormat="false" ht="15" hidden="false" customHeight="false" outlineLevel="0" collapsed="false">
      <c r="A54" s="14" t="n">
        <v>38</v>
      </c>
      <c r="B54" s="40" t="n">
        <f aca="false">IFERROR(INDEX(Lu_Q,MATCH(A54,Lu_t,0),$C$4),0)</f>
        <v>0</v>
      </c>
      <c r="C54" s="40" t="n">
        <f aca="false">(B53+B54)/2</f>
        <v>0</v>
      </c>
      <c r="D54" s="40" t="n">
        <f aca="false">L53</f>
        <v>12314.4740516361</v>
      </c>
      <c r="E54" s="40" t="n">
        <f aca="false">J53</f>
        <v>144.008147257125</v>
      </c>
      <c r="F54" s="40" t="n">
        <f aca="false">D54+C54-E54</f>
        <v>12170.465904379</v>
      </c>
      <c r="G54" s="41" t="n">
        <f aca="false">INDEX(QH_Z,MATCH(F54,INDEX(QH_f,0,$F$4),1))+(F54-INDEX(QH_f,MATCH(F54,INDEX(QH_f,0,$F$4),1),$F$4))*(INDEX(QH_Z,MATCH(F54,INDEX(QH_f,0,$F$4),1)+1)-INDEX(QH_Z,MATCH(F54,INDEX(QH_f,0,$F$4),1)))/(INDEX(QH_f,MATCH(F54,INDEX(QH_f,0,$F$4),1)+1,$F$4)-INDEX(QH_f,MATCH(F54,INDEX(QH_f,0,$F$4),1),$F$4))</f>
        <v>75.7908279156426</v>
      </c>
      <c r="H54" s="42" t="n">
        <f aca="false">TC_s*(1-0.2*(TC_xmb+(TC_n-1)*TC_xmt)*MAX(G54-TC_Z,0)/(TC_n*TC_b))*TC_m*TC_n*TC_b*SQRT(2*g_)*MAX(G54-TC_Z,0)^1.5</f>
        <v>46.9209053713627</v>
      </c>
      <c r="I54" s="43" t="n">
        <f aca="false">IF($F$4=2,0,SC_s*(1-0.2*(SC_xmb+(SC_n-1)*SC_xmt)*MAX(G54-SC_Z,0)/(SC_n*SC_b))*SC_m*SC_n*SC_b*SQRT(2*g_)*MAX(G54-SC_Z,0)^1.5)</f>
        <v>90.4886185513143</v>
      </c>
      <c r="J54" s="40" t="n">
        <f aca="false">H54+I54</f>
        <v>137.409523922677</v>
      </c>
      <c r="K54" s="23" t="n">
        <f aca="false">INDEX(QH_V,MATCH(G54,QH_Z,1))+(G54-INDEX(QH_Z,MATCH(G54,QH_Z,1)))*(INDEX(QH_V,MATCH(G54,QH_Z,1)+1)-INDEX(QH_V,MATCH(G54,QH_Z,1)))/(INDEX(QH_Z,MATCH(G54,QH_Z,1)+1)-INDEX(QH_Z,MATCH(G54,QH_Z,1)))</f>
        <v>43.5663399399429</v>
      </c>
      <c r="L54" s="40" t="n">
        <f aca="false">K54*1000000/dt_s+J54/2</f>
        <v>12170.4658563899</v>
      </c>
    </row>
    <row r="55" customFormat="false" ht="15" hidden="false" customHeight="false" outlineLevel="0" collapsed="false">
      <c r="A55" s="14" t="n">
        <v>39</v>
      </c>
      <c r="B55" s="40" t="n">
        <f aca="false">IFERROR(INDEX(Lu_Q,MATCH(A55,Lu_t,0),$C$4),0)</f>
        <v>0</v>
      </c>
      <c r="C55" s="40" t="n">
        <f aca="false">(B54+B55)/2</f>
        <v>0</v>
      </c>
      <c r="D55" s="40" t="n">
        <f aca="false">L54</f>
        <v>12170.4658563899</v>
      </c>
      <c r="E55" s="40" t="n">
        <f aca="false">J54</f>
        <v>137.409523922677</v>
      </c>
      <c r="F55" s="40" t="n">
        <f aca="false">D55+C55-E55</f>
        <v>12033.0563324673</v>
      </c>
      <c r="G55" s="41" t="n">
        <f aca="false">INDEX(QH_Z,MATCH(F55,INDEX(QH_f,0,$F$4),1))+(F55-INDEX(QH_f,MATCH(F55,INDEX(QH_f,0,$F$4),1),$F$4))*(INDEX(QH_Z,MATCH(F55,INDEX(QH_f,0,$F$4),1)+1)-INDEX(QH_Z,MATCH(F55,INDEX(QH_f,0,$F$4),1)))/(INDEX(QH_f,MATCH(F55,INDEX(QH_f,0,$F$4),1)+1,$F$4)-INDEX(QH_f,MATCH(F55,INDEX(QH_f,0,$F$4),1),$F$4))</f>
        <v>75.7196416927994</v>
      </c>
      <c r="H55" s="42" t="n">
        <f aca="false">TC_s*(1-0.2*(TC_xmb+(TC_n-1)*TC_xmt)*MAX(G55-TC_Z,0)/(TC_n*TC_b))*TC_m*TC_n*TC_b*SQRT(2*g_)*MAX(G55-TC_Z,0)^1.5</f>
        <v>42.5293050954813</v>
      </c>
      <c r="I55" s="43" t="n">
        <f aca="false">IF($F$4=2,0,SC_s*(1-0.2*(SC_xmb+(SC_n-1)*SC_xmt)*MAX(G55-SC_Z,0)/(SC_n*SC_b))*SC_m*SC_n*SC_b*SQRT(2*g_)*MAX(G55-SC_Z,0)^1.5)</f>
        <v>88.6829736718494</v>
      </c>
      <c r="J55" s="40" t="n">
        <f aca="false">H55+I55</f>
        <v>131.212278767331</v>
      </c>
      <c r="K55" s="23" t="n">
        <f aca="false">INDEX(QH_V,MATCH(G55,QH_Z,1))+(G55-INDEX(QH_Z,MATCH(G55,QH_Z,1)))*(INDEX(QH_V,MATCH(G55,QH_Z,1)+1)-INDEX(QH_V,MATCH(G55,QH_Z,1)))/(INDEX(QH_Z,MATCH(G55,QH_Z,1)+1)-INDEX(QH_Z,MATCH(G55,QH_Z,1)))</f>
        <v>43.0828206120389</v>
      </c>
      <c r="L55" s="40" t="n">
        <f aca="false">K55*1000000/dt_s+J55/2</f>
        <v>12033.0563093945</v>
      </c>
    </row>
    <row r="56" customFormat="false" ht="15" hidden="false" customHeight="false" outlineLevel="0" collapsed="false">
      <c r="A56" s="14" t="n">
        <v>40</v>
      </c>
      <c r="B56" s="40" t="n">
        <f aca="false">IFERROR(INDEX(Lu_Q,MATCH(A56,Lu_t,0),$C$4),0)</f>
        <v>0</v>
      </c>
      <c r="C56" s="40" t="n">
        <f aca="false">(B55+B56)/2</f>
        <v>0</v>
      </c>
      <c r="D56" s="40" t="n">
        <f aca="false">L55</f>
        <v>12033.0563093945</v>
      </c>
      <c r="E56" s="40" t="n">
        <f aca="false">J55</f>
        <v>131.212278767331</v>
      </c>
      <c r="F56" s="40" t="n">
        <f aca="false">D56+C56-E56</f>
        <v>11901.8440306271</v>
      </c>
      <c r="G56" s="41" t="n">
        <f aca="false">INDEX(QH_Z,MATCH(F56,INDEX(QH_f,0,$F$4),1))+(F56-INDEX(QH_f,MATCH(F56,INDEX(QH_f,0,$F$4),1),$F$4))*(INDEX(QH_Z,MATCH(F56,INDEX(QH_f,0,$F$4),1)+1)-INDEX(QH_Z,MATCH(F56,INDEX(QH_f,0,$F$4),1)))/(INDEX(QH_f,MATCH(F56,INDEX(QH_f,0,$F$4),1)+1,$F$4)-INDEX(QH_f,MATCH(F56,INDEX(QH_f,0,$F$4),1),$F$4))</f>
        <v>75.6513310265945</v>
      </c>
      <c r="H56" s="42" t="n">
        <f aca="false">TC_s*(1-0.2*(TC_xmb+(TC_n-1)*TC_xmt)*MAX(G56-TC_Z,0)/(TC_n*TC_b))*TC_m*TC_n*TC_b*SQRT(2*g_)*MAX(G56-TC_Z,0)^1.5</f>
        <v>38.4364990705208</v>
      </c>
      <c r="I56" s="43" t="n">
        <f aca="false">IF($F$4=2,0,SC_s*(1-0.2*(SC_xmb+(SC_n-1)*SC_xmt)*MAX(G56-SC_Z,0)/(SC_n*SC_b))*SC_m*SC_n*SC_b*SQRT(2*g_)*MAX(G56-SC_Z,0)^1.5)</f>
        <v>86.9558264223562</v>
      </c>
      <c r="J56" s="40" t="n">
        <f aca="false">H56+I56</f>
        <v>125.392325492877</v>
      </c>
      <c r="K56" s="23" t="n">
        <f aca="false">INDEX(QH_V,MATCH(G56,QH_Z,1))+(G56-INDEX(QH_Z,MATCH(G56,QH_Z,1)))*(INDEX(QH_V,MATCH(G56,QH_Z,1)+1)-INDEX(QH_V,MATCH(G56,QH_Z,1)))/(INDEX(QH_Z,MATCH(G56,QH_Z,1)+1)-INDEX(QH_Z,MATCH(G56,QH_Z,1)))</f>
        <v>42.620932033665</v>
      </c>
      <c r="L56" s="40" t="n">
        <f aca="false">K56*1000000/dt_s+J56/2</f>
        <v>11901.8439498756</v>
      </c>
    </row>
    <row r="57" customFormat="false" ht="15" hidden="false" customHeight="false" outlineLevel="0" collapsed="false">
      <c r="A57" s="14" t="n">
        <v>41</v>
      </c>
      <c r="B57" s="40" t="n">
        <f aca="false">IFERROR(INDEX(Lu_Q,MATCH(A57,Lu_t,0),$C$4),0)</f>
        <v>0</v>
      </c>
      <c r="C57" s="40" t="n">
        <f aca="false">(B56+B57)/2</f>
        <v>0</v>
      </c>
      <c r="D57" s="40" t="n">
        <f aca="false">L56</f>
        <v>11901.8439498756</v>
      </c>
      <c r="E57" s="40" t="n">
        <f aca="false">J56</f>
        <v>125.392325492877</v>
      </c>
      <c r="F57" s="40" t="n">
        <f aca="false">D57+C57-E57</f>
        <v>11776.4516243827</v>
      </c>
      <c r="G57" s="41" t="n">
        <f aca="false">INDEX(QH_Z,MATCH(F57,INDEX(QH_f,0,$F$4),1))+(F57-INDEX(QH_f,MATCH(F57,INDEX(QH_f,0,$F$4),1),$F$4))*(INDEX(QH_Z,MATCH(F57,INDEX(QH_f,0,$F$4),1)+1)-INDEX(QH_Z,MATCH(F57,INDEX(QH_f,0,$F$4),1)))/(INDEX(QH_f,MATCH(F57,INDEX(QH_f,0,$F$4),1)+1,$F$4)-INDEX(QH_f,MATCH(F57,INDEX(QH_f,0,$F$4),1),$F$4))</f>
        <v>75.5857385956707</v>
      </c>
      <c r="H57" s="42" t="n">
        <f aca="false">TC_s*(1-0.2*(TC_xmb+(TC_n-1)*TC_xmt)*MAX(G57-TC_Z,0)/(TC_n*TC_b))*TC_m*TC_n*TC_b*SQRT(2*g_)*MAX(G57-TC_Z,0)^1.5</f>
        <v>34.6243733344714</v>
      </c>
      <c r="I57" s="43" t="n">
        <f aca="false">IF($F$4=2,0,SC_s*(1-0.2*(SC_xmb+(SC_n-1)*SC_xmt)*MAX(G57-SC_Z,0)/(SC_n*SC_b))*SC_m*SC_n*SC_b*SQRT(2*g_)*MAX(G57-SC_Z,0)^1.5)</f>
        <v>85.3027130417998</v>
      </c>
      <c r="J57" s="40" t="n">
        <f aca="false">H57+I57</f>
        <v>119.927086376271</v>
      </c>
      <c r="K57" s="23" t="n">
        <f aca="false">INDEX(QH_V,MATCH(G57,QH_Z,1))+(G57-INDEX(QH_Z,MATCH(G57,QH_Z,1)))*(INDEX(QH_V,MATCH(G57,QH_Z,1)+1)-INDEX(QH_V,MATCH(G57,QH_Z,1)))/(INDEX(QH_Z,MATCH(G57,QH_Z,1)+1)-INDEX(QH_Z,MATCH(G57,QH_Z,1)))</f>
        <v>42.1793564425583</v>
      </c>
      <c r="L57" s="40" t="n">
        <f aca="false">K57*1000000/dt_s+J57/2</f>
        <v>11776.4514438988</v>
      </c>
    </row>
    <row r="58" customFormat="false" ht="15" hidden="false" customHeight="false" outlineLevel="0" collapsed="false">
      <c r="A58" s="14" t="n">
        <v>42</v>
      </c>
      <c r="B58" s="40" t="n">
        <f aca="false">IFERROR(INDEX(Lu_Q,MATCH(A58,Lu_t,0),$C$4),0)</f>
        <v>0</v>
      </c>
      <c r="C58" s="40" t="n">
        <f aca="false">(B57+B58)/2</f>
        <v>0</v>
      </c>
      <c r="D58" s="40" t="n">
        <f aca="false">L57</f>
        <v>11776.4514438988</v>
      </c>
      <c r="E58" s="40" t="n">
        <f aca="false">J57</f>
        <v>119.927086376271</v>
      </c>
      <c r="F58" s="40" t="n">
        <f aca="false">D58+C58-E58</f>
        <v>11656.5243575225</v>
      </c>
      <c r="G58" s="41" t="n">
        <f aca="false">INDEX(QH_Z,MATCH(F58,INDEX(QH_f,0,$F$4),1))+(F58-INDEX(QH_f,MATCH(F58,INDEX(QH_f,0,$F$4),1),$F$4))*(INDEX(QH_Z,MATCH(F58,INDEX(QH_f,0,$F$4),1)+1)-INDEX(QH_Z,MATCH(F58,INDEX(QH_f,0,$F$4),1)))/(INDEX(QH_f,MATCH(F58,INDEX(QH_f,0,$F$4),1)+1,$F$4)-INDEX(QH_f,MATCH(F58,INDEX(QH_f,0,$F$4),1),$F$4))</f>
        <v>75.5227151830026</v>
      </c>
      <c r="H58" s="42" t="n">
        <f aca="false">TC_s*(1-0.2*(TC_xmb+(TC_n-1)*TC_xmt)*MAX(G58-TC_Z,0)/(TC_n*TC_b))*TC_m*TC_n*TC_b*SQRT(2*g_)*MAX(G58-TC_Z,0)^1.5</f>
        <v>31.0760610281827</v>
      </c>
      <c r="I58" s="43" t="n">
        <f aca="false">IF($F$4=2,0,SC_s*(1-0.2*(SC_xmb+(SC_n-1)*SC_xmt)*MAX(G58-SC_Z,0)/(SC_n*SC_b))*SC_m*SC_n*SC_b*SQRT(2*g_)*MAX(G58-SC_Z,0)^1.5)</f>
        <v>83.7194086441008</v>
      </c>
      <c r="J58" s="40" t="n">
        <f aca="false">H58+I58</f>
        <v>114.795469672284</v>
      </c>
      <c r="K58" s="23" t="n">
        <f aca="false">INDEX(QH_V,MATCH(G58,QH_Z,1))+(G58-INDEX(QH_Z,MATCH(G58,QH_Z,1)))*(INDEX(QH_V,MATCH(G58,QH_Z,1)+1)-INDEX(QH_V,MATCH(G58,QH_Z,1)))/(INDEX(QH_Z,MATCH(G58,QH_Z,1)+1)-INDEX(QH_Z,MATCH(G58,QH_Z,1)))</f>
        <v>41.7568552894701</v>
      </c>
      <c r="L58" s="40" t="n">
        <f aca="false">K58*1000000/dt_s+J58/2</f>
        <v>11656.5242041334</v>
      </c>
    </row>
    <row r="59" customFormat="false" ht="15" hidden="false" customHeight="false" outlineLevel="0" collapsed="false">
      <c r="A59" s="14" t="n">
        <v>43</v>
      </c>
      <c r="B59" s="40" t="n">
        <f aca="false">IFERROR(INDEX(Lu_Q,MATCH(A59,Lu_t,0),$C$4),0)</f>
        <v>0</v>
      </c>
      <c r="C59" s="40" t="n">
        <f aca="false">(B58+B59)/2</f>
        <v>0</v>
      </c>
      <c r="D59" s="40" t="n">
        <f aca="false">L58</f>
        <v>11656.5242041334</v>
      </c>
      <c r="E59" s="40" t="n">
        <f aca="false">J58</f>
        <v>114.795469672284</v>
      </c>
      <c r="F59" s="40" t="n">
        <f aca="false">D59+C59-E59</f>
        <v>11541.7287344611</v>
      </c>
      <c r="G59" s="41" t="n">
        <f aca="false">INDEX(QH_Z,MATCH(F59,INDEX(QH_f,0,$F$4),1))+(F59-INDEX(QH_f,MATCH(F59,INDEX(QH_f,0,$F$4),1),$F$4))*(INDEX(QH_Z,MATCH(F59,INDEX(QH_f,0,$F$4),1)+1)-INDEX(QH_Z,MATCH(F59,INDEX(QH_f,0,$F$4),1)))/(INDEX(QH_f,MATCH(F59,INDEX(QH_f,0,$F$4),1)+1,$F$4)-INDEX(QH_f,MATCH(F59,INDEX(QH_f,0,$F$4),1),$F$4))</f>
        <v>75.462117331997</v>
      </c>
      <c r="H59" s="42" t="n">
        <f aca="false">TC_s*(1-0.2*(TC_xmb+(TC_n-1)*TC_xmt)*MAX(G59-TC_Z,0)/(TC_n*TC_b))*TC_m*TC_n*TC_b*SQRT(2*g_)*MAX(G59-TC_Z,0)^1.5</f>
        <v>27.7757893640831</v>
      </c>
      <c r="I59" s="43" t="n">
        <f aca="false">IF($F$4=2,0,SC_s*(1-0.2*(SC_xmb+(SC_n-1)*SC_xmt)*MAX(G59-SC_Z,0)/(SC_n*SC_b))*SC_m*SC_n*SC_b*SQRT(2*g_)*MAX(G59-SC_Z,0)^1.5)</f>
        <v>82.2018677422781</v>
      </c>
      <c r="J59" s="40" t="n">
        <f aca="false">H59+I59</f>
        <v>109.977657106361</v>
      </c>
      <c r="K59" s="23" t="n">
        <f aca="false">INDEX(QH_V,MATCH(G59,QH_Z,1))+(G59-INDEX(QH_Z,MATCH(G59,QH_Z,1)))*(INDEX(QH_V,MATCH(G59,QH_Z,1)+1)-INDEX(QH_V,MATCH(G59,QH_Z,1)))/(INDEX(QH_Z,MATCH(G59,QH_Z,1)+1)-INDEX(QH_Z,MATCH(G59,QH_Z,1)))</f>
        <v>41.3522631708274</v>
      </c>
      <c r="L59" s="40" t="n">
        <f aca="false">K59*1000000/dt_s+J59/2</f>
        <v>11541.7285982275</v>
      </c>
    </row>
    <row r="60" customFormat="false" ht="15" hidden="false" customHeight="false" outlineLevel="0" collapsed="false">
      <c r="A60" s="14" t="n">
        <v>44</v>
      </c>
      <c r="B60" s="40" t="n">
        <f aca="false">IFERROR(INDEX(Lu_Q,MATCH(A60,Lu_t,0),$C$4),0)</f>
        <v>0</v>
      </c>
      <c r="C60" s="40" t="n">
        <f aca="false">(B59+B60)/2</f>
        <v>0</v>
      </c>
      <c r="D60" s="40" t="n">
        <f aca="false">L59</f>
        <v>11541.7285982275</v>
      </c>
      <c r="E60" s="40" t="n">
        <f aca="false">J59</f>
        <v>109.977657106361</v>
      </c>
      <c r="F60" s="40" t="n">
        <f aca="false">D60+C60-E60</f>
        <v>11431.7509411211</v>
      </c>
      <c r="G60" s="41" t="n">
        <f aca="false">INDEX(QH_Z,MATCH(F60,INDEX(QH_f,0,$F$4),1))+(F60-INDEX(QH_f,MATCH(F60,INDEX(QH_f,0,$F$4),1),$F$4))*(INDEX(QH_Z,MATCH(F60,INDEX(QH_f,0,$F$4),1)+1)-INDEX(QH_Z,MATCH(F60,INDEX(QH_f,0,$F$4),1)))/(INDEX(QH_f,MATCH(F60,INDEX(QH_f,0,$F$4),1)+1,$F$4)-INDEX(QH_f,MATCH(F60,INDEX(QH_f,0,$F$4),1),$F$4))</f>
        <v>75.4038087570243</v>
      </c>
      <c r="H60" s="42" t="n">
        <f aca="false">TC_s*(1-0.2*(TC_xmb+(TC_n-1)*TC_xmt)*MAX(G60-TC_Z,0)/(TC_n*TC_b))*TC_m*TC_n*TC_b*SQRT(2*g_)*MAX(G60-TC_Z,0)^1.5</f>
        <v>24.7089445034225</v>
      </c>
      <c r="I60" s="43" t="n">
        <f aca="false">IF($F$4=2,0,SC_s*(1-0.2*(SC_xmb+(SC_n-1)*SC_xmt)*MAX(G60-SC_Z,0)/(SC_n*SC_b))*SC_m*SC_n*SC_b*SQRT(2*g_)*MAX(G60-SC_Z,0)^1.5)</f>
        <v>80.7462589879974</v>
      </c>
      <c r="J60" s="40" t="n">
        <f aca="false">H60+I60</f>
        <v>105.45520349142</v>
      </c>
      <c r="K60" s="23" t="n">
        <f aca="false">INDEX(QH_V,MATCH(G60,QH_Z,1))+(G60-INDEX(QH_Z,MATCH(G60,QH_Z,1)))*(INDEX(QH_V,MATCH(G60,QH_Z,1)+1)-INDEX(QH_V,MATCH(G60,QH_Z,1)))/(INDEX(QH_Z,MATCH(G60,QH_Z,1)+1)-INDEX(QH_Z,MATCH(G60,QH_Z,1)))</f>
        <v>40.9644832908784</v>
      </c>
      <c r="L60" s="40" t="n">
        <f aca="false">K60*1000000/dt_s+J60/2</f>
        <v>11431.7507381008</v>
      </c>
    </row>
    <row r="61" customFormat="false" ht="15" hidden="false" customHeight="false" outlineLevel="0" collapsed="false">
      <c r="A61" s="14" t="n">
        <v>45</v>
      </c>
      <c r="B61" s="40" t="n">
        <f aca="false">IFERROR(INDEX(Lu_Q,MATCH(A61,Lu_t,0),$C$4),0)</f>
        <v>0</v>
      </c>
      <c r="C61" s="40" t="n">
        <f aca="false">(B60+B61)/2</f>
        <v>0</v>
      </c>
      <c r="D61" s="40" t="n">
        <f aca="false">L60</f>
        <v>11431.7507381008</v>
      </c>
      <c r="E61" s="40" t="n">
        <f aca="false">J60</f>
        <v>105.45520349142</v>
      </c>
      <c r="F61" s="40" t="n">
        <f aca="false">D61+C61-E61</f>
        <v>11326.2955346094</v>
      </c>
      <c r="G61" s="41" t="n">
        <f aca="false">INDEX(QH_Z,MATCH(F61,INDEX(QH_f,0,$F$4),1))+(F61-INDEX(QH_f,MATCH(F61,INDEX(QH_f,0,$F$4),1),$F$4))*(INDEX(QH_Z,MATCH(F61,INDEX(QH_f,0,$F$4),1)+1)-INDEX(QH_Z,MATCH(F61,INDEX(QH_f,0,$F$4),1)))/(INDEX(QH_f,MATCH(F61,INDEX(QH_f,0,$F$4),1)+1,$F$4)-INDEX(QH_f,MATCH(F61,INDEX(QH_f,0,$F$4),1),$F$4))</f>
        <v>75.3476607665064</v>
      </c>
      <c r="H61" s="42" t="n">
        <f aca="false">TC_s*(1-0.2*(TC_xmb+(TC_n-1)*TC_xmt)*MAX(G61-TC_Z,0)/(TC_n*TC_b))*TC_m*TC_n*TC_b*SQRT(2*g_)*MAX(G61-TC_Z,0)^1.5</f>
        <v>21.8620708308058</v>
      </c>
      <c r="I61" s="43" t="n">
        <f aca="false">IF($F$4=2,0,SC_s*(1-0.2*(SC_xmb+(SC_n-1)*SC_xmt)*MAX(G61-SC_Z,0)/(SC_n*SC_b))*SC_m*SC_n*SC_b*SQRT(2*g_)*MAX(G61-SC_Z,0)^1.5)</f>
        <v>79.3489743156541</v>
      </c>
      <c r="J61" s="40" t="n">
        <f aca="false">H61+I61</f>
        <v>101.21104514646</v>
      </c>
      <c r="K61" s="23" t="n">
        <f aca="false">INDEX(QH_V,MATCH(G61,QH_Z,1))+(G61-INDEX(QH_Z,MATCH(G61,QH_Z,1)))*(INDEX(QH_V,MATCH(G61,QH_Z,1)+1)-INDEX(QH_V,MATCH(G61,QH_Z,1)))/(INDEX(QH_Z,MATCH(G61,QH_Z,1)+1)-INDEX(QH_Z,MATCH(G61,QH_Z,1)))</f>
        <v>40.5924834559869</v>
      </c>
      <c r="L61" s="40" t="n">
        <f aca="false">K61*1000000/dt_s+J61/2</f>
        <v>11326.2953714585</v>
      </c>
    </row>
    <row r="62" customFormat="false" ht="15" hidden="false" customHeight="false" outlineLevel="0" collapsed="false">
      <c r="A62" s="14" t="n">
        <v>46</v>
      </c>
      <c r="B62" s="40" t="n">
        <f aca="false">IFERROR(INDEX(Lu_Q,MATCH(A62,Lu_t,0),$C$4),0)</f>
        <v>0</v>
      </c>
      <c r="C62" s="40" t="n">
        <f aca="false">(B61+B62)/2</f>
        <v>0</v>
      </c>
      <c r="D62" s="40" t="n">
        <f aca="false">L61</f>
        <v>11326.2953714585</v>
      </c>
      <c r="E62" s="40" t="n">
        <f aca="false">J61</f>
        <v>101.21104514646</v>
      </c>
      <c r="F62" s="40" t="n">
        <f aca="false">D62+C62-E62</f>
        <v>11225.084326312</v>
      </c>
      <c r="G62" s="41" t="n">
        <f aca="false">INDEX(QH_Z,MATCH(F62,INDEX(QH_f,0,$F$4),1))+(F62-INDEX(QH_f,MATCH(F62,INDEX(QH_f,0,$F$4),1),$F$4))*(INDEX(QH_Z,MATCH(F62,INDEX(QH_f,0,$F$4),1)+1)-INDEX(QH_Z,MATCH(F62,INDEX(QH_f,0,$F$4),1)))/(INDEX(QH_f,MATCH(F62,INDEX(QH_f,0,$F$4),1)+1,$F$4)-INDEX(QH_f,MATCH(F62,INDEX(QH_f,0,$F$4),1),$F$4))</f>
        <v>75.2935491428022</v>
      </c>
      <c r="H62" s="42" t="n">
        <f aca="false">TC_s*(1-0.2*(TC_xmb+(TC_n-1)*TC_xmt)*MAX(G62-TC_Z,0)/(TC_n*TC_b))*TC_m*TC_n*TC_b*SQRT(2*g_)*MAX(G62-TC_Z,0)^1.5</f>
        <v>19.222696315785</v>
      </c>
      <c r="I62" s="43" t="n">
        <f aca="false">IF($F$4=2,0,SC_s*(1-0.2*(SC_xmb+(SC_n-1)*SC_xmt)*MAX(G62-SC_Z,0)/(SC_n*SC_b))*SC_m*SC_n*SC_b*SQRT(2*g_)*MAX(G62-SC_Z,0)^1.5)</f>
        <v>78.006549817058</v>
      </c>
      <c r="J62" s="40" t="n">
        <f aca="false">H62+I62</f>
        <v>97.2292461328429</v>
      </c>
      <c r="K62" s="23" t="n">
        <f aca="false">INDEX(QH_V,MATCH(G62,QH_Z,1))+(G62-INDEX(QH_Z,MATCH(G62,QH_Z,1)))*(INDEX(QH_V,MATCH(G62,QH_Z,1)+1)-INDEX(QH_V,MATCH(G62,QH_Z,1)))/(INDEX(QH_Z,MATCH(G62,QH_Z,1)+1)-INDEX(QH_Z,MATCH(G62,QH_Z,1)))</f>
        <v>40.2352901412377</v>
      </c>
      <c r="L62" s="40" t="n">
        <f aca="false">K62*1000000/dt_s+J62/2</f>
        <v>11225.0841067436</v>
      </c>
    </row>
    <row r="63" customFormat="false" ht="15" hidden="false" customHeight="false" outlineLevel="0" collapsed="false">
      <c r="A63" s="14" t="n">
        <v>47</v>
      </c>
      <c r="B63" s="40" t="n">
        <f aca="false">IFERROR(INDEX(Lu_Q,MATCH(A63,Lu_t,0),$C$4),0)</f>
        <v>0</v>
      </c>
      <c r="C63" s="40" t="n">
        <f aca="false">(B62+B63)/2</f>
        <v>0</v>
      </c>
      <c r="D63" s="40" t="n">
        <f aca="false">L62</f>
        <v>11225.0841067436</v>
      </c>
      <c r="E63" s="40" t="n">
        <f aca="false">J62</f>
        <v>97.2292461328429</v>
      </c>
      <c r="F63" s="40" t="n">
        <f aca="false">D63+C63-E63</f>
        <v>11127.8548606107</v>
      </c>
      <c r="G63" s="41" t="n">
        <f aca="false">INDEX(QH_Z,MATCH(F63,INDEX(QH_f,0,$F$4),1))+(F63-INDEX(QH_f,MATCH(F63,INDEX(QH_f,0,$F$4),1),$F$4))*(INDEX(QH_Z,MATCH(F63,INDEX(QH_f,0,$F$4),1)+1)-INDEX(QH_Z,MATCH(F63,INDEX(QH_f,0,$F$4),1)))/(INDEX(QH_f,MATCH(F63,INDEX(QH_f,0,$F$4),1)+1,$F$4)-INDEX(QH_f,MATCH(F63,INDEX(QH_f,0,$F$4),1),$F$4))</f>
        <v>75.2413571785334</v>
      </c>
      <c r="H63" s="42" t="n">
        <f aca="false">TC_s*(1-0.2*(TC_xmb+(TC_n-1)*TC_xmt)*MAX(G63-TC_Z,0)/(TC_n*TC_b))*TC_m*TC_n*TC_b*SQRT(2*g_)*MAX(G63-TC_Z,0)^1.5</f>
        <v>16.77947864337</v>
      </c>
      <c r="I63" s="43" t="n">
        <f aca="false">IF($F$4=2,0,SC_s*(1-0.2*(SC_xmb+(SC_n-1)*SC_xmt)*MAX(G63-SC_Z,0)/(SC_n*SC_b))*SC_m*SC_n*SC_b*SQRT(2*g_)*MAX(G63-SC_Z,0)^1.5)</f>
        <v>76.7157398275008</v>
      </c>
      <c r="J63" s="40" t="n">
        <f aca="false">H63+I63</f>
        <v>93.4952184708707</v>
      </c>
      <c r="K63" s="23" t="n">
        <f aca="false">INDEX(QH_V,MATCH(G63,QH_Z,1))+(G63-INDEX(QH_Z,MATCH(G63,QH_Z,1)))*(INDEX(QH_V,MATCH(G63,QH_Z,1)+1)-INDEX(QH_V,MATCH(G63,QH_Z,1)))/(INDEX(QH_Z,MATCH(G63,QH_Z,1)+1)-INDEX(QH_Z,MATCH(G63,QH_Z,1)))</f>
        <v>39.8919856771714</v>
      </c>
      <c r="L63" s="40" t="n">
        <f aca="false">K63*1000000/dt_s+J63/2</f>
        <v>11127.8547417831</v>
      </c>
    </row>
    <row r="64" customFormat="false" ht="15" hidden="false" customHeight="false" outlineLevel="0" collapsed="false">
      <c r="A64" s="14" t="n">
        <v>48</v>
      </c>
      <c r="B64" s="40" t="n">
        <f aca="false">IFERROR(INDEX(Lu_Q,MATCH(A64,Lu_t,0),$C$4),0)</f>
        <v>0</v>
      </c>
      <c r="C64" s="40" t="n">
        <f aca="false">(B63+B64)/2</f>
        <v>0</v>
      </c>
      <c r="D64" s="40" t="n">
        <f aca="false">L63</f>
        <v>11127.8547417831</v>
      </c>
      <c r="E64" s="40" t="n">
        <f aca="false">J63</f>
        <v>93.4952184708707</v>
      </c>
      <c r="F64" s="40" t="n">
        <f aca="false">D64+C64-E64</f>
        <v>11034.3595233122</v>
      </c>
      <c r="G64" s="41" t="n">
        <f aca="false">INDEX(QH_Z,MATCH(F64,INDEX(QH_f,0,$F$4),1))+(F64-INDEX(QH_f,MATCH(F64,INDEX(QH_f,0,$F$4),1),$F$4))*(INDEX(QH_Z,MATCH(F64,INDEX(QH_f,0,$F$4),1)+1)-INDEX(QH_Z,MATCH(F64,INDEX(QH_f,0,$F$4),1)))/(INDEX(QH_f,MATCH(F64,INDEX(QH_f,0,$F$4),1)+1,$F$4)-INDEX(QH_f,MATCH(F64,INDEX(QH_f,0,$F$4),1),$F$4))</f>
        <v>75.1909716426723</v>
      </c>
      <c r="H64" s="42" t="n">
        <f aca="false">TC_s*(1-0.2*(TC_xmb+(TC_n-1)*TC_xmt)*MAX(G64-TC_Z,0)/(TC_n*TC_b))*TC_m*TC_n*TC_b*SQRT(2*g_)*MAX(G64-TC_Z,0)^1.5</f>
        <v>14.5220103230676</v>
      </c>
      <c r="I64" s="43" t="n">
        <f aca="false">IF($F$4=2,0,SC_s*(1-0.2*(SC_xmb+(SC_n-1)*SC_xmt)*MAX(G64-SC_Z,0)/(SC_n*SC_b))*SC_m*SC_n*SC_b*SQRT(2*g_)*MAX(G64-SC_Z,0)^1.5)</f>
        <v>75.473415360748</v>
      </c>
      <c r="J64" s="40" t="n">
        <f aca="false">H64+I64</f>
        <v>89.9954256838156</v>
      </c>
      <c r="K64" s="23" t="n">
        <f aca="false">INDEX(QH_V,MATCH(G64,QH_Z,1))+(G64-INDEX(QH_Z,MATCH(G64,QH_Z,1)))*(INDEX(QH_V,MATCH(G64,QH_Z,1)+1)-INDEX(QH_V,MATCH(G64,QH_Z,1)))/(INDEX(QH_Z,MATCH(G64,QH_Z,1)+1)-INDEX(QH_Z,MATCH(G64,QH_Z,1)))</f>
        <v>39.5617021786043</v>
      </c>
      <c r="L64" s="40" t="n">
        <f aca="false">K64*1000000/dt_s+J64/2</f>
        <v>11034.3594291209</v>
      </c>
    </row>
  </sheetData>
  <mergeCells count="12">
    <mergeCell ref="A3:B3"/>
    <mergeCell ref="D3:E3"/>
    <mergeCell ref="F3:G3"/>
    <mergeCell ref="A4:B4"/>
    <mergeCell ref="D4:E4"/>
    <mergeCell ref="A6:E6"/>
    <mergeCell ref="A7:E7"/>
    <mergeCell ref="A8:E8"/>
    <mergeCell ref="A9:E9"/>
    <mergeCell ref="A10:E10"/>
    <mergeCell ref="A11:E11"/>
    <mergeCell ref="A12:E12"/>
  </mergeCells>
  <conditionalFormatting sqref="A16:L64">
    <cfRule type="expression" priority="2" aboveAverage="0" equalAverage="0" bottom="0" percent="0" rank="0" text="" dxfId="0">
      <formula>$G16=MAX($G$16:$G$64)</formula>
    </cfRule>
  </conditionalFormatting>
  <dataValidations count="2">
    <dataValidation allowBlank="false" errorStyle="stop" operator="between" showDropDown="false" showErrorMessage="false" showInputMessage="false" sqref="C3" type="list">
      <formula1>"1,0.2"</formula1>
      <formula2>0</formula2>
    </dataValidation>
    <dataValidation allowBlank="false" errorStyle="stop" operator="between" showDropDown="false" showErrorMessage="false" showInputMessage="false" sqref="F3" type="list">
      <formula1>"Hai tràn,Kẹt van"</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10" min="6" style="0" width="12"/>
    <col collapsed="false" customWidth="true" hidden="false" outlineLevel="0" max="11" min="11" style="0" width="11"/>
    <col collapsed="false" customWidth="true" hidden="false" outlineLevel="0" max="12" min="12" style="0" width="12"/>
  </cols>
  <sheetData>
    <row r="1" customFormat="false" ht="17.35" hidden="false" customHeight="false" outlineLevel="0" collapsed="false">
      <c r="A1" s="6" t="s">
        <v>95</v>
      </c>
    </row>
    <row r="3" customFormat="false" ht="15" hidden="false" customHeight="false" outlineLevel="0" collapsed="false">
      <c r="A3" s="10" t="s">
        <v>96</v>
      </c>
      <c r="B3" s="10"/>
      <c r="C3" s="33" t="n">
        <v>1</v>
      </c>
      <c r="D3" s="10" t="s">
        <v>97</v>
      </c>
      <c r="E3" s="10"/>
      <c r="F3" s="34" t="s">
        <v>119</v>
      </c>
      <c r="G3" s="34"/>
      <c r="H3" s="7" t="s">
        <v>99</v>
      </c>
    </row>
    <row r="4" customFormat="false" ht="15" hidden="false" customHeight="false" outlineLevel="0" collapsed="false">
      <c r="A4" s="13" t="s">
        <v>100</v>
      </c>
      <c r="B4" s="13"/>
      <c r="C4" s="35" t="n">
        <f aca="false">MATCH(C3,Lu_P,0)</f>
        <v>1</v>
      </c>
      <c r="D4" s="13" t="s">
        <v>101</v>
      </c>
      <c r="E4" s="13"/>
      <c r="F4" s="35" t="n">
        <f aca="false">IF(F3="Kẹt van",2,1)</f>
        <v>2</v>
      </c>
    </row>
    <row r="5" customFormat="false" ht="15" hidden="false" customHeight="false" outlineLevel="0" collapsed="false">
      <c r="H5" s="7" t="s">
        <v>102</v>
      </c>
    </row>
    <row r="6" customFormat="false" ht="15" hidden="false" customHeight="false" outlineLevel="0" collapsed="false">
      <c r="A6" s="10" t="s">
        <v>103</v>
      </c>
      <c r="B6" s="10"/>
      <c r="C6" s="10"/>
      <c r="D6" s="10"/>
      <c r="E6" s="10"/>
      <c r="F6" s="21" t="n">
        <f aca="false">MAX(G16:G64)</f>
        <v>78.2049176030153</v>
      </c>
    </row>
    <row r="7" customFormat="false" ht="15" hidden="false" customHeight="false" outlineLevel="0" collapsed="false">
      <c r="A7" s="10" t="s">
        <v>104</v>
      </c>
      <c r="B7" s="10"/>
      <c r="C7" s="10"/>
      <c r="D7" s="10"/>
      <c r="E7" s="10"/>
      <c r="F7" s="36" t="n">
        <f aca="false">INDEX(A16:A64,MATCH(MAX(G16:G64),G16:G64,0))</f>
        <v>17</v>
      </c>
    </row>
    <row r="8" customFormat="false" ht="15" hidden="false" customHeight="false" outlineLevel="0" collapsed="false">
      <c r="A8" s="10" t="s">
        <v>105</v>
      </c>
      <c r="B8" s="10"/>
      <c r="C8" s="10"/>
      <c r="D8" s="10"/>
      <c r="E8" s="10"/>
      <c r="F8" s="37" t="n">
        <f aca="false">MAX(J16:J64)</f>
        <v>243.085644816096</v>
      </c>
    </row>
    <row r="9" customFormat="false" ht="15" hidden="false" customHeight="false" outlineLevel="0" collapsed="false">
      <c r="A9" s="10" t="s">
        <v>106</v>
      </c>
      <c r="B9" s="10"/>
      <c r="C9" s="10"/>
      <c r="D9" s="10"/>
      <c r="E9" s="10"/>
      <c r="F9" s="37" t="n">
        <f aca="false">INDEX(H16:H64,MATCH(MAX(G16:G64),G16:G64,0))</f>
        <v>243.085644816096</v>
      </c>
      <c r="G9" s="37" t="n">
        <f aca="false">INDEX(I16:I64,MATCH(MAX(G16:G64),G16:G64,0))</f>
        <v>0</v>
      </c>
    </row>
    <row r="10" customFormat="false" ht="15" hidden="false" customHeight="false" outlineLevel="0" collapsed="false">
      <c r="A10" s="10" t="s">
        <v>107</v>
      </c>
      <c r="B10" s="10"/>
      <c r="C10" s="10"/>
      <c r="D10" s="10"/>
      <c r="E10" s="10"/>
      <c r="F10" s="21" t="n">
        <f aca="false">F6-TC_Z</f>
        <v>3.50491760301526</v>
      </c>
      <c r="G10" s="21" t="n">
        <f aca="false">F6-SC_Z</f>
        <v>7.20491760301526</v>
      </c>
    </row>
    <row r="11" customFormat="false" ht="15" hidden="false" customHeight="false" outlineLevel="0" collapsed="false">
      <c r="A11" s="10" t="s">
        <v>108</v>
      </c>
      <c r="B11" s="10"/>
      <c r="C11" s="10"/>
      <c r="D11" s="10"/>
      <c r="E11" s="10"/>
      <c r="F11" s="38" t="n">
        <f aca="false">INDEX(K16:K64,MATCH(MAX(G16:G64),G16:G64,0))-K16</f>
        <v>25.0251224563321</v>
      </c>
    </row>
    <row r="12" customFormat="false" ht="15" hidden="false" customHeight="false" outlineLevel="0" collapsed="false">
      <c r="A12" s="10" t="s">
        <v>109</v>
      </c>
      <c r="B12" s="10"/>
      <c r="C12" s="10"/>
      <c r="D12" s="10"/>
      <c r="E12" s="10"/>
      <c r="F12" s="39" t="n">
        <f aca="false">SUMPRODUCT((B16:B63+B17:B64)/2)*dt_s/1000000-SUMPRODUCT((J16:J63+J17:J64)/2)*dt_s/1000000-(K64-K16)</f>
        <v>2.08081329660104E-005</v>
      </c>
    </row>
    <row r="15" customFormat="false" ht="45" hidden="false" customHeight="true" outlineLevel="0" collapsed="false">
      <c r="A15" s="9" t="s">
        <v>69</v>
      </c>
      <c r="B15" s="9" t="s">
        <v>110</v>
      </c>
      <c r="C15" s="9" t="s">
        <v>111</v>
      </c>
      <c r="D15" s="9" t="s">
        <v>112</v>
      </c>
      <c r="E15" s="9" t="s">
        <v>113</v>
      </c>
      <c r="F15" s="9" t="s">
        <v>114</v>
      </c>
      <c r="G15" s="9" t="s">
        <v>115</v>
      </c>
      <c r="H15" s="9" t="s">
        <v>87</v>
      </c>
      <c r="I15" s="9" t="s">
        <v>90</v>
      </c>
      <c r="J15" s="9" t="s">
        <v>116</v>
      </c>
      <c r="K15" s="9" t="s">
        <v>117</v>
      </c>
      <c r="L15" s="9" t="s">
        <v>118</v>
      </c>
    </row>
    <row r="16" customFormat="false" ht="15" hidden="false" customHeight="false" outlineLevel="0" collapsed="false">
      <c r="A16" s="14" t="n">
        <v>0</v>
      </c>
      <c r="B16" s="40" t="n">
        <f aca="false">IFERROR(INDEX(Lu_Q,MATCH(A16,Lu_t,0),$C$4),0)</f>
        <v>2</v>
      </c>
      <c r="C16" s="40"/>
      <c r="D16" s="40"/>
      <c r="E16" s="40"/>
      <c r="F16" s="40"/>
      <c r="G16" s="41" t="n">
        <f aca="false">Z0</f>
        <v>74.7</v>
      </c>
      <c r="H16" s="42" t="n">
        <f aca="false">TC_s*(1-0.2*(TC_xmb+(TC_n-1)*TC_xmt)*MAX(G16-TC_Z,0)/(TC_n*TC_b))*TC_m*TC_n*TC_b*SQRT(2*g_)*MAX(G16-TC_Z,0)^1.5</f>
        <v>0</v>
      </c>
      <c r="I16" s="43" t="n">
        <f aca="false">IF($F$4=2,0,SC_s*(1-0.2*(SC_xmb+(SC_n-1)*SC_xmt)*MAX(G16-SC_Z,0)/(SC_n*SC_b))*SC_m*SC_n*SC_b*SQRT(2*g_)*MAX(G16-SC_Z,0)^1.5)</f>
        <v>0</v>
      </c>
      <c r="J16" s="40" t="n">
        <f aca="false">H16+I16</f>
        <v>0</v>
      </c>
      <c r="K16" s="23" t="n">
        <f aca="false">INDEX(QH_V,MATCH(G16,QH_Z,1))+(G16-INDEX(QH_Z,MATCH(G16,QH_Z,1)))*(INDEX(QH_V,MATCH(G16,QH_Z,1)+1)-INDEX(QH_V,MATCH(G16,QH_Z,1)))/(INDEX(QH_Z,MATCH(G16,QH_Z,1)+1)-INDEX(QH_Z,MATCH(G16,QH_Z,1)))</f>
        <v>36.4117</v>
      </c>
      <c r="L16" s="40" t="n">
        <f aca="false">K16*1000000/dt_s+J16/2</f>
        <v>10114.3611111111</v>
      </c>
    </row>
    <row r="17" customFormat="false" ht="15" hidden="false" customHeight="false" outlineLevel="0" collapsed="false">
      <c r="A17" s="14" t="n">
        <v>1</v>
      </c>
      <c r="B17" s="40" t="n">
        <f aca="false">IFERROR(INDEX(Lu_Q,MATCH(A17,Lu_t,0),$C$4),0)</f>
        <v>2</v>
      </c>
      <c r="C17" s="40" t="n">
        <f aca="false">(B16+B17)/2</f>
        <v>2</v>
      </c>
      <c r="D17" s="40" t="n">
        <f aca="false">L16</f>
        <v>10114.3611111111</v>
      </c>
      <c r="E17" s="40" t="n">
        <f aca="false">J16</f>
        <v>0</v>
      </c>
      <c r="F17" s="40" t="n">
        <f aca="false">D17+C17-E17</f>
        <v>10116.3611111111</v>
      </c>
      <c r="G17" s="41" t="n">
        <f aca="false">INDEX(QH_Z,MATCH(F17,INDEX(QH_f,0,$F$4),1))+(F17-INDEX(QH_f,MATCH(F17,INDEX(QH_f,0,$F$4),1),$F$4))*(INDEX(QH_Z,MATCH(F17,INDEX(QH_f,0,$F$4),1)+1)-INDEX(QH_Z,MATCH(F17,INDEX(QH_f,0,$F$4),1)))/(INDEX(QH_f,MATCH(F17,INDEX(QH_f,0,$F$4),1)+1,$F$4)-INDEX(QH_f,MATCH(F17,INDEX(QH_f,0,$F$4),1),$F$4))</f>
        <v>74.7011477676436</v>
      </c>
      <c r="H17" s="42" t="n">
        <f aca="false">TC_s*(1-0.2*(TC_xmb+(TC_n-1)*TC_xmt)*MAX(G17-TC_Z,0)/(TC_n*TC_b))*TC_m*TC_n*TC_b*SQRT(2*g_)*MAX(G17-TC_Z,0)^1.5</f>
        <v>0.00167408261279184</v>
      </c>
      <c r="I17" s="43" t="n">
        <f aca="false">IF($F$4=2,0,SC_s*(1-0.2*(SC_xmb+(SC_n-1)*SC_xmt)*MAX(G17-SC_Z,0)/(SC_n*SC_b))*SC_m*SC_n*SC_b*SQRT(2*g_)*MAX(G17-SC_Z,0)^1.5)</f>
        <v>0</v>
      </c>
      <c r="J17" s="40" t="n">
        <f aca="false">H17+I17</f>
        <v>0.00167408261279184</v>
      </c>
      <c r="K17" s="23" t="n">
        <f aca="false">INDEX(QH_V,MATCH(G17,QH_Z,1))+(G17-INDEX(QH_Z,MATCH(G17,QH_Z,1)))*(INDEX(QH_V,MATCH(G17,QH_Z,1)+1)-INDEX(QH_V,MATCH(G17,QH_Z,1)))/(INDEX(QH_Z,MATCH(G17,QH_Z,1)+1)-INDEX(QH_Z,MATCH(G17,QH_Z,1)))</f>
        <v>36.4188911086174</v>
      </c>
      <c r="L17" s="40" t="n">
        <f aca="false">K17*1000000/dt_s+J17/2</f>
        <v>10116.3594783239</v>
      </c>
    </row>
    <row r="18" customFormat="false" ht="15" hidden="false" customHeight="false" outlineLevel="0" collapsed="false">
      <c r="A18" s="14" t="n">
        <v>2</v>
      </c>
      <c r="B18" s="40" t="n">
        <f aca="false">IFERROR(INDEX(Lu_Q,MATCH(A18,Lu_t,0),$C$4),0)</f>
        <v>50</v>
      </c>
      <c r="C18" s="40" t="n">
        <f aca="false">(B17+B18)/2</f>
        <v>26</v>
      </c>
      <c r="D18" s="40" t="n">
        <f aca="false">L17</f>
        <v>10116.3594783239</v>
      </c>
      <c r="E18" s="40" t="n">
        <f aca="false">J17</f>
        <v>0.00167408261279184</v>
      </c>
      <c r="F18" s="40" t="n">
        <f aca="false">D18+C18-E18</f>
        <v>10142.3578042413</v>
      </c>
      <c r="G18" s="41" t="n">
        <f aca="false">INDEX(QH_Z,MATCH(F18,INDEX(QH_f,0,$F$4),1))+(F18-INDEX(QH_f,MATCH(F18,INDEX(QH_f,0,$F$4),1),$F$4))*(INDEX(QH_Z,MATCH(F18,INDEX(QH_f,0,$F$4),1)+1)-INDEX(QH_Z,MATCH(F18,INDEX(QH_f,0,$F$4),1)))/(INDEX(QH_f,MATCH(F18,INDEX(QH_f,0,$F$4),1)+1,$F$4)-INDEX(QH_f,MATCH(F18,INDEX(QH_f,0,$F$4),1),$F$4))</f>
        <v>74.7160542940645</v>
      </c>
      <c r="H18" s="42" t="n">
        <f aca="false">TC_s*(1-0.2*(TC_xmb+(TC_n-1)*TC_xmt)*MAX(G18-TC_Z,0)/(TC_n*TC_b))*TC_m*TC_n*TC_b*SQRT(2*g_)*MAX(G18-TC_Z,0)^1.5</f>
        <v>0.0875235445777328</v>
      </c>
      <c r="I18" s="43" t="n">
        <f aca="false">IF($F$4=2,0,SC_s*(1-0.2*(SC_xmb+(SC_n-1)*SC_xmt)*MAX(G18-SC_Z,0)/(SC_n*SC_b))*SC_m*SC_n*SC_b*SQRT(2*g_)*MAX(G18-SC_Z,0)^1.5)</f>
        <v>0</v>
      </c>
      <c r="J18" s="40" t="n">
        <f aca="false">H18+I18</f>
        <v>0.0875235445777328</v>
      </c>
      <c r="K18" s="23" t="n">
        <f aca="false">INDEX(QH_V,MATCH(G18,QH_Z,1))+(G18-INDEX(QH_Z,MATCH(G18,QH_Z,1)))*(INDEX(QH_V,MATCH(G18,QH_Z,1)+1)-INDEX(QH_V,MATCH(G18,QH_Z,1)))/(INDEX(QH_Z,MATCH(G18,QH_Z,1)+1)-INDEX(QH_Z,MATCH(G18,QH_Z,1)))</f>
        <v>36.512324926943</v>
      </c>
      <c r="L18" s="40" t="n">
        <f aca="false">K18*1000000/dt_s+J18/2</f>
        <v>10142.3562414787</v>
      </c>
    </row>
    <row r="19" customFormat="false" ht="15" hidden="false" customHeight="false" outlineLevel="0" collapsed="false">
      <c r="A19" s="14" t="n">
        <v>3</v>
      </c>
      <c r="B19" s="40" t="n">
        <f aca="false">IFERROR(INDEX(Lu_Q,MATCH(A19,Lu_t,0),$C$4),0)</f>
        <v>207</v>
      </c>
      <c r="C19" s="40" t="n">
        <f aca="false">(B18+B19)/2</f>
        <v>128.5</v>
      </c>
      <c r="D19" s="40" t="n">
        <f aca="false">L18</f>
        <v>10142.3562414787</v>
      </c>
      <c r="E19" s="40" t="n">
        <f aca="false">J18</f>
        <v>0.0875235445777328</v>
      </c>
      <c r="F19" s="40" t="n">
        <f aca="false">D19+C19-E19</f>
        <v>10270.7687179341</v>
      </c>
      <c r="G19" s="41" t="n">
        <f aca="false">INDEX(QH_Z,MATCH(F19,INDEX(QH_f,0,$F$4),1))+(F19-INDEX(QH_f,MATCH(F19,INDEX(QH_f,0,$F$4),1),$F$4))*(INDEX(QH_Z,MATCH(F19,INDEX(QH_f,0,$F$4),1)+1)-INDEX(QH_Z,MATCH(F19,INDEX(QH_f,0,$F$4),1)))/(INDEX(QH_f,MATCH(F19,INDEX(QH_f,0,$F$4),1)+1,$F$4)-INDEX(QH_f,MATCH(F19,INDEX(QH_f,0,$F$4),1),$F$4))</f>
        <v>74.7891702262675</v>
      </c>
      <c r="H19" s="42" t="n">
        <f aca="false">TC_s*(1-0.2*(TC_xmb+(TC_n-1)*TC_xmt)*MAX(G19-TC_Z,0)/(TC_n*TC_b))*TC_m*TC_n*TC_b*SQRT(2*g_)*MAX(G19-TC_Z,0)^1.5</f>
        <v>1.14235464488194</v>
      </c>
      <c r="I19" s="43" t="n">
        <f aca="false">IF($F$4=2,0,SC_s*(1-0.2*(SC_xmb+(SC_n-1)*SC_xmt)*MAX(G19-SC_Z,0)/(SC_n*SC_b))*SC_m*SC_n*SC_b*SQRT(2*g_)*MAX(G19-SC_Z,0)^1.5)</f>
        <v>0</v>
      </c>
      <c r="J19" s="40" t="n">
        <f aca="false">H19+I19</f>
        <v>1.14235464488194</v>
      </c>
      <c r="K19" s="23" t="n">
        <f aca="false">INDEX(QH_V,MATCH(G19,QH_Z,1))+(G19-INDEX(QH_Z,MATCH(G19,QH_Z,1)))*(INDEX(QH_V,MATCH(G19,QH_Z,1)+1)-INDEX(QH_V,MATCH(G19,QH_Z,1)))/(INDEX(QH_Z,MATCH(G19,QH_Z,1)+1)-INDEX(QH_Z,MATCH(G19,QH_Z,1)))</f>
        <v>36.9727104065805</v>
      </c>
      <c r="L19" s="40" t="n">
        <f aca="false">K19*1000000/dt_s+J19/2</f>
        <v>10270.7685124837</v>
      </c>
    </row>
    <row r="20" customFormat="false" ht="15" hidden="false" customHeight="false" outlineLevel="0" collapsed="false">
      <c r="A20" s="14" t="n">
        <v>4</v>
      </c>
      <c r="B20" s="40" t="n">
        <f aca="false">IFERROR(INDEX(Lu_Q,MATCH(A20,Lu_t,0),$C$4),0)</f>
        <v>437</v>
      </c>
      <c r="C20" s="40" t="n">
        <f aca="false">(B19+B20)/2</f>
        <v>322</v>
      </c>
      <c r="D20" s="40" t="n">
        <f aca="false">L19</f>
        <v>10270.7685124837</v>
      </c>
      <c r="E20" s="40" t="n">
        <f aca="false">J19</f>
        <v>1.14235464488194</v>
      </c>
      <c r="F20" s="40" t="n">
        <f aca="false">D20+C20-E20</f>
        <v>10591.6261578388</v>
      </c>
      <c r="G20" s="41" t="n">
        <f aca="false">INDEX(QH_Z,MATCH(F20,INDEX(QH_f,0,$F$4),1))+(F20-INDEX(QH_f,MATCH(F20,INDEX(QH_f,0,$F$4),1),$F$4))*(INDEX(QH_Z,MATCH(F20,INDEX(QH_f,0,$F$4),1)+1)-INDEX(QH_Z,MATCH(F20,INDEX(QH_f,0,$F$4),1)))/(INDEX(QH_f,MATCH(F20,INDEX(QH_f,0,$F$4),1)+1,$F$4)-INDEX(QH_f,MATCH(F20,INDEX(QH_f,0,$F$4),1),$F$4))</f>
        <v>74.9688610038549</v>
      </c>
      <c r="H20" s="42" t="n">
        <f aca="false">TC_s*(1-0.2*(TC_xmb+(TC_n-1)*TC_xmt)*MAX(G20-TC_Z,0)/(TC_n*TC_b))*TC_m*TC_n*TC_b*SQRT(2*g_)*MAX(G20-TC_Z,0)^1.5</f>
        <v>5.93790790426564</v>
      </c>
      <c r="I20" s="43" t="n">
        <f aca="false">IF($F$4=2,0,SC_s*(1-0.2*(SC_xmb+(SC_n-1)*SC_xmt)*MAX(G20-SC_Z,0)/(SC_n*SC_b))*SC_m*SC_n*SC_b*SQRT(2*g_)*MAX(G20-SC_Z,0)^1.5)</f>
        <v>0</v>
      </c>
      <c r="J20" s="40" t="n">
        <f aca="false">H20+I20</f>
        <v>5.93790790426564</v>
      </c>
      <c r="K20" s="23" t="n">
        <f aca="false">INDEX(QH_V,MATCH(G20,QH_Z,1))+(G20-INDEX(QH_Z,MATCH(G20,QH_Z,1)))*(INDEX(QH_V,MATCH(G20,QH_Z,1)+1)-INDEX(QH_V,MATCH(G20,QH_Z,1)))/(INDEX(QH_Z,MATCH(G20,QH_Z,1)+1)-INDEX(QH_Z,MATCH(G20,QH_Z,1)))</f>
        <v>38.1191653957135</v>
      </c>
      <c r="L20" s="40" t="n">
        <f aca="false">K20*1000000/dt_s+J20/2</f>
        <v>10591.626008317</v>
      </c>
    </row>
    <row r="21" customFormat="false" ht="15" hidden="false" customHeight="false" outlineLevel="0" collapsed="false">
      <c r="A21" s="14" t="n">
        <v>5</v>
      </c>
      <c r="B21" s="40" t="n">
        <f aca="false">IFERROR(INDEX(Lu_Q,MATCH(A21,Lu_t,0),$C$4),0)</f>
        <v>657</v>
      </c>
      <c r="C21" s="40" t="n">
        <f aca="false">(B20+B21)/2</f>
        <v>547</v>
      </c>
      <c r="D21" s="40" t="n">
        <f aca="false">L20</f>
        <v>10591.626008317</v>
      </c>
      <c r="E21" s="40" t="n">
        <f aca="false">J20</f>
        <v>5.93790790426564</v>
      </c>
      <c r="F21" s="40" t="n">
        <f aca="false">D21+C21-E21</f>
        <v>11132.6881004127</v>
      </c>
      <c r="G21" s="41" t="n">
        <f aca="false">INDEX(QH_Z,MATCH(F21,INDEX(QH_f,0,$F$4),1))+(F21-INDEX(QH_f,MATCH(F21,INDEX(QH_f,0,$F$4),1),$F$4))*(INDEX(QH_Z,MATCH(F21,INDEX(QH_f,0,$F$4),1)+1)-INDEX(QH_Z,MATCH(F21,INDEX(QH_f,0,$F$4),1)))/(INDEX(QH_f,MATCH(F21,INDEX(QH_f,0,$F$4),1)+1,$F$4)-INDEX(QH_f,MATCH(F21,INDEX(QH_f,0,$F$4),1),$F$4))</f>
        <v>75.2647221279724</v>
      </c>
      <c r="H21" s="42" t="n">
        <f aca="false">TC_s*(1-0.2*(TC_xmb+(TC_n-1)*TC_xmt)*MAX(G21-TC_Z,0)/(TC_n*TC_b))*TC_m*TC_n*TC_b*SQRT(2*g_)*MAX(G21-TC_Z,0)^1.5</f>
        <v>17.8604218679597</v>
      </c>
      <c r="I21" s="43" t="n">
        <f aca="false">IF($F$4=2,0,SC_s*(1-0.2*(SC_xmb+(SC_n-1)*SC_xmt)*MAX(G21-SC_Z,0)/(SC_n*SC_b))*SC_m*SC_n*SC_b*SQRT(2*g_)*MAX(G21-SC_Z,0)^1.5)</f>
        <v>0</v>
      </c>
      <c r="J21" s="40" t="n">
        <f aca="false">H21+I21</f>
        <v>17.8604218679597</v>
      </c>
      <c r="K21" s="23" t="n">
        <f aca="false">INDEX(QH_V,MATCH(G21,QH_Z,1))+(G21-INDEX(QH_Z,MATCH(G21,QH_Z,1)))*(INDEX(QH_V,MATCH(G21,QH_Z,1)+1)-INDEX(QH_V,MATCH(G21,QH_Z,1)))/(INDEX(QH_Z,MATCH(G21,QH_Z,1)+1)-INDEX(QH_Z,MATCH(G21,QH_Z,1)))</f>
        <v>40.0455275468229</v>
      </c>
      <c r="L21" s="40" t="n">
        <f aca="false">K21*1000000/dt_s+J21/2</f>
        <v>11132.6878628292</v>
      </c>
    </row>
    <row r="22" customFormat="false" ht="15" hidden="false" customHeight="false" outlineLevel="0" collapsed="false">
      <c r="A22" s="14" t="n">
        <v>6</v>
      </c>
      <c r="B22" s="40" t="n">
        <f aca="false">IFERROR(INDEX(Lu_Q,MATCH(A22,Lu_t,0),$C$4),0)</f>
        <v>816</v>
      </c>
      <c r="C22" s="40" t="n">
        <f aca="false">(B21+B22)/2</f>
        <v>736.5</v>
      </c>
      <c r="D22" s="40" t="n">
        <f aca="false">L21</f>
        <v>11132.6878628292</v>
      </c>
      <c r="E22" s="40" t="n">
        <f aca="false">J21</f>
        <v>17.8604218679597</v>
      </c>
      <c r="F22" s="40" t="n">
        <f aca="false">D22+C22-E22</f>
        <v>11851.3274409613</v>
      </c>
      <c r="G22" s="41" t="n">
        <f aca="false">INDEX(QH_Z,MATCH(F22,INDEX(QH_f,0,$F$4),1))+(F22-INDEX(QH_f,MATCH(F22,INDEX(QH_f,0,$F$4),1),$F$4))*(INDEX(QH_Z,MATCH(F22,INDEX(QH_f,0,$F$4),1)+1)-INDEX(QH_Z,MATCH(F22,INDEX(QH_f,0,$F$4),1)))/(INDEX(QH_f,MATCH(F22,INDEX(QH_f,0,$F$4),1)+1,$F$4)-INDEX(QH_f,MATCH(F22,INDEX(QH_f,0,$F$4),1),$F$4))</f>
        <v>75.6476326666395</v>
      </c>
      <c r="H22" s="42" t="n">
        <f aca="false">TC_s*(1-0.2*(TC_xmb+(TC_n-1)*TC_xmt)*MAX(G22-TC_Z,0)/(TC_n*TC_b))*TC_m*TC_n*TC_b*SQRT(2*g_)*MAX(G22-TC_Z,0)^1.5</f>
        <v>38.2184288414347</v>
      </c>
      <c r="I22" s="43" t="n">
        <f aca="false">IF($F$4=2,0,SC_s*(1-0.2*(SC_xmb+(SC_n-1)*SC_xmt)*MAX(G22-SC_Z,0)/(SC_n*SC_b))*SC_m*SC_n*SC_b*SQRT(2*g_)*MAX(G22-SC_Z,0)^1.5)</f>
        <v>0</v>
      </c>
      <c r="J22" s="40" t="n">
        <f aca="false">H22+I22</f>
        <v>38.2184288414347</v>
      </c>
      <c r="K22" s="23" t="n">
        <f aca="false">INDEX(QH_V,MATCH(G22,QH_Z,1))+(G22-INDEX(QH_Z,MATCH(G22,QH_Z,1)))*(INDEX(QH_V,MATCH(G22,QH_Z,1)+1)-INDEX(QH_V,MATCH(G22,QH_Z,1)))/(INDEX(QH_Z,MATCH(G22,QH_Z,1)+1)-INDEX(QH_Z,MATCH(G22,QH_Z,1)))</f>
        <v>42.5959851772832</v>
      </c>
      <c r="L22" s="40" t="n">
        <f aca="false">K22*1000000/dt_s+J22/2</f>
        <v>11851.3273192216</v>
      </c>
    </row>
    <row r="23" customFormat="false" ht="15" hidden="false" customHeight="false" outlineLevel="0" collapsed="false">
      <c r="A23" s="14" t="n">
        <v>7</v>
      </c>
      <c r="B23" s="40" t="n">
        <f aca="false">IFERROR(INDEX(Lu_Q,MATCH(A23,Lu_t,0),$C$4),0)</f>
        <v>898</v>
      </c>
      <c r="C23" s="40" t="n">
        <f aca="false">(B22+B23)/2</f>
        <v>857</v>
      </c>
      <c r="D23" s="40" t="n">
        <f aca="false">L22</f>
        <v>11851.3273192216</v>
      </c>
      <c r="E23" s="40" t="n">
        <f aca="false">J22</f>
        <v>38.2184288414347</v>
      </c>
      <c r="F23" s="40" t="n">
        <f aca="false">D23+C23-E23</f>
        <v>12670.1088903802</v>
      </c>
      <c r="G23" s="41" t="n">
        <f aca="false">INDEX(QH_Z,MATCH(F23,INDEX(QH_f,0,$F$4),1))+(F23-INDEX(QH_f,MATCH(F23,INDEX(QH_f,0,$F$4),1),$F$4))*(INDEX(QH_Z,MATCH(F23,INDEX(QH_f,0,$F$4),1)+1)-INDEX(QH_Z,MATCH(F23,INDEX(QH_f,0,$F$4),1)))/(INDEX(QH_f,MATCH(F23,INDEX(QH_f,0,$F$4),1)+1,$F$4)-INDEX(QH_f,MATCH(F23,INDEX(QH_f,0,$F$4),1),$F$4))</f>
        <v>76.0715117044191</v>
      </c>
      <c r="H23" s="42" t="n">
        <f aca="false">TC_s*(1-0.2*(TC_xmb+(TC_n-1)*TC_xmt)*MAX(G23-TC_Z,0)/(TC_n*TC_b))*TC_m*TC_n*TC_b*SQRT(2*g_)*MAX(G23-TC_Z,0)^1.5</f>
        <v>65.3774026773091</v>
      </c>
      <c r="I23" s="43" t="n">
        <f aca="false">IF($F$4=2,0,SC_s*(1-0.2*(SC_xmb+(SC_n-1)*SC_xmt)*MAX(G23-SC_Z,0)/(SC_n*SC_b))*SC_m*SC_n*SC_b*SQRT(2*g_)*MAX(G23-SC_Z,0)^1.5)</f>
        <v>0</v>
      </c>
      <c r="J23" s="40" t="n">
        <f aca="false">H23+I23</f>
        <v>65.3774026773091</v>
      </c>
      <c r="K23" s="23" t="n">
        <f aca="false">INDEX(QH_V,MATCH(G23,QH_Z,1))+(G23-INDEX(QH_Z,MATCH(G23,QH_Z,1)))*(INDEX(QH_V,MATCH(G23,QH_Z,1)+1)-INDEX(QH_V,MATCH(G23,QH_Z,1)))/(INDEX(QH_Z,MATCH(G23,QH_Z,1)+1)-INDEX(QH_Z,MATCH(G23,QH_Z,1)))</f>
        <v>45.4947124494078</v>
      </c>
      <c r="L23" s="40" t="n">
        <f aca="false">K23*1000000/dt_s+J23/2</f>
        <v>12670.1088261741</v>
      </c>
    </row>
    <row r="24" customFormat="false" ht="15" hidden="false" customHeight="false" outlineLevel="0" collapsed="false">
      <c r="A24" s="14" t="n">
        <v>8</v>
      </c>
      <c r="B24" s="40" t="n">
        <f aca="false">IFERROR(INDEX(Lu_Q,MATCH(A24,Lu_t,0),$C$4),0)</f>
        <v>914</v>
      </c>
      <c r="C24" s="40" t="n">
        <f aca="false">(B23+B24)/2</f>
        <v>906</v>
      </c>
      <c r="D24" s="40" t="n">
        <f aca="false">L23</f>
        <v>12670.1088261741</v>
      </c>
      <c r="E24" s="40" t="n">
        <f aca="false">J23</f>
        <v>65.3774026773091</v>
      </c>
      <c r="F24" s="40" t="n">
        <f aca="false">D24+C24-E24</f>
        <v>13510.7314234968</v>
      </c>
      <c r="G24" s="41" t="n">
        <f aca="false">INDEX(QH_Z,MATCH(F24,INDEX(QH_f,0,$F$4),1))+(F24-INDEX(QH_f,MATCH(F24,INDEX(QH_f,0,$F$4),1),$F$4))*(INDEX(QH_Z,MATCH(F24,INDEX(QH_f,0,$F$4),1)+1)-INDEX(QH_Z,MATCH(F24,INDEX(QH_f,0,$F$4),1)))/(INDEX(QH_f,MATCH(F24,INDEX(QH_f,0,$F$4),1)+1,$F$4)-INDEX(QH_f,MATCH(F24,INDEX(QH_f,0,$F$4),1),$F$4))</f>
        <v>76.4934647433621</v>
      </c>
      <c r="H24" s="42" t="n">
        <f aca="false">TC_s*(1-0.2*(TC_xmb+(TC_n-1)*TC_xmt)*MAX(G24-TC_Z,0)/(TC_n*TC_b))*TC_m*TC_n*TC_b*SQRT(2*g_)*MAX(G24-TC_Z,0)^1.5</f>
        <v>96.0241975914148</v>
      </c>
      <c r="I24" s="43" t="n">
        <f aca="false">IF($F$4=2,0,SC_s*(1-0.2*(SC_xmb+(SC_n-1)*SC_xmt)*MAX(G24-SC_Z,0)/(SC_n*SC_b))*SC_m*SC_n*SC_b*SQRT(2*g_)*MAX(G24-SC_Z,0)^1.5)</f>
        <v>0</v>
      </c>
      <c r="J24" s="40" t="n">
        <f aca="false">H24+I24</f>
        <v>96.0241975914148</v>
      </c>
      <c r="K24" s="23" t="n">
        <f aca="false">INDEX(QH_V,MATCH(G24,QH_Z,1))+(G24-INDEX(QH_Z,MATCH(G24,QH_Z,1)))*(INDEX(QH_V,MATCH(G24,QH_Z,1)+1)-INDEX(QH_V,MATCH(G24,QH_Z,1)))/(INDEX(QH_Z,MATCH(G24,QH_Z,1)+1)-INDEX(QH_Z,MATCH(G24,QH_Z,1)))</f>
        <v>48.4657892531803</v>
      </c>
      <c r="L24" s="40" t="n">
        <f aca="false">K24*1000000/dt_s+J24/2</f>
        <v>13510.7313357902</v>
      </c>
    </row>
    <row r="25" customFormat="false" ht="15" hidden="false" customHeight="false" outlineLevel="0" collapsed="false">
      <c r="A25" s="14" t="n">
        <v>9</v>
      </c>
      <c r="B25" s="40" t="n">
        <f aca="false">IFERROR(INDEX(Lu_Q,MATCH(A25,Lu_t,0),$C$4),0)</f>
        <v>879</v>
      </c>
      <c r="C25" s="40" t="n">
        <f aca="false">(B24+B25)/2</f>
        <v>896.5</v>
      </c>
      <c r="D25" s="40" t="n">
        <f aca="false">L24</f>
        <v>13510.7313357902</v>
      </c>
      <c r="E25" s="40" t="n">
        <f aca="false">J24</f>
        <v>96.0241975914148</v>
      </c>
      <c r="F25" s="40" t="n">
        <f aca="false">D25+C25-E25</f>
        <v>14311.2071381988</v>
      </c>
      <c r="G25" s="41" t="n">
        <f aca="false">INDEX(QH_Z,MATCH(F25,INDEX(QH_f,0,$F$4),1))+(F25-INDEX(QH_f,MATCH(F25,INDEX(QH_f,0,$F$4),1),$F$4))*(INDEX(QH_Z,MATCH(F25,INDEX(QH_f,0,$F$4),1)+1)-INDEX(QH_Z,MATCH(F25,INDEX(QH_f,0,$F$4),1)))/(INDEX(QH_f,MATCH(F25,INDEX(QH_f,0,$F$4),1)+1,$F$4)-INDEX(QH_f,MATCH(F25,INDEX(QH_f,0,$F$4),1),$F$4))</f>
        <v>76.8835987494629</v>
      </c>
      <c r="H25" s="42" t="n">
        <f aca="false">TC_s*(1-0.2*(TC_xmb+(TC_n-1)*TC_xmt)*MAX(G25-TC_Z,0)/(TC_n*TC_b))*TC_m*TC_n*TC_b*SQRT(2*g_)*MAX(G25-TC_Z,0)^1.5</f>
        <v>126.845346450615</v>
      </c>
      <c r="I25" s="43" t="n">
        <f aca="false">IF($F$4=2,0,SC_s*(1-0.2*(SC_xmb+(SC_n-1)*SC_xmt)*MAX(G25-SC_Z,0)/(SC_n*SC_b))*SC_m*SC_n*SC_b*SQRT(2*g_)*MAX(G25-SC_Z,0)^1.5)</f>
        <v>0</v>
      </c>
      <c r="J25" s="40" t="n">
        <f aca="false">H25+I25</f>
        <v>126.845346450615</v>
      </c>
      <c r="K25" s="23" t="n">
        <f aca="false">INDEX(QH_V,MATCH(G25,QH_Z,1))+(G25-INDEX(QH_Z,MATCH(G25,QH_Z,1)))*(INDEX(QH_V,MATCH(G25,QH_Z,1)+1)-INDEX(QH_V,MATCH(G25,QH_Z,1)))/(INDEX(QH_Z,MATCH(G25,QH_Z,1)+1)-INDEX(QH_Z,MATCH(G25,QH_Z,1)))</f>
        <v>51.2920238179313</v>
      </c>
      <c r="L25" s="40" t="n">
        <f aca="false">K25*1000000/dt_s+J25/2</f>
        <v>14311.2070670951</v>
      </c>
    </row>
    <row r="26" customFormat="false" ht="15" hidden="false" customHeight="false" outlineLevel="0" collapsed="false">
      <c r="A26" s="14" t="n">
        <v>10</v>
      </c>
      <c r="B26" s="40" t="n">
        <f aca="false">IFERROR(INDEX(Lu_Q,MATCH(A26,Lu_t,0),$C$4),0)</f>
        <v>812</v>
      </c>
      <c r="C26" s="40" t="n">
        <f aca="false">(B25+B26)/2</f>
        <v>845.5</v>
      </c>
      <c r="D26" s="40" t="n">
        <f aca="false">L25</f>
        <v>14311.2070670951</v>
      </c>
      <c r="E26" s="40" t="n">
        <f aca="false">J25</f>
        <v>126.845346450615</v>
      </c>
      <c r="F26" s="40" t="n">
        <f aca="false">D26+C26-E26</f>
        <v>15029.8617206445</v>
      </c>
      <c r="G26" s="41" t="n">
        <f aca="false">INDEX(QH_Z,MATCH(F26,INDEX(QH_f,0,$F$4),1))+(F26-INDEX(QH_f,MATCH(F26,INDEX(QH_f,0,$F$4),1),$F$4))*(INDEX(QH_Z,MATCH(F26,INDEX(QH_f,0,$F$4),1)+1)-INDEX(QH_Z,MATCH(F26,INDEX(QH_f,0,$F$4),1)))/(INDEX(QH_f,MATCH(F26,INDEX(QH_f,0,$F$4),1)+1,$F$4)-INDEX(QH_f,MATCH(F26,INDEX(QH_f,0,$F$4),1),$F$4))</f>
        <v>77.2249873962702</v>
      </c>
      <c r="H26" s="42" t="n">
        <f aca="false">TC_s*(1-0.2*(TC_xmb+(TC_n-1)*TC_xmt)*MAX(G26-TC_Z,0)/(TC_n*TC_b))*TC_m*TC_n*TC_b*SQRT(2*g_)*MAX(G26-TC_Z,0)^1.5</f>
        <v>155.37829489135</v>
      </c>
      <c r="I26" s="43" t="n">
        <f aca="false">IF($F$4=2,0,SC_s*(1-0.2*(SC_xmb+(SC_n-1)*SC_xmt)*MAX(G26-SC_Z,0)/(SC_n*SC_b))*SC_m*SC_n*SC_b*SQRT(2*g_)*MAX(G26-SC_Z,0)^1.5)</f>
        <v>0</v>
      </c>
      <c r="J26" s="40" t="n">
        <f aca="false">H26+I26</f>
        <v>155.37829489135</v>
      </c>
      <c r="K26" s="23" t="n">
        <f aca="false">INDEX(QH_V,MATCH(G26,QH_Z,1))+(G26-INDEX(QH_Z,MATCH(G26,QH_Z,1)))*(INDEX(QH_V,MATCH(G26,QH_Z,1)+1)-INDEX(QH_V,MATCH(G26,QH_Z,1)))/(INDEX(QH_Z,MATCH(G26,QH_Z,1)+1)-INDEX(QH_Z,MATCH(G26,QH_Z,1)))</f>
        <v>53.8278210361218</v>
      </c>
      <c r="L26" s="40" t="n">
        <f aca="false">K26*1000000/dt_s+J26/2</f>
        <v>15029.8616574795</v>
      </c>
    </row>
    <row r="27" customFormat="false" ht="15" hidden="false" customHeight="false" outlineLevel="0" collapsed="false">
      <c r="A27" s="14" t="n">
        <v>11</v>
      </c>
      <c r="B27" s="40" t="n">
        <f aca="false">IFERROR(INDEX(Lu_Q,MATCH(A27,Lu_t,0),$C$4),0)</f>
        <v>727</v>
      </c>
      <c r="C27" s="40" t="n">
        <f aca="false">(B26+B27)/2</f>
        <v>769.5</v>
      </c>
      <c r="D27" s="40" t="n">
        <f aca="false">L26</f>
        <v>15029.8616574795</v>
      </c>
      <c r="E27" s="40" t="n">
        <f aca="false">J26</f>
        <v>155.37829489135</v>
      </c>
      <c r="F27" s="40" t="n">
        <f aca="false">D27+C27-E27</f>
        <v>15643.9833625881</v>
      </c>
      <c r="G27" s="41" t="n">
        <f aca="false">INDEX(QH_Z,MATCH(F27,INDEX(QH_f,0,$F$4),1))+(F27-INDEX(QH_f,MATCH(F27,INDEX(QH_f,0,$F$4),1),$F$4))*(INDEX(QH_Z,MATCH(F27,INDEX(QH_f,0,$F$4),1)+1)-INDEX(QH_Z,MATCH(F27,INDEX(QH_f,0,$F$4),1)))/(INDEX(QH_f,MATCH(F27,INDEX(QH_f,0,$F$4),1)+1,$F$4)-INDEX(QH_f,MATCH(F27,INDEX(QH_f,0,$F$4),1),$F$4))</f>
        <v>77.5104870956193</v>
      </c>
      <c r="H27" s="42" t="n">
        <f aca="false">TC_s*(1-0.2*(TC_xmb+(TC_n-1)*TC_xmt)*MAX(G27-TC_Z,0)/(TC_n*TC_b))*TC_m*TC_n*TC_b*SQRT(2*g_)*MAX(G27-TC_Z,0)^1.5</f>
        <v>180.156737085075</v>
      </c>
      <c r="I27" s="43" t="n">
        <f aca="false">IF($F$4=2,0,SC_s*(1-0.2*(SC_xmb+(SC_n-1)*SC_xmt)*MAX(G27-SC_Z,0)/(SC_n*SC_b))*SC_m*SC_n*SC_b*SQRT(2*g_)*MAX(G27-SC_Z,0)^1.5)</f>
        <v>0</v>
      </c>
      <c r="J27" s="40" t="n">
        <f aca="false">H27+I27</f>
        <v>180.156737085075</v>
      </c>
      <c r="K27" s="23" t="n">
        <f aca="false">INDEX(QH_V,MATCH(G27,QH_Z,1))+(G27-INDEX(QH_Z,MATCH(G27,QH_Z,1)))*(INDEX(QH_V,MATCH(G27,QH_Z,1)+1)-INDEX(QH_V,MATCH(G27,QH_Z,1)))/(INDEX(QH_Z,MATCH(G27,QH_Z,1)+1)-INDEX(QH_Z,MATCH(G27,QH_Z,1)))</f>
        <v>55.9940579432472</v>
      </c>
      <c r="L27" s="40" t="n">
        <f aca="false">K27*1000000/dt_s+J27/2</f>
        <v>15643.9833527779</v>
      </c>
    </row>
    <row r="28" customFormat="false" ht="15" hidden="false" customHeight="false" outlineLevel="0" collapsed="false">
      <c r="A28" s="14" t="n">
        <v>12</v>
      </c>
      <c r="B28" s="40" t="n">
        <f aca="false">IFERROR(INDEX(Lu_Q,MATCH(A28,Lu_t,0),$C$4),0)</f>
        <v>636</v>
      </c>
      <c r="C28" s="40" t="n">
        <f aca="false">(B27+B28)/2</f>
        <v>681.5</v>
      </c>
      <c r="D28" s="40" t="n">
        <f aca="false">L27</f>
        <v>15643.9833527779</v>
      </c>
      <c r="E28" s="40" t="n">
        <f aca="false">J27</f>
        <v>180.156737085075</v>
      </c>
      <c r="F28" s="40" t="n">
        <f aca="false">D28+C28-E28</f>
        <v>16145.3266156928</v>
      </c>
      <c r="G28" s="41" t="n">
        <f aca="false">INDEX(QH_Z,MATCH(F28,INDEX(QH_f,0,$F$4),1))+(F28-INDEX(QH_f,MATCH(F28,INDEX(QH_f,0,$F$4),1),$F$4))*(INDEX(QH_Z,MATCH(F28,INDEX(QH_f,0,$F$4),1)+1)-INDEX(QH_Z,MATCH(F28,INDEX(QH_f,0,$F$4),1)))/(INDEX(QH_f,MATCH(F28,INDEX(QH_f,0,$F$4),1)+1,$F$4)-INDEX(QH_f,MATCH(F28,INDEX(QH_f,0,$F$4),1),$F$4))</f>
        <v>77.7395572726729</v>
      </c>
      <c r="H28" s="42" t="n">
        <f aca="false">TC_s*(1-0.2*(TC_xmb+(TC_n-1)*TC_xmt)*MAX(G28-TC_Z,0)/(TC_n*TC_b))*TC_m*TC_n*TC_b*SQRT(2*g_)*MAX(G28-TC_Z,0)^1.5</f>
        <v>200.544403968357</v>
      </c>
      <c r="I28" s="43" t="n">
        <f aca="false">IF($F$4=2,0,SC_s*(1-0.2*(SC_xmb+(SC_n-1)*SC_xmt)*MAX(G28-SC_Z,0)/(SC_n*SC_b))*SC_m*SC_n*SC_b*SQRT(2*g_)*MAX(G28-SC_Z,0)^1.5)</f>
        <v>0</v>
      </c>
      <c r="J28" s="40" t="n">
        <f aca="false">H28+I28</f>
        <v>200.544403968357</v>
      </c>
      <c r="K28" s="23" t="n">
        <f aca="false">INDEX(QH_V,MATCH(G28,QH_Z,1))+(G28-INDEX(QH_Z,MATCH(G28,QH_Z,1)))*(INDEX(QH_V,MATCH(G28,QH_Z,1)+1)-INDEX(QH_V,MATCH(G28,QH_Z,1)))/(INDEX(QH_Z,MATCH(G28,QH_Z,1)+1)-INDEX(QH_Z,MATCH(G28,QH_Z,1)))</f>
        <v>57.7621958614412</v>
      </c>
      <c r="L28" s="40" t="n">
        <f aca="false">K28*1000000/dt_s+J28/2</f>
        <v>16145.3266079401</v>
      </c>
    </row>
    <row r="29" customFormat="false" ht="15" hidden="false" customHeight="false" outlineLevel="0" collapsed="false">
      <c r="A29" s="14" t="n">
        <v>13</v>
      </c>
      <c r="B29" s="40" t="n">
        <f aca="false">IFERROR(INDEX(Lu_Q,MATCH(A29,Lu_t,0),$C$4),0)</f>
        <v>547</v>
      </c>
      <c r="C29" s="40" t="n">
        <f aca="false">(B28+B29)/2</f>
        <v>591.5</v>
      </c>
      <c r="D29" s="40" t="n">
        <f aca="false">L28</f>
        <v>16145.3266079401</v>
      </c>
      <c r="E29" s="40" t="n">
        <f aca="false">J28</f>
        <v>200.544403968357</v>
      </c>
      <c r="F29" s="40" t="n">
        <f aca="false">D29+C29-E29</f>
        <v>16536.2822039717</v>
      </c>
      <c r="G29" s="41" t="n">
        <f aca="false">INDEX(QH_Z,MATCH(F29,INDEX(QH_f,0,$F$4),1))+(F29-INDEX(QH_f,MATCH(F29,INDEX(QH_f,0,$F$4),1),$F$4))*(INDEX(QH_Z,MATCH(F29,INDEX(QH_f,0,$F$4),1)+1)-INDEX(QH_Z,MATCH(F29,INDEX(QH_f,0,$F$4),1)))/(INDEX(QH_f,MATCH(F29,INDEX(QH_f,0,$F$4),1)+1,$F$4)-INDEX(QH_f,MATCH(F29,INDEX(QH_f,0,$F$4),1),$F$4))</f>
        <v>77.9158165541477</v>
      </c>
      <c r="H29" s="42" t="n">
        <f aca="false">TC_s*(1-0.2*(TC_xmb+(TC_n-1)*TC_xmt)*MAX(G29-TC_Z,0)/(TC_n*TC_b))*TC_m*TC_n*TC_b*SQRT(2*g_)*MAX(G29-TC_Z,0)^1.5</f>
        <v>216.496387037317</v>
      </c>
      <c r="I29" s="43" t="n">
        <f aca="false">IF($F$4=2,0,SC_s*(1-0.2*(SC_xmb+(SC_n-1)*SC_xmt)*MAX(G29-SC_Z,0)/(SC_n*SC_b))*SC_m*SC_n*SC_b*SQRT(2*g_)*MAX(G29-SC_Z,0)^1.5)</f>
        <v>0</v>
      </c>
      <c r="J29" s="40" t="n">
        <f aca="false">H29+I29</f>
        <v>216.496387037317</v>
      </c>
      <c r="K29" s="23" t="n">
        <f aca="false">INDEX(QH_V,MATCH(G29,QH_Z,1))+(G29-INDEX(QH_Z,MATCH(G29,QH_Z,1)))*(INDEX(QH_V,MATCH(G29,QH_Z,1)+1)-INDEX(QH_V,MATCH(G29,QH_Z,1)))/(INDEX(QH_Z,MATCH(G29,QH_Z,1)+1)-INDEX(QH_Z,MATCH(G29,QH_Z,1)))</f>
        <v>59.140922295686</v>
      </c>
      <c r="L29" s="40" t="n">
        <f aca="false">K29*1000000/dt_s+J29/2</f>
        <v>16536.2821645425</v>
      </c>
    </row>
    <row r="30" customFormat="false" ht="15" hidden="false" customHeight="false" outlineLevel="0" collapsed="false">
      <c r="A30" s="14" t="n">
        <v>14</v>
      </c>
      <c r="B30" s="40" t="n">
        <f aca="false">IFERROR(INDEX(Lu_Q,MATCH(A30,Lu_t,0),$C$4),0)</f>
        <v>461</v>
      </c>
      <c r="C30" s="40" t="n">
        <f aca="false">(B29+B30)/2</f>
        <v>504</v>
      </c>
      <c r="D30" s="40" t="n">
        <f aca="false">L29</f>
        <v>16536.2821645425</v>
      </c>
      <c r="E30" s="40" t="n">
        <f aca="false">J29</f>
        <v>216.496387037317</v>
      </c>
      <c r="F30" s="40" t="n">
        <f aca="false">D30+C30-E30</f>
        <v>16823.7857775052</v>
      </c>
      <c r="G30" s="41" t="n">
        <f aca="false">INDEX(QH_Z,MATCH(F30,INDEX(QH_f,0,$F$4),1))+(F30-INDEX(QH_f,MATCH(F30,INDEX(QH_f,0,$F$4),1),$F$4))*(INDEX(QH_Z,MATCH(F30,INDEX(QH_f,0,$F$4),1)+1)-INDEX(QH_Z,MATCH(F30,INDEX(QH_f,0,$F$4),1)))/(INDEX(QH_f,MATCH(F30,INDEX(QH_f,0,$F$4),1)+1,$F$4)-INDEX(QH_f,MATCH(F30,INDEX(QH_f,0,$F$4),1),$F$4))</f>
        <v>78.044157251998</v>
      </c>
      <c r="H30" s="42" t="n">
        <f aca="false">TC_s*(1-0.2*(TC_xmb+(TC_n-1)*TC_xmt)*MAX(G30-TC_Z,0)/(TC_n*TC_b))*TC_m*TC_n*TC_b*SQRT(2*g_)*MAX(G30-TC_Z,0)^1.5</f>
        <v>228.239737245373</v>
      </c>
      <c r="I30" s="43" t="n">
        <f aca="false">IF($F$4=2,0,SC_s*(1-0.2*(SC_xmb+(SC_n-1)*SC_xmt)*MAX(G30-SC_Z,0)/(SC_n*SC_b))*SC_m*SC_n*SC_b*SQRT(2*g_)*MAX(G30-SC_Z,0)^1.5)</f>
        <v>0</v>
      </c>
      <c r="J30" s="40" t="n">
        <f aca="false">H30+I30</f>
        <v>228.239737245373</v>
      </c>
      <c r="K30" s="23" t="n">
        <f aca="false">INDEX(QH_V,MATCH(G30,QH_Z,1))+(G30-INDEX(QH_Z,MATCH(G30,QH_Z,1)))*(INDEX(QH_V,MATCH(G30,QH_Z,1)+1)-INDEX(QH_V,MATCH(G30,QH_Z,1)))/(INDEX(QH_Z,MATCH(G30,QH_Z,1)+1)-INDEX(QH_Z,MATCH(G30,QH_Z,1)))</f>
        <v>60.1547971430011</v>
      </c>
      <c r="L30" s="40" t="n">
        <f aca="false">K30*1000000/dt_s+J30/2</f>
        <v>16823.7857416785</v>
      </c>
    </row>
    <row r="31" customFormat="false" ht="15" hidden="false" customHeight="false" outlineLevel="0" collapsed="false">
      <c r="A31" s="14" t="n">
        <v>15</v>
      </c>
      <c r="B31" s="40" t="n">
        <f aca="false">IFERROR(INDEX(Lu_Q,MATCH(A31,Lu_t,0),$C$4),0)</f>
        <v>386</v>
      </c>
      <c r="C31" s="40" t="n">
        <f aca="false">(B30+B31)/2</f>
        <v>423.5</v>
      </c>
      <c r="D31" s="40" t="n">
        <f aca="false">L30</f>
        <v>16823.7857416785</v>
      </c>
      <c r="E31" s="40" t="n">
        <f aca="false">J30</f>
        <v>228.239737245373</v>
      </c>
      <c r="F31" s="40" t="n">
        <f aca="false">D31+C31-E31</f>
        <v>17019.0460044332</v>
      </c>
      <c r="G31" s="41" t="n">
        <f aca="false">INDEX(QH_Z,MATCH(F31,INDEX(QH_f,0,$F$4),1))+(F31-INDEX(QH_f,MATCH(F31,INDEX(QH_f,0,$F$4),1),$F$4))*(INDEX(QH_Z,MATCH(F31,INDEX(QH_f,0,$F$4),1)+1)-INDEX(QH_Z,MATCH(F31,INDEX(QH_f,0,$F$4),1)))/(INDEX(QH_f,MATCH(F31,INDEX(QH_f,0,$F$4),1)+1,$F$4)-INDEX(QH_f,MATCH(F31,INDEX(QH_f,0,$F$4),1),$F$4))</f>
        <v>78.130712308665</v>
      </c>
      <c r="H31" s="42" t="n">
        <f aca="false">TC_s*(1-0.2*(TC_xmb+(TC_n-1)*TC_xmt)*MAX(G31-TC_Z,0)/(TC_n*TC_b))*TC_m*TC_n*TC_b*SQRT(2*g_)*MAX(G31-TC_Z,0)^1.5</f>
        <v>236.215120841509</v>
      </c>
      <c r="I31" s="43" t="n">
        <f aca="false">IF($F$4=2,0,SC_s*(1-0.2*(SC_xmb+(SC_n-1)*SC_xmt)*MAX(G31-SC_Z,0)/(SC_n*SC_b))*SC_m*SC_n*SC_b*SQRT(2*g_)*MAX(G31-SC_Z,0)^1.5)</f>
        <v>0</v>
      </c>
      <c r="J31" s="40" t="n">
        <f aca="false">H31+I31</f>
        <v>236.215120841509</v>
      </c>
      <c r="K31" s="23" t="n">
        <f aca="false">INDEX(QH_V,MATCH(G31,QH_Z,1))+(G31-INDEX(QH_Z,MATCH(G31,QH_Z,1)))*(INDEX(QH_V,MATCH(G31,QH_Z,1)+1)-INDEX(QH_V,MATCH(G31,QH_Z,1)))/(INDEX(QH_Z,MATCH(G31,QH_Z,1)+1)-INDEX(QH_Z,MATCH(G31,QH_Z,1)))</f>
        <v>60.8433783656087</v>
      </c>
      <c r="L31" s="40" t="n">
        <f aca="false">K31*1000000/dt_s+J31/2</f>
        <v>17019.0459953121</v>
      </c>
    </row>
    <row r="32" customFormat="false" ht="15" hidden="false" customHeight="false" outlineLevel="0" collapsed="false">
      <c r="A32" s="14" t="n">
        <v>16</v>
      </c>
      <c r="B32" s="40" t="n">
        <f aca="false">IFERROR(INDEX(Lu_Q,MATCH(A32,Lu_t,0),$C$4),0)</f>
        <v>321</v>
      </c>
      <c r="C32" s="40" t="n">
        <f aca="false">(B31+B32)/2</f>
        <v>353.5</v>
      </c>
      <c r="D32" s="40" t="n">
        <f aca="false">L31</f>
        <v>17019.0459953121</v>
      </c>
      <c r="E32" s="40" t="n">
        <f aca="false">J31</f>
        <v>236.215120841509</v>
      </c>
      <c r="F32" s="40" t="n">
        <f aca="false">D32+C32-E32</f>
        <v>17136.3308744706</v>
      </c>
      <c r="G32" s="41" t="n">
        <f aca="false">INDEX(QH_Z,MATCH(F32,INDEX(QH_f,0,$F$4),1))+(F32-INDEX(QH_f,MATCH(F32,INDEX(QH_f,0,$F$4),1),$F$4))*(INDEX(QH_Z,MATCH(F32,INDEX(QH_f,0,$F$4),1)+1)-INDEX(QH_Z,MATCH(F32,INDEX(QH_f,0,$F$4),1)))/(INDEX(QH_f,MATCH(F32,INDEX(QH_f,0,$F$4),1)+1,$F$4)-INDEX(QH_f,MATCH(F32,INDEX(QH_f,0,$F$4),1),$F$4))</f>
        <v>78.1824680743475</v>
      </c>
      <c r="H32" s="42" t="n">
        <f aca="false">TC_s*(1-0.2*(TC_xmb+(TC_n-1)*TC_xmt)*MAX(G32-TC_Z,0)/(TC_n*TC_b))*TC_m*TC_n*TC_b*SQRT(2*g_)*MAX(G32-TC_Z,0)^1.5</f>
        <v>241.003979208344</v>
      </c>
      <c r="I32" s="43" t="n">
        <f aca="false">IF($F$4=2,0,SC_s*(1-0.2*(SC_xmb+(SC_n-1)*SC_xmt)*MAX(G32-SC_Z,0)/(SC_n*SC_b))*SC_m*SC_n*SC_b*SQRT(2*g_)*MAX(G32-SC_Z,0)^1.5)</f>
        <v>0</v>
      </c>
      <c r="J32" s="40" t="n">
        <f aca="false">H32+I32</f>
        <v>241.003979208344</v>
      </c>
      <c r="K32" s="23" t="n">
        <f aca="false">INDEX(QH_V,MATCH(G32,QH_Z,1))+(G32-INDEX(QH_Z,MATCH(G32,QH_Z,1)))*(INDEX(QH_V,MATCH(G32,QH_Z,1)+1)-INDEX(QH_V,MATCH(G32,QH_Z,1)))/(INDEX(QH_Z,MATCH(G32,QH_Z,1)+1)-INDEX(QH_Z,MATCH(G32,QH_Z,1)))</f>
        <v>61.2569838968408</v>
      </c>
      <c r="L32" s="40" t="n">
        <f aca="false">K32*1000000/dt_s+J32/2</f>
        <v>17136.3308498377</v>
      </c>
    </row>
    <row r="33" customFormat="false" ht="15" hidden="false" customHeight="false" outlineLevel="0" collapsed="false">
      <c r="A33" s="14" t="n">
        <v>17</v>
      </c>
      <c r="B33" s="40" t="n">
        <f aca="false">IFERROR(INDEX(Lu_Q,MATCH(A33,Lu_t,0),$C$4),0)</f>
        <v>263</v>
      </c>
      <c r="C33" s="40" t="n">
        <f aca="false">(B32+B33)/2</f>
        <v>292</v>
      </c>
      <c r="D33" s="40" t="n">
        <f aca="false">L32</f>
        <v>17136.3308498377</v>
      </c>
      <c r="E33" s="40" t="n">
        <f aca="false">J32</f>
        <v>241.003979208344</v>
      </c>
      <c r="F33" s="40" t="n">
        <f aca="false">D33+C33-E33</f>
        <v>17187.3268706294</v>
      </c>
      <c r="G33" s="41" t="n">
        <f aca="false">INDEX(QH_Z,MATCH(F33,INDEX(QH_f,0,$F$4),1))+(F33-INDEX(QH_f,MATCH(F33,INDEX(QH_f,0,$F$4),1),$F$4))*(INDEX(QH_Z,MATCH(F33,INDEX(QH_f,0,$F$4),1)+1)-INDEX(QH_Z,MATCH(F33,INDEX(QH_f,0,$F$4),1)))/(INDEX(QH_f,MATCH(F33,INDEX(QH_f,0,$F$4),1)+1,$F$4)-INDEX(QH_f,MATCH(F33,INDEX(QH_f,0,$F$4),1),$F$4))</f>
        <v>78.2049176030153</v>
      </c>
      <c r="H33" s="42" t="n">
        <f aca="false">TC_s*(1-0.2*(TC_xmb+(TC_n-1)*TC_xmt)*MAX(G33-TC_Z,0)/(TC_n*TC_b))*TC_m*TC_n*TC_b*SQRT(2*g_)*MAX(G33-TC_Z,0)^1.5</f>
        <v>243.085644816096</v>
      </c>
      <c r="I33" s="43" t="n">
        <f aca="false">IF($F$4=2,0,SC_s*(1-0.2*(SC_xmb+(SC_n-1)*SC_xmt)*MAX(G33-SC_Z,0)/(SC_n*SC_b))*SC_m*SC_n*SC_b*SQRT(2*g_)*MAX(G33-SC_Z,0)^1.5)</f>
        <v>0</v>
      </c>
      <c r="J33" s="40" t="n">
        <f aca="false">H33+I33</f>
        <v>243.085644816096</v>
      </c>
      <c r="K33" s="23" t="n">
        <f aca="false">INDEX(QH_V,MATCH(G33,QH_Z,1))+(G33-INDEX(QH_Z,MATCH(G33,QH_Z,1)))*(INDEX(QH_V,MATCH(G33,QH_Z,1)+1)-INDEX(QH_V,MATCH(G33,QH_Z,1)))/(INDEX(QH_Z,MATCH(G33,QH_Z,1)+1)-INDEX(QH_Z,MATCH(G33,QH_Z,1)))</f>
        <v>61.4368224563321</v>
      </c>
      <c r="L33" s="40" t="n">
        <f aca="false">K33*1000000/dt_s+J33/2</f>
        <v>17187.3268380559</v>
      </c>
    </row>
    <row r="34" customFormat="false" ht="15" hidden="false" customHeight="false" outlineLevel="0" collapsed="false">
      <c r="A34" s="14" t="n">
        <v>18</v>
      </c>
      <c r="B34" s="40" t="n">
        <f aca="false">IFERROR(INDEX(Lu_Q,MATCH(A34,Lu_t,0),$C$4),0)</f>
        <v>214</v>
      </c>
      <c r="C34" s="40" t="n">
        <f aca="false">(B33+B34)/2</f>
        <v>238.5</v>
      </c>
      <c r="D34" s="40" t="n">
        <f aca="false">L33</f>
        <v>17187.3268380559</v>
      </c>
      <c r="E34" s="40" t="n">
        <f aca="false">J33</f>
        <v>243.085644816096</v>
      </c>
      <c r="F34" s="40" t="n">
        <f aca="false">D34+C34-E34</f>
        <v>17182.7411932398</v>
      </c>
      <c r="G34" s="41" t="n">
        <f aca="false">INDEX(QH_Z,MATCH(F34,INDEX(QH_f,0,$F$4),1))+(F34-INDEX(QH_f,MATCH(F34,INDEX(QH_f,0,$F$4),1),$F$4))*(INDEX(QH_Z,MATCH(F34,INDEX(QH_f,0,$F$4),1)+1)-INDEX(QH_Z,MATCH(F34,INDEX(QH_f,0,$F$4),1)))/(INDEX(QH_f,MATCH(F34,INDEX(QH_f,0,$F$4),1)+1,$F$4)-INDEX(QH_f,MATCH(F34,INDEX(QH_f,0,$F$4),1),$F$4))</f>
        <v>78.2029003478177</v>
      </c>
      <c r="H34" s="42" t="n">
        <f aca="false">TC_s*(1-0.2*(TC_xmb+(TC_n-1)*TC_xmt)*MAX(G34-TC_Z,0)/(TC_n*TC_b))*TC_m*TC_n*TC_b*SQRT(2*g_)*MAX(G34-TC_Z,0)^1.5</f>
        <v>242.898483712976</v>
      </c>
      <c r="I34" s="43" t="n">
        <f aca="false">IF($F$4=2,0,SC_s*(1-0.2*(SC_xmb+(SC_n-1)*SC_xmt)*MAX(G34-SC_Z,0)/(SC_n*SC_b))*SC_m*SC_n*SC_b*SQRT(2*g_)*MAX(G34-SC_Z,0)^1.5)</f>
        <v>0</v>
      </c>
      <c r="J34" s="40" t="n">
        <f aca="false">H34+I34</f>
        <v>242.898483712976</v>
      </c>
      <c r="K34" s="23" t="n">
        <f aca="false">INDEX(QH_V,MATCH(G34,QH_Z,1))+(G34-INDEX(QH_Z,MATCH(G34,QH_Z,1)))*(INDEX(QH_V,MATCH(G34,QH_Z,1)+1)-INDEX(QH_V,MATCH(G34,QH_Z,1)))/(INDEX(QH_Z,MATCH(G34,QH_Z,1)+1)-INDEX(QH_Z,MATCH(G34,QH_Z,1)))</f>
        <v>61.4206509283155</v>
      </c>
      <c r="L34" s="40" t="n">
        <f aca="false">K34*1000000/dt_s+J34/2</f>
        <v>17182.7411663886</v>
      </c>
    </row>
    <row r="35" customFormat="false" ht="15" hidden="false" customHeight="false" outlineLevel="0" collapsed="false">
      <c r="A35" s="14" t="n">
        <v>19</v>
      </c>
      <c r="B35" s="40" t="n">
        <f aca="false">IFERROR(INDEX(Lu_Q,MATCH(A35,Lu_t,0),$C$4),0)</f>
        <v>174</v>
      </c>
      <c r="C35" s="40" t="n">
        <f aca="false">(B34+B35)/2</f>
        <v>194</v>
      </c>
      <c r="D35" s="40" t="n">
        <f aca="false">L34</f>
        <v>17182.7411663886</v>
      </c>
      <c r="E35" s="40" t="n">
        <f aca="false">J34</f>
        <v>242.898483712976</v>
      </c>
      <c r="F35" s="40" t="n">
        <f aca="false">D35+C35-E35</f>
        <v>17133.8426826756</v>
      </c>
      <c r="G35" s="41" t="n">
        <f aca="false">INDEX(QH_Z,MATCH(F35,INDEX(QH_f,0,$F$4),1))+(F35-INDEX(QH_f,MATCH(F35,INDEX(QH_f,0,$F$4),1),$F$4))*(INDEX(QH_Z,MATCH(F35,INDEX(QH_f,0,$F$4),1)+1)-INDEX(QH_Z,MATCH(F35,INDEX(QH_f,0,$F$4),1)))/(INDEX(QH_f,MATCH(F35,INDEX(QH_f,0,$F$4),1)+1,$F$4)-INDEX(QH_f,MATCH(F35,INDEX(QH_f,0,$F$4),1),$F$4))</f>
        <v>78.1813720921057</v>
      </c>
      <c r="H35" s="42" t="n">
        <f aca="false">TC_s*(1-0.2*(TC_xmb+(TC_n-1)*TC_xmt)*MAX(G35-TC_Z,0)/(TC_n*TC_b))*TC_m*TC_n*TC_b*SQRT(2*g_)*MAX(G35-TC_Z,0)^1.5</f>
        <v>240.902420736627</v>
      </c>
      <c r="I35" s="43" t="n">
        <f aca="false">IF($F$4=2,0,SC_s*(1-0.2*(SC_xmb+(SC_n-1)*SC_xmt)*MAX(G35-SC_Z,0)/(SC_n*SC_b))*SC_m*SC_n*SC_b*SQRT(2*g_)*MAX(G35-SC_Z,0)^1.5)</f>
        <v>0</v>
      </c>
      <c r="J35" s="40" t="n">
        <f aca="false">H35+I35</f>
        <v>240.902420736627</v>
      </c>
      <c r="K35" s="23" t="n">
        <f aca="false">INDEX(QH_V,MATCH(G35,QH_Z,1))+(G35-INDEX(QH_Z,MATCH(G35,QH_Z,1)))*(INDEX(QH_V,MATCH(G35,QH_Z,1)+1)-INDEX(QH_V,MATCH(G35,QH_Z,1)))/(INDEX(QH_Z,MATCH(G35,QH_Z,1)+1)-INDEX(QH_Z,MATCH(G35,QH_Z,1)))</f>
        <v>61.2482092438168</v>
      </c>
      <c r="L35" s="40" t="n">
        <f aca="false">K35*1000000/dt_s+J35/2</f>
        <v>17133.8426669841</v>
      </c>
    </row>
    <row r="36" customFormat="false" ht="15" hidden="false" customHeight="false" outlineLevel="0" collapsed="false">
      <c r="A36" s="14" t="n">
        <v>20</v>
      </c>
      <c r="B36" s="40" t="n">
        <f aca="false">IFERROR(INDEX(Lu_Q,MATCH(A36,Lu_t,0),$C$4),0)</f>
        <v>141</v>
      </c>
      <c r="C36" s="40" t="n">
        <f aca="false">(B35+B36)/2</f>
        <v>157.5</v>
      </c>
      <c r="D36" s="40" t="n">
        <f aca="false">L35</f>
        <v>17133.8426669841</v>
      </c>
      <c r="E36" s="40" t="n">
        <f aca="false">J35</f>
        <v>240.902420736627</v>
      </c>
      <c r="F36" s="40" t="n">
        <f aca="false">D36+C36-E36</f>
        <v>17050.4402462475</v>
      </c>
      <c r="G36" s="41" t="n">
        <f aca="false">INDEX(QH_Z,MATCH(F36,INDEX(QH_f,0,$F$4),1))+(F36-INDEX(QH_f,MATCH(F36,INDEX(QH_f,0,$F$4),1),$F$4))*(INDEX(QH_Z,MATCH(F36,INDEX(QH_f,0,$F$4),1)+1)-INDEX(QH_Z,MATCH(F36,INDEX(QH_f,0,$F$4),1)))/(INDEX(QH_f,MATCH(F36,INDEX(QH_f,0,$F$4),1)+1,$F$4)-INDEX(QH_f,MATCH(F36,INDEX(QH_f,0,$F$4),1),$F$4))</f>
        <v>78.14458261468</v>
      </c>
      <c r="H36" s="42" t="n">
        <f aca="false">TC_s*(1-0.2*(TC_xmb+(TC_n-1)*TC_xmt)*MAX(G36-TC_Z,0)/(TC_n*TC_b))*TC_m*TC_n*TC_b*SQRT(2*g_)*MAX(G36-TC_Z,0)^1.5</f>
        <v>237.49708504605</v>
      </c>
      <c r="I36" s="43" t="n">
        <f aca="false">IF($F$4=2,0,SC_s*(1-0.2*(SC_xmb+(SC_n-1)*SC_xmt)*MAX(G36-SC_Z,0)/(SC_n*SC_b))*SC_m*SC_n*SC_b*SQRT(2*g_)*MAX(G36-SC_Z,0)^1.5)</f>
        <v>0</v>
      </c>
      <c r="J36" s="40" t="n">
        <f aca="false">H36+I36</f>
        <v>237.49708504605</v>
      </c>
      <c r="K36" s="23" t="n">
        <f aca="false">INDEX(QH_V,MATCH(G36,QH_Z,1))+(G36-INDEX(QH_Z,MATCH(G36,QH_Z,1)))*(INDEX(QH_V,MATCH(G36,QH_Z,1)+1)-INDEX(QH_V,MATCH(G36,QH_Z,1)))/(INDEX(QH_Z,MATCH(G36,QH_Z,1)+1)-INDEX(QH_Z,MATCH(G36,QH_Z,1)))</f>
        <v>60.9540900112653</v>
      </c>
      <c r="L36" s="40" t="n">
        <f aca="false">K36*1000000/dt_s+J36/2</f>
        <v>17050.4402123189</v>
      </c>
    </row>
    <row r="37" customFormat="false" ht="15" hidden="false" customHeight="false" outlineLevel="0" collapsed="false">
      <c r="A37" s="14" t="n">
        <v>21</v>
      </c>
      <c r="B37" s="40" t="n">
        <f aca="false">IFERROR(INDEX(Lu_Q,MATCH(A37,Lu_t,0),$C$4),0)</f>
        <v>112</v>
      </c>
      <c r="C37" s="40" t="n">
        <f aca="false">(B36+B37)/2</f>
        <v>126.5</v>
      </c>
      <c r="D37" s="40" t="n">
        <f aca="false">L36</f>
        <v>17050.4402123189</v>
      </c>
      <c r="E37" s="40" t="n">
        <f aca="false">J36</f>
        <v>237.49708504605</v>
      </c>
      <c r="F37" s="40" t="n">
        <f aca="false">D37+C37-E37</f>
        <v>16939.4431272729</v>
      </c>
      <c r="G37" s="41" t="n">
        <f aca="false">INDEX(QH_Z,MATCH(F37,INDEX(QH_f,0,$F$4),1))+(F37-INDEX(QH_f,MATCH(F37,INDEX(QH_f,0,$F$4),1),$F$4))*(INDEX(QH_Z,MATCH(F37,INDEX(QH_f,0,$F$4),1)+1)-INDEX(QH_Z,MATCH(F37,INDEX(QH_f,0,$F$4),1)))/(INDEX(QH_f,MATCH(F37,INDEX(QH_f,0,$F$4),1)+1,$F$4)-INDEX(QH_f,MATCH(F37,INDEX(QH_f,0,$F$4),1),$F$4))</f>
        <v>78.095484575478</v>
      </c>
      <c r="H37" s="42" t="n">
        <f aca="false">TC_s*(1-0.2*(TC_xmb+(TC_n-1)*TC_xmt)*MAX(G37-TC_Z,0)/(TC_n*TC_b))*TC_m*TC_n*TC_b*SQRT(2*g_)*MAX(G37-TC_Z,0)^1.5</f>
        <v>232.964000847204</v>
      </c>
      <c r="I37" s="43" t="n">
        <f aca="false">IF($F$4=2,0,SC_s*(1-0.2*(SC_xmb+(SC_n-1)*SC_xmt)*MAX(G37-SC_Z,0)/(SC_n*SC_b))*SC_m*SC_n*SC_b*SQRT(2*g_)*MAX(G37-SC_Z,0)^1.5)</f>
        <v>0</v>
      </c>
      <c r="J37" s="40" t="n">
        <f aca="false">H37+I37</f>
        <v>232.964000847204</v>
      </c>
      <c r="K37" s="23" t="n">
        <f aca="false">INDEX(QH_V,MATCH(G37,QH_Z,1))+(G37-INDEX(QH_Z,MATCH(G37,QH_Z,1)))*(INDEX(QH_V,MATCH(G37,QH_Z,1)+1)-INDEX(QH_V,MATCH(G37,QH_Z,1)))/(INDEX(QH_Z,MATCH(G37,QH_Z,1)+1)-INDEX(QH_Z,MATCH(G37,QH_Z,1)))</f>
        <v>60.5626599300598</v>
      </c>
      <c r="L37" s="40" t="n">
        <f aca="false">K37*1000000/dt_s+J37/2</f>
        <v>16939.4430921069</v>
      </c>
    </row>
    <row r="38" customFormat="false" ht="15" hidden="false" customHeight="false" outlineLevel="0" collapsed="false">
      <c r="A38" s="14" t="n">
        <v>22</v>
      </c>
      <c r="B38" s="40" t="n">
        <f aca="false">IFERROR(INDEX(Lu_Q,MATCH(A38,Lu_t,0),$C$4),0)</f>
        <v>89</v>
      </c>
      <c r="C38" s="40" t="n">
        <f aca="false">(B37+B38)/2</f>
        <v>100.5</v>
      </c>
      <c r="D38" s="40" t="n">
        <f aca="false">L37</f>
        <v>16939.4430921069</v>
      </c>
      <c r="E38" s="40" t="n">
        <f aca="false">J37</f>
        <v>232.964000847204</v>
      </c>
      <c r="F38" s="40" t="n">
        <f aca="false">D38+C38-E38</f>
        <v>16806.9790912597</v>
      </c>
      <c r="G38" s="41" t="n">
        <f aca="false">INDEX(QH_Z,MATCH(F38,INDEX(QH_f,0,$F$4),1))+(F38-INDEX(QH_f,MATCH(F38,INDEX(QH_f,0,$F$4),1),$F$4))*(INDEX(QH_Z,MATCH(F38,INDEX(QH_f,0,$F$4),1)+1)-INDEX(QH_Z,MATCH(F38,INDEX(QH_f,0,$F$4),1)))/(INDEX(QH_f,MATCH(F38,INDEX(QH_f,0,$F$4),1)+1,$F$4)-INDEX(QH_f,MATCH(F38,INDEX(QH_f,0,$F$4),1),$F$4))</f>
        <v>78.0366843483244</v>
      </c>
      <c r="H38" s="42" t="n">
        <f aca="false">TC_s*(1-0.2*(TC_xmb+(TC_n-1)*TC_xmt)*MAX(G38-TC_Z,0)/(TC_n*TC_b))*TC_m*TC_n*TC_b*SQRT(2*g_)*MAX(G38-TC_Z,0)^1.5</f>
        <v>227.553199812177</v>
      </c>
      <c r="I38" s="43" t="n">
        <f aca="false">IF($F$4=2,0,SC_s*(1-0.2*(SC_xmb+(SC_n-1)*SC_xmt)*MAX(G38-SC_Z,0)/(SC_n*SC_b))*SC_m*SC_n*SC_b*SQRT(2*g_)*MAX(G38-SC_Z,0)^1.5)</f>
        <v>0</v>
      </c>
      <c r="J38" s="40" t="n">
        <f aca="false">H38+I38</f>
        <v>227.553199812177</v>
      </c>
      <c r="K38" s="23" t="n">
        <f aca="false">INDEX(QH_V,MATCH(G38,QH_Z,1))+(G38-INDEX(QH_Z,MATCH(G38,QH_Z,1)))*(INDEX(QH_V,MATCH(G38,QH_Z,1)+1)-INDEX(QH_V,MATCH(G38,QH_Z,1)))/(INDEX(QH_Z,MATCH(G38,QH_Z,1)+1)-INDEX(QH_Z,MATCH(G38,QH_Z,1)))</f>
        <v>60.0955288503856</v>
      </c>
      <c r="L38" s="40" t="n">
        <f aca="false">K38*1000000/dt_s+J38/2</f>
        <v>16806.9790583465</v>
      </c>
    </row>
    <row r="39" customFormat="false" ht="15" hidden="false" customHeight="false" outlineLevel="0" collapsed="false">
      <c r="A39" s="14" t="n">
        <v>23</v>
      </c>
      <c r="B39" s="40" t="n">
        <f aca="false">IFERROR(INDEX(Lu_Q,MATCH(A39,Lu_t,0),$C$4),0)</f>
        <v>71</v>
      </c>
      <c r="C39" s="40" t="n">
        <f aca="false">(B38+B39)/2</f>
        <v>80</v>
      </c>
      <c r="D39" s="40" t="n">
        <f aca="false">L38</f>
        <v>16806.9790583465</v>
      </c>
      <c r="E39" s="40" t="n">
        <f aca="false">J38</f>
        <v>227.553199812177</v>
      </c>
      <c r="F39" s="40" t="n">
        <f aca="false">D39+C39-E39</f>
        <v>16659.4258585344</v>
      </c>
      <c r="G39" s="41" t="n">
        <f aca="false">INDEX(QH_Z,MATCH(F39,INDEX(QH_f,0,$F$4),1))+(F39-INDEX(QH_f,MATCH(F39,INDEX(QH_f,0,$F$4),1),$F$4))*(INDEX(QH_Z,MATCH(F39,INDEX(QH_f,0,$F$4),1)+1)-INDEX(QH_Z,MATCH(F39,INDEX(QH_f,0,$F$4),1)))/(INDEX(QH_f,MATCH(F39,INDEX(QH_f,0,$F$4),1)+1,$F$4)-INDEX(QH_f,MATCH(F39,INDEX(QH_f,0,$F$4),1),$F$4))</f>
        <v>77.9709189367743</v>
      </c>
      <c r="H39" s="42" t="n">
        <f aca="false">TC_s*(1-0.2*(TC_xmb+(TC_n-1)*TC_xmt)*MAX(G39-TC_Z,0)/(TC_n*TC_b))*TC_m*TC_n*TC_b*SQRT(2*g_)*MAX(G39-TC_Z,0)^1.5</f>
        <v>221.525816998546</v>
      </c>
      <c r="I39" s="43" t="n">
        <f aca="false">IF($F$4=2,0,SC_s*(1-0.2*(SC_xmb+(SC_n-1)*SC_xmt)*MAX(G39-SC_Z,0)/(SC_n*SC_b))*SC_m*SC_n*SC_b*SQRT(2*g_)*MAX(G39-SC_Z,0)^1.5)</f>
        <v>0</v>
      </c>
      <c r="J39" s="40" t="n">
        <f aca="false">H39+I39</f>
        <v>221.525816998546</v>
      </c>
      <c r="K39" s="23" t="n">
        <f aca="false">INDEX(QH_V,MATCH(G39,QH_Z,1))+(G39-INDEX(QH_Z,MATCH(G39,QH_Z,1)))*(INDEX(QH_V,MATCH(G39,QH_Z,1)+1)-INDEX(QH_V,MATCH(G39,QH_Z,1)))/(INDEX(QH_Z,MATCH(G39,QH_Z,1)+1)-INDEX(QH_Z,MATCH(G39,QH_Z,1)))</f>
        <v>59.5751865734406</v>
      </c>
      <c r="L39" s="40" t="n">
        <f aca="false">K39*1000000/dt_s+J39/2</f>
        <v>16659.4258455661</v>
      </c>
    </row>
    <row r="40" customFormat="false" ht="15" hidden="false" customHeight="false" outlineLevel="0" collapsed="false">
      <c r="A40" s="14" t="n">
        <v>24</v>
      </c>
      <c r="B40" s="40" t="n">
        <f aca="false">IFERROR(INDEX(Lu_Q,MATCH(A40,Lu_t,0),$C$4),0)</f>
        <v>57</v>
      </c>
      <c r="C40" s="40" t="n">
        <f aca="false">(B39+B40)/2</f>
        <v>64</v>
      </c>
      <c r="D40" s="40" t="n">
        <f aca="false">L39</f>
        <v>16659.4258455661</v>
      </c>
      <c r="E40" s="40" t="n">
        <f aca="false">J39</f>
        <v>221.525816998546</v>
      </c>
      <c r="F40" s="40" t="n">
        <f aca="false">D40+C40-E40</f>
        <v>16501.9000285676</v>
      </c>
      <c r="G40" s="41" t="n">
        <f aca="false">INDEX(QH_Z,MATCH(F40,INDEX(QH_f,0,$F$4),1))+(F40-INDEX(QH_f,MATCH(F40,INDEX(QH_f,0,$F$4),1),$F$4))*(INDEX(QH_Z,MATCH(F40,INDEX(QH_f,0,$F$4),1)+1)-INDEX(QH_Z,MATCH(F40,INDEX(QH_f,0,$F$4),1)))/(INDEX(QH_f,MATCH(F40,INDEX(QH_f,0,$F$4),1)+1,$F$4)-INDEX(QH_f,MATCH(F40,INDEX(QH_f,0,$F$4),1),$F$4))</f>
        <v>77.9003973242414</v>
      </c>
      <c r="H40" s="42" t="n">
        <f aca="false">TC_s*(1-0.2*(TC_xmb+(TC_n-1)*TC_xmt)*MAX(G40-TC_Z,0)/(TC_n*TC_b))*TC_m*TC_n*TC_b*SQRT(2*g_)*MAX(G40-TC_Z,0)^1.5</f>
        <v>215.092497783506</v>
      </c>
      <c r="I40" s="43" t="n">
        <f aca="false">IF($F$4=2,0,SC_s*(1-0.2*(SC_xmb+(SC_n-1)*SC_xmt)*MAX(G40-SC_Z,0)/(SC_n*SC_b))*SC_m*SC_n*SC_b*SQRT(2*g_)*MAX(G40-SC_Z,0)^1.5)</f>
        <v>0</v>
      </c>
      <c r="J40" s="40" t="n">
        <f aca="false">H40+I40</f>
        <v>215.092497783506</v>
      </c>
      <c r="K40" s="23" t="n">
        <f aca="false">INDEX(QH_V,MATCH(G40,QH_Z,1))+(G40-INDEX(QH_Z,MATCH(G40,QH_Z,1)))*(INDEX(QH_V,MATCH(G40,QH_Z,1)+1)-INDEX(QH_V,MATCH(G40,QH_Z,1)))/(INDEX(QH_Z,MATCH(G40,QH_Z,1)+1)-INDEX(QH_Z,MATCH(G40,QH_Z,1)))</f>
        <v>59.0196735843898</v>
      </c>
      <c r="L40" s="40" t="n">
        <f aca="false">K40*1000000/dt_s+J40/2</f>
        <v>16501.9000223334</v>
      </c>
    </row>
    <row r="41" customFormat="false" ht="15" hidden="false" customHeight="false" outlineLevel="0" collapsed="false">
      <c r="A41" s="14" t="n">
        <v>25</v>
      </c>
      <c r="B41" s="40" t="n">
        <f aca="false">IFERROR(INDEX(Lu_Q,MATCH(A41,Lu_t,0),$C$4),0)</f>
        <v>46</v>
      </c>
      <c r="C41" s="40" t="n">
        <f aca="false">(B40+B41)/2</f>
        <v>51.5</v>
      </c>
      <c r="D41" s="40" t="n">
        <f aca="false">L40</f>
        <v>16501.9000223334</v>
      </c>
      <c r="E41" s="40" t="n">
        <f aca="false">J40</f>
        <v>215.092497783506</v>
      </c>
      <c r="F41" s="40" t="n">
        <f aca="false">D41+C41-E41</f>
        <v>16338.3075245499</v>
      </c>
      <c r="G41" s="41" t="n">
        <f aca="false">INDEX(QH_Z,MATCH(F41,INDEX(QH_f,0,$F$4),1))+(F41-INDEX(QH_f,MATCH(F41,INDEX(QH_f,0,$F$4),1),$F$4))*(INDEX(QH_Z,MATCH(F41,INDEX(QH_f,0,$F$4),1)+1)-INDEX(QH_Z,MATCH(F41,INDEX(QH_f,0,$F$4),1)))/(INDEX(QH_f,MATCH(F41,INDEX(QH_f,0,$F$4),1)+1,$F$4)-INDEX(QH_f,MATCH(F41,INDEX(QH_f,0,$F$4),1),$F$4))</f>
        <v>77.8268150055719</v>
      </c>
      <c r="H41" s="42" t="n">
        <f aca="false">TC_s*(1-0.2*(TC_xmb+(TC_n-1)*TC_xmt)*MAX(G41-TC_Z,0)/(TC_n*TC_b))*TC_m*TC_n*TC_b*SQRT(2*g_)*MAX(G41-TC_Z,0)^1.5</f>
        <v>208.414721534828</v>
      </c>
      <c r="I41" s="43" t="n">
        <f aca="false">IF($F$4=2,0,SC_s*(1-0.2*(SC_xmb+(SC_n-1)*SC_xmt)*MAX(G41-SC_Z,0)/(SC_n*SC_b))*SC_m*SC_n*SC_b*SQRT(2*g_)*MAX(G41-SC_Z,0)^1.5)</f>
        <v>0</v>
      </c>
      <c r="J41" s="40" t="n">
        <f aca="false">H41+I41</f>
        <v>208.414721534828</v>
      </c>
      <c r="K41" s="23" t="n">
        <f aca="false">INDEX(QH_V,MATCH(G41,QH_Z,1))+(G41-INDEX(QH_Z,MATCH(G41,QH_Z,1)))*(INDEX(QH_V,MATCH(G41,QH_Z,1)+1)-INDEX(QH_V,MATCH(G41,QH_Z,1)))/(INDEX(QH_Z,MATCH(G41,QH_Z,1)+1)-INDEX(QH_Z,MATCH(G41,QH_Z,1)))</f>
        <v>58.4427604548266</v>
      </c>
      <c r="L41" s="40" t="n">
        <f aca="false">K41*1000000/dt_s+J41/2</f>
        <v>16338.3074871081</v>
      </c>
    </row>
    <row r="42" customFormat="false" ht="15" hidden="false" customHeight="false" outlineLevel="0" collapsed="false">
      <c r="A42" s="14" t="n">
        <v>26</v>
      </c>
      <c r="B42" s="40" t="n">
        <f aca="false">IFERROR(INDEX(Lu_Q,MATCH(A42,Lu_t,0),$C$4),0)</f>
        <v>36</v>
      </c>
      <c r="C42" s="40" t="n">
        <f aca="false">(B41+B42)/2</f>
        <v>41</v>
      </c>
      <c r="D42" s="40" t="n">
        <f aca="false">L41</f>
        <v>16338.3074871081</v>
      </c>
      <c r="E42" s="40" t="n">
        <f aca="false">J41</f>
        <v>208.414721534828</v>
      </c>
      <c r="F42" s="40" t="n">
        <f aca="false">D42+C42-E42</f>
        <v>16170.8927655733</v>
      </c>
      <c r="G42" s="41" t="n">
        <f aca="false">INDEX(QH_Z,MATCH(F42,INDEX(QH_f,0,$F$4),1))+(F42-INDEX(QH_f,MATCH(F42,INDEX(QH_f,0,$F$4),1),$F$4))*(INDEX(QH_Z,MATCH(F42,INDEX(QH_f,0,$F$4),1)+1)-INDEX(QH_Z,MATCH(F42,INDEX(QH_f,0,$F$4),1)))/(INDEX(QH_f,MATCH(F42,INDEX(QH_f,0,$F$4),1)+1,$F$4)-INDEX(QH_f,MATCH(F42,INDEX(QH_f,0,$F$4),1),$F$4))</f>
        <v>77.7511458710029</v>
      </c>
      <c r="H42" s="42" t="n">
        <f aca="false">TC_s*(1-0.2*(TC_xmb+(TC_n-1)*TC_xmt)*MAX(G42-TC_Z,0)/(TC_n*TC_b))*TC_m*TC_n*TC_b*SQRT(2*g_)*MAX(G42-TC_Z,0)^1.5</f>
        <v>201.586514920502</v>
      </c>
      <c r="I42" s="43" t="n">
        <f aca="false">IF($F$4=2,0,SC_s*(1-0.2*(SC_xmb+(SC_n-1)*SC_xmt)*MAX(G42-SC_Z,0)/(SC_n*SC_b))*SC_m*SC_n*SC_b*SQRT(2*g_)*MAX(G42-SC_Z,0)^1.5)</f>
        <v>0</v>
      </c>
      <c r="J42" s="40" t="n">
        <f aca="false">H42+I42</f>
        <v>201.586514920502</v>
      </c>
      <c r="K42" s="23" t="n">
        <f aca="false">INDEX(QH_V,MATCH(G42,QH_Z,1))+(G42-INDEX(QH_Z,MATCH(G42,QH_Z,1)))*(INDEX(QH_V,MATCH(G42,QH_Z,1)+1)-INDEX(QH_V,MATCH(G42,QH_Z,1)))/(INDEX(QH_Z,MATCH(G42,QH_Z,1)+1)-INDEX(QH_Z,MATCH(G42,QH_Z,1)))</f>
        <v>57.8523581630514</v>
      </c>
      <c r="L42" s="40" t="n">
        <f aca="false">K42*1000000/dt_s+J42/2</f>
        <v>16170.8927471967</v>
      </c>
    </row>
    <row r="43" customFormat="false" ht="15" hidden="false" customHeight="false" outlineLevel="0" collapsed="false">
      <c r="A43" s="14" t="n">
        <v>27</v>
      </c>
      <c r="B43" s="40" t="n">
        <f aca="false">IFERROR(INDEX(Lu_Q,MATCH(A43,Lu_t,0),$C$4),0)</f>
        <v>29</v>
      </c>
      <c r="C43" s="40" t="n">
        <f aca="false">(B42+B43)/2</f>
        <v>32.5</v>
      </c>
      <c r="D43" s="40" t="n">
        <f aca="false">L42</f>
        <v>16170.8927471967</v>
      </c>
      <c r="E43" s="40" t="n">
        <f aca="false">J42</f>
        <v>201.586514920502</v>
      </c>
      <c r="F43" s="40" t="n">
        <f aca="false">D43+C43-E43</f>
        <v>16001.8062322762</v>
      </c>
      <c r="G43" s="41" t="n">
        <f aca="false">INDEX(QH_Z,MATCH(F43,INDEX(QH_f,0,$F$4),1))+(F43-INDEX(QH_f,MATCH(F43,INDEX(QH_f,0,$F$4),1),$F$4))*(INDEX(QH_Z,MATCH(F43,INDEX(QH_f,0,$F$4),1)+1)-INDEX(QH_Z,MATCH(F43,INDEX(QH_f,0,$F$4),1)))/(INDEX(QH_f,MATCH(F43,INDEX(QH_f,0,$F$4),1)+1,$F$4)-INDEX(QH_f,MATCH(F43,INDEX(QH_f,0,$F$4),1),$F$4))</f>
        <v>77.6743356841598</v>
      </c>
      <c r="H43" s="42" t="n">
        <f aca="false">TC_s*(1-0.2*(TC_xmb+(TC_n-1)*TC_xmt)*MAX(G43-TC_Z,0)/(TC_n*TC_b))*TC_m*TC_n*TC_b*SQRT(2*g_)*MAX(G43-TC_Z,0)^1.5</f>
        <v>194.697858550248</v>
      </c>
      <c r="I43" s="43" t="n">
        <f aca="false">IF($F$4=2,0,SC_s*(1-0.2*(SC_xmb+(SC_n-1)*SC_xmt)*MAX(G43-SC_Z,0)/(SC_n*SC_b))*SC_m*SC_n*SC_b*SQRT(2*g_)*MAX(G43-SC_Z,0)^1.5)</f>
        <v>0</v>
      </c>
      <c r="J43" s="40" t="n">
        <f aca="false">H43+I43</f>
        <v>194.697858550248</v>
      </c>
      <c r="K43" s="23" t="n">
        <f aca="false">INDEX(QH_V,MATCH(G43,QH_Z,1))+(G43-INDEX(QH_Z,MATCH(G43,QH_Z,1)))*(INDEX(QH_V,MATCH(G43,QH_Z,1)+1)-INDEX(QH_V,MATCH(G43,QH_Z,1)))/(INDEX(QH_Z,MATCH(G43,QH_Z,1)+1)-INDEX(QH_Z,MATCH(G43,QH_Z,1)))</f>
        <v>57.2560461220542</v>
      </c>
      <c r="L43" s="40" t="n">
        <f aca="false">K43*1000000/dt_s+J43/2</f>
        <v>16001.8061854013</v>
      </c>
    </row>
    <row r="44" customFormat="false" ht="15" hidden="false" customHeight="false" outlineLevel="0" collapsed="false">
      <c r="A44" s="14" t="n">
        <v>28</v>
      </c>
      <c r="B44" s="40" t="n">
        <f aca="false">IFERROR(INDEX(Lu_Q,MATCH(A44,Lu_t,0),$C$4),0)</f>
        <v>23</v>
      </c>
      <c r="C44" s="40" t="n">
        <f aca="false">(B43+B44)/2</f>
        <v>26</v>
      </c>
      <c r="D44" s="40" t="n">
        <f aca="false">L43</f>
        <v>16001.8061854013</v>
      </c>
      <c r="E44" s="40" t="n">
        <f aca="false">J43</f>
        <v>194.697858550248</v>
      </c>
      <c r="F44" s="40" t="n">
        <f aca="false">D44+C44-E44</f>
        <v>15833.108326851</v>
      </c>
      <c r="G44" s="41" t="n">
        <f aca="false">INDEX(QH_Z,MATCH(F44,INDEX(QH_f,0,$F$4),1))+(F44-INDEX(QH_f,MATCH(F44,INDEX(QH_f,0,$F$4),1),$F$4))*(INDEX(QH_Z,MATCH(F44,INDEX(QH_f,0,$F$4),1)+1)-INDEX(QH_Z,MATCH(F44,INDEX(QH_f,0,$F$4),1)))/(INDEX(QH_f,MATCH(F44,INDEX(QH_f,0,$F$4),1)+1,$F$4)-INDEX(QH_f,MATCH(F44,INDEX(QH_f,0,$F$4),1),$F$4))</f>
        <v>77.5973111294998</v>
      </c>
      <c r="H44" s="42" t="n">
        <f aca="false">TC_s*(1-0.2*(TC_xmb+(TC_n-1)*TC_xmt)*MAX(G44-TC_Z,0)/(TC_n*TC_b))*TC_m*TC_n*TC_b*SQRT(2*g_)*MAX(G44-TC_Z,0)^1.5</f>
        <v>187.835229959524</v>
      </c>
      <c r="I44" s="43" t="n">
        <f aca="false">IF($F$4=2,0,SC_s*(1-0.2*(SC_xmb+(SC_n-1)*SC_xmt)*MAX(G44-SC_Z,0)/(SC_n*SC_b))*SC_m*SC_n*SC_b*SQRT(2*g_)*MAX(G44-SC_Z,0)^1.5)</f>
        <v>0</v>
      </c>
      <c r="J44" s="40" t="n">
        <f aca="false">H44+I44</f>
        <v>187.835229959524</v>
      </c>
      <c r="K44" s="23" t="n">
        <f aca="false">INDEX(QH_V,MATCH(G44,QH_Z,1))+(G44-INDEX(QH_Z,MATCH(G44,QH_Z,1)))*(INDEX(QH_V,MATCH(G44,QH_Z,1)+1)-INDEX(QH_V,MATCH(G44,QH_Z,1)))/(INDEX(QH_Z,MATCH(G44,QH_Z,1)+1)-INDEX(QH_Z,MATCH(G44,QH_Z,1)))</f>
        <v>56.6610864205452</v>
      </c>
      <c r="L44" s="40" t="n">
        <f aca="false">K44*1000000/dt_s+J44/2</f>
        <v>15833.1082873534</v>
      </c>
    </row>
    <row r="45" customFormat="false" ht="15" hidden="false" customHeight="false" outlineLevel="0" collapsed="false">
      <c r="A45" s="14" t="n">
        <v>29</v>
      </c>
      <c r="B45" s="40" t="n">
        <f aca="false">IFERROR(INDEX(Lu_Q,MATCH(A45,Lu_t,0),$C$4),0)</f>
        <v>18</v>
      </c>
      <c r="C45" s="40" t="n">
        <f aca="false">(B44+B45)/2</f>
        <v>20.5</v>
      </c>
      <c r="D45" s="40" t="n">
        <f aca="false">L44</f>
        <v>15833.1082873534</v>
      </c>
      <c r="E45" s="40" t="n">
        <f aca="false">J44</f>
        <v>187.835229959524</v>
      </c>
      <c r="F45" s="40" t="n">
        <f aca="false">D45+C45-E45</f>
        <v>15665.7730573939</v>
      </c>
      <c r="G45" s="41" t="n">
        <f aca="false">INDEX(QH_Z,MATCH(F45,INDEX(QH_f,0,$F$4),1))+(F45-INDEX(QH_f,MATCH(F45,INDEX(QH_f,0,$F$4),1),$F$4))*(INDEX(QH_Z,MATCH(F45,INDEX(QH_f,0,$F$4),1)+1)-INDEX(QH_Z,MATCH(F45,INDEX(QH_f,0,$F$4),1)))/(INDEX(QH_f,MATCH(F45,INDEX(QH_f,0,$F$4),1)+1,$F$4)-INDEX(QH_f,MATCH(F45,INDEX(QH_f,0,$F$4),1),$F$4))</f>
        <v>77.520516200836</v>
      </c>
      <c r="H45" s="42" t="n">
        <f aca="false">TC_s*(1-0.2*(TC_xmb+(TC_n-1)*TC_xmt)*MAX(G45-TC_Z,0)/(TC_n*TC_b))*TC_m*TC_n*TC_b*SQRT(2*g_)*MAX(G45-TC_Z,0)^1.5</f>
        <v>181.040483655618</v>
      </c>
      <c r="I45" s="43" t="n">
        <f aca="false">IF($F$4=2,0,SC_s*(1-0.2*(SC_xmb+(SC_n-1)*SC_xmt)*MAX(G45-SC_Z,0)/(SC_n*SC_b))*SC_m*SC_n*SC_b*SQRT(2*g_)*MAX(G45-SC_Z,0)^1.5)</f>
        <v>0</v>
      </c>
      <c r="J45" s="40" t="n">
        <f aca="false">H45+I45</f>
        <v>181.040483655618</v>
      </c>
      <c r="K45" s="23" t="n">
        <f aca="false">INDEX(QH_V,MATCH(G45,QH_Z,1))+(G45-INDEX(QH_Z,MATCH(G45,QH_Z,1)))*(INDEX(QH_V,MATCH(G45,QH_Z,1)+1)-INDEX(QH_V,MATCH(G45,QH_Z,1)))/(INDEX(QH_Z,MATCH(G45,QH_Z,1)+1)-INDEX(QH_Z,MATCH(G45,QH_Z,1)))</f>
        <v>56.0709100989601</v>
      </c>
      <c r="L45" s="40" t="n">
        <f aca="false">K45*1000000/dt_s+J45/2</f>
        <v>15665.7730470945</v>
      </c>
    </row>
    <row r="46" customFormat="false" ht="15" hidden="false" customHeight="false" outlineLevel="0" collapsed="false">
      <c r="A46" s="14" t="n">
        <v>30</v>
      </c>
      <c r="B46" s="40" t="n">
        <f aca="false">IFERROR(INDEX(Lu_Q,MATCH(A46,Lu_t,0),$C$4),0)</f>
        <v>14</v>
      </c>
      <c r="C46" s="40" t="n">
        <f aca="false">(B45+B46)/2</f>
        <v>16</v>
      </c>
      <c r="D46" s="40" t="n">
        <f aca="false">L45</f>
        <v>15665.7730470945</v>
      </c>
      <c r="E46" s="40" t="n">
        <f aca="false">J45</f>
        <v>181.040483655618</v>
      </c>
      <c r="F46" s="40" t="n">
        <f aca="false">D46+C46-E46</f>
        <v>15500.7325634389</v>
      </c>
      <c r="G46" s="41" t="n">
        <f aca="false">INDEX(QH_Z,MATCH(F46,INDEX(QH_f,0,$F$4),1))+(F46-INDEX(QH_f,MATCH(F46,INDEX(QH_f,0,$F$4),1),$F$4))*(INDEX(QH_Z,MATCH(F46,INDEX(QH_f,0,$F$4),1)+1)-INDEX(QH_Z,MATCH(F46,INDEX(QH_f,0,$F$4),1)))/(INDEX(QH_f,MATCH(F46,INDEX(QH_f,0,$F$4),1)+1,$F$4)-INDEX(QH_f,MATCH(F46,INDEX(QH_f,0,$F$4),1),$F$4))</f>
        <v>77.4443835201147</v>
      </c>
      <c r="H46" s="42" t="n">
        <f aca="false">TC_s*(1-0.2*(TC_xmb+(TC_n-1)*TC_xmt)*MAX(G46-TC_Z,0)/(TC_n*TC_b))*TC_m*TC_n*TC_b*SQRT(2*g_)*MAX(G46-TC_Z,0)^1.5</f>
        <v>174.353413196068</v>
      </c>
      <c r="I46" s="43" t="n">
        <f aca="false">IF($F$4=2,0,SC_s*(1-0.2*(SC_xmb+(SC_n-1)*SC_xmt)*MAX(G46-SC_Z,0)/(SC_n*SC_b))*SC_m*SC_n*SC_b*SQRT(2*g_)*MAX(G46-SC_Z,0)^1.5)</f>
        <v>0</v>
      </c>
      <c r="J46" s="40" t="n">
        <f aca="false">H46+I46</f>
        <v>174.353413196068</v>
      </c>
      <c r="K46" s="23" t="n">
        <f aca="false">INDEX(QH_V,MATCH(G46,QH_Z,1))+(G46-INDEX(QH_Z,MATCH(G46,QH_Z,1)))*(INDEX(QH_V,MATCH(G46,QH_Z,1)+1)-INDEX(QH_V,MATCH(G46,QH_Z,1)))/(INDEX(QH_Z,MATCH(G46,QH_Z,1)+1)-INDEX(QH_Z,MATCH(G46,QH_Z,1)))</f>
        <v>55.4888008887388</v>
      </c>
      <c r="L46" s="40" t="n">
        <f aca="false">K46*1000000/dt_s+J46/2</f>
        <v>15500.7325090255</v>
      </c>
    </row>
    <row r="47" customFormat="false" ht="15" hidden="false" customHeight="false" outlineLevel="0" collapsed="false">
      <c r="A47" s="14" t="n">
        <v>31</v>
      </c>
      <c r="B47" s="40" t="n">
        <f aca="false">IFERROR(INDEX(Lu_Q,MATCH(A47,Lu_t,0),$C$4),0)</f>
        <v>11</v>
      </c>
      <c r="C47" s="40" t="n">
        <f aca="false">(B46+B47)/2</f>
        <v>12.5</v>
      </c>
      <c r="D47" s="40" t="n">
        <f aca="false">L46</f>
        <v>15500.7325090255</v>
      </c>
      <c r="E47" s="40" t="n">
        <f aca="false">J46</f>
        <v>174.353413196068</v>
      </c>
      <c r="F47" s="40" t="n">
        <f aca="false">D47+C47-E47</f>
        <v>15338.8790958294</v>
      </c>
      <c r="G47" s="41" t="n">
        <f aca="false">INDEX(QH_Z,MATCH(F47,INDEX(QH_f,0,$F$4),1))+(F47-INDEX(QH_f,MATCH(F47,INDEX(QH_f,0,$F$4),1),$F$4))*(INDEX(QH_Z,MATCH(F47,INDEX(QH_f,0,$F$4),1)+1)-INDEX(QH_Z,MATCH(F47,INDEX(QH_f,0,$F$4),1)))/(INDEX(QH_f,MATCH(F47,INDEX(QH_f,0,$F$4),1)+1,$F$4)-INDEX(QH_f,MATCH(F47,INDEX(QH_f,0,$F$4),1),$F$4))</f>
        <v>77.3693400204949</v>
      </c>
      <c r="H47" s="42" t="n">
        <f aca="false">TC_s*(1-0.2*(TC_xmb+(TC_n-1)*TC_xmt)*MAX(G47-TC_Z,0)/(TC_n*TC_b))*TC_m*TC_n*TC_b*SQRT(2*g_)*MAX(G47-TC_Z,0)^1.5</f>
        <v>167.812165020503</v>
      </c>
      <c r="I47" s="43" t="n">
        <f aca="false">IF($F$4=2,0,SC_s*(1-0.2*(SC_xmb+(SC_n-1)*SC_xmt)*MAX(G47-SC_Z,0)/(SC_n*SC_b))*SC_m*SC_n*SC_b*SQRT(2*g_)*MAX(G47-SC_Z,0)^1.5)</f>
        <v>0</v>
      </c>
      <c r="J47" s="40" t="n">
        <f aca="false">H47+I47</f>
        <v>167.812165020503</v>
      </c>
      <c r="K47" s="23" t="n">
        <f aca="false">INDEX(QH_V,MATCH(G47,QH_Z,1))+(G47-INDEX(QH_Z,MATCH(G47,QH_Z,1)))*(INDEX(QH_V,MATCH(G47,QH_Z,1)+1)-INDEX(QH_V,MATCH(G47,QH_Z,1)))/(INDEX(QH_Z,MATCH(G47,QH_Z,1)+1)-INDEX(QH_Z,MATCH(G47,QH_Z,1)))</f>
        <v>54.917902796477</v>
      </c>
      <c r="L47" s="40" t="n">
        <f aca="false">K47*1000000/dt_s+J47/2</f>
        <v>15338.8790815316</v>
      </c>
    </row>
    <row r="48" customFormat="false" ht="15" hidden="false" customHeight="false" outlineLevel="0" collapsed="false">
      <c r="A48" s="14" t="n">
        <v>32</v>
      </c>
      <c r="B48" s="40" t="n">
        <f aca="false">IFERROR(INDEX(Lu_Q,MATCH(A48,Lu_t,0),$C$4),0)</f>
        <v>8</v>
      </c>
      <c r="C48" s="40" t="n">
        <f aca="false">(B47+B48)/2</f>
        <v>9.5</v>
      </c>
      <c r="D48" s="40" t="n">
        <f aca="false">L47</f>
        <v>15338.8790815316</v>
      </c>
      <c r="E48" s="40" t="n">
        <f aca="false">J47</f>
        <v>167.812165020503</v>
      </c>
      <c r="F48" s="40" t="n">
        <f aca="false">D48+C48-E48</f>
        <v>15180.5669165111</v>
      </c>
      <c r="G48" s="41" t="n">
        <f aca="false">INDEX(QH_Z,MATCH(F48,INDEX(QH_f,0,$F$4),1))+(F48-INDEX(QH_f,MATCH(F48,INDEX(QH_f,0,$F$4),1),$F$4))*(INDEX(QH_Z,MATCH(F48,INDEX(QH_f,0,$F$4),1)+1)-INDEX(QH_Z,MATCH(F48,INDEX(QH_f,0,$F$4),1)))/(INDEX(QH_f,MATCH(F48,INDEX(QH_f,0,$F$4),1)+1,$F$4)-INDEX(QH_f,MATCH(F48,INDEX(QH_f,0,$F$4),1),$F$4))</f>
        <v>77.2955648383883</v>
      </c>
      <c r="H48" s="42" t="n">
        <f aca="false">TC_s*(1-0.2*(TC_xmb+(TC_n-1)*TC_xmt)*MAX(G48-TC_Z,0)/(TC_n*TC_b))*TC_m*TC_n*TC_b*SQRT(2*g_)*MAX(G48-TC_Z,0)^1.5</f>
        <v>161.432305675573</v>
      </c>
      <c r="I48" s="43" t="n">
        <f aca="false">IF($F$4=2,0,SC_s*(1-0.2*(SC_xmb+(SC_n-1)*SC_xmt)*MAX(G48-SC_Z,0)/(SC_n*SC_b))*SC_m*SC_n*SC_b*SQRT(2*g_)*MAX(G48-SC_Z,0)^1.5)</f>
        <v>0</v>
      </c>
      <c r="J48" s="40" t="n">
        <f aca="false">H48+I48</f>
        <v>161.432305675573</v>
      </c>
      <c r="K48" s="23" t="n">
        <f aca="false">INDEX(QH_V,MATCH(G48,QH_Z,1))+(G48-INDEX(QH_Z,MATCH(G48,QH_Z,1)))*(INDEX(QH_V,MATCH(G48,QH_Z,1)+1)-INDEX(QH_V,MATCH(G48,QH_Z,1)))/(INDEX(QH_Z,MATCH(G48,QH_Z,1)+1)-INDEX(QH_Z,MATCH(G48,QH_Z,1)))</f>
        <v>54.359462534009</v>
      </c>
      <c r="L48" s="40" t="n">
        <f aca="false">K48*1000000/dt_s+J48/2</f>
        <v>15180.5668567292</v>
      </c>
    </row>
    <row r="49" customFormat="false" ht="15" hidden="false" customHeight="false" outlineLevel="0" collapsed="false">
      <c r="A49" s="14" t="n">
        <v>33</v>
      </c>
      <c r="B49" s="40" t="n">
        <f aca="false">IFERROR(INDEX(Lu_Q,MATCH(A49,Lu_t,0),$C$4),0)</f>
        <v>7</v>
      </c>
      <c r="C49" s="40" t="n">
        <f aca="false">(B48+B49)/2</f>
        <v>7.5</v>
      </c>
      <c r="D49" s="40" t="n">
        <f aca="false">L48</f>
        <v>15180.5668567292</v>
      </c>
      <c r="E49" s="40" t="n">
        <f aca="false">J48</f>
        <v>161.432305675573</v>
      </c>
      <c r="F49" s="40" t="n">
        <f aca="false">D49+C49-E49</f>
        <v>15026.6345510536</v>
      </c>
      <c r="G49" s="41" t="n">
        <f aca="false">INDEX(QH_Z,MATCH(F49,INDEX(QH_f,0,$F$4),1))+(F49-INDEX(QH_f,MATCH(F49,INDEX(QH_f,0,$F$4),1),$F$4))*(INDEX(QH_Z,MATCH(F49,INDEX(QH_f,0,$F$4),1)+1)-INDEX(QH_Z,MATCH(F49,INDEX(QH_f,0,$F$4),1)))/(INDEX(QH_f,MATCH(F49,INDEX(QH_f,0,$F$4),1)+1,$F$4)-INDEX(QH_f,MATCH(F49,INDEX(QH_f,0,$F$4),1),$F$4))</f>
        <v>77.2234723955329</v>
      </c>
      <c r="H49" s="42" t="n">
        <f aca="false">TC_s*(1-0.2*(TC_xmb+(TC_n-1)*TC_xmt)*MAX(G49-TC_Z,0)/(TC_n*TC_b))*TC_m*TC_n*TC_b*SQRT(2*g_)*MAX(G49-TC_Z,0)^1.5</f>
        <v>155.248885127706</v>
      </c>
      <c r="I49" s="43" t="n">
        <f aca="false">IF($F$4=2,0,SC_s*(1-0.2*(SC_xmb+(SC_n-1)*SC_xmt)*MAX(G49-SC_Z,0)/(SC_n*SC_b))*SC_m*SC_n*SC_b*SQRT(2*g_)*MAX(G49-SC_Z,0)^1.5)</f>
        <v>0</v>
      </c>
      <c r="J49" s="40" t="n">
        <f aca="false">H49+I49</f>
        <v>155.248885127706</v>
      </c>
      <c r="K49" s="23" t="n">
        <f aca="false">INDEX(QH_V,MATCH(G49,QH_Z,1))+(G49-INDEX(QH_Z,MATCH(G49,QH_Z,1)))*(INDEX(QH_V,MATCH(G49,QH_Z,1)+1)-INDEX(QH_V,MATCH(G49,QH_Z,1)))/(INDEX(QH_Z,MATCH(G49,QH_Z,1)+1)-INDEX(QH_Z,MATCH(G49,QH_Z,1)))</f>
        <v>53.816436184331</v>
      </c>
      <c r="L49" s="40" t="n">
        <f aca="false">K49*1000000/dt_s+J49/2</f>
        <v>15026.6344937669</v>
      </c>
    </row>
    <row r="50" customFormat="false" ht="15" hidden="false" customHeight="false" outlineLevel="0" collapsed="false">
      <c r="A50" s="14" t="n">
        <v>34</v>
      </c>
      <c r="B50" s="40" t="n">
        <f aca="false">IFERROR(INDEX(Lu_Q,MATCH(A50,Lu_t,0),$C$4),0)</f>
        <v>5</v>
      </c>
      <c r="C50" s="40" t="n">
        <f aca="false">(B49+B50)/2</f>
        <v>6</v>
      </c>
      <c r="D50" s="40" t="n">
        <f aca="false">L49</f>
        <v>15026.6344937669</v>
      </c>
      <c r="E50" s="40" t="n">
        <f aca="false">J49</f>
        <v>155.248885127706</v>
      </c>
      <c r="F50" s="40" t="n">
        <f aca="false">D50+C50-E50</f>
        <v>14877.3856086392</v>
      </c>
      <c r="G50" s="41" t="n">
        <f aca="false">INDEX(QH_Z,MATCH(F50,INDEX(QH_f,0,$F$4),1))+(F50-INDEX(QH_f,MATCH(F50,INDEX(QH_f,0,$F$4),1),$F$4))*(INDEX(QH_Z,MATCH(F50,INDEX(QH_f,0,$F$4),1)+1)-INDEX(QH_Z,MATCH(F50,INDEX(QH_f,0,$F$4),1)))/(INDEX(QH_f,MATCH(F50,INDEX(QH_f,0,$F$4),1)+1,$F$4)-INDEX(QH_f,MATCH(F50,INDEX(QH_f,0,$F$4),1),$F$4))</f>
        <v>77.1532298287065</v>
      </c>
      <c r="H50" s="42" t="n">
        <f aca="false">TC_s*(1-0.2*(TC_xmb+(TC_n-1)*TC_xmt)*MAX(G50-TC_Z,0)/(TC_n*TC_b))*TC_m*TC_n*TC_b*SQRT(2*g_)*MAX(G50-TC_Z,0)^1.5</f>
        <v>149.274685156062</v>
      </c>
      <c r="I50" s="43" t="n">
        <f aca="false">IF($F$4=2,0,SC_s*(1-0.2*(SC_xmb+(SC_n-1)*SC_xmt)*MAX(G50-SC_Z,0)/(SC_n*SC_b))*SC_m*SC_n*SC_b*SQRT(2*g_)*MAX(G50-SC_Z,0)^1.5)</f>
        <v>0</v>
      </c>
      <c r="J50" s="40" t="n">
        <f aca="false">H50+I50</f>
        <v>149.274685156062</v>
      </c>
      <c r="K50" s="23" t="n">
        <f aca="false">INDEX(QH_V,MATCH(G50,QH_Z,1))+(G50-INDEX(QH_Z,MATCH(G50,QH_Z,1)))*(INDEX(QH_V,MATCH(G50,QH_Z,1)+1)-INDEX(QH_V,MATCH(G50,QH_Z,1)))/(INDEX(QH_Z,MATCH(G50,QH_Z,1)+1)-INDEX(QH_Z,MATCH(G50,QH_Z,1)))</f>
        <v>53.2898935503871</v>
      </c>
      <c r="L50" s="40" t="n">
        <f aca="false">K50*1000000/dt_s+J50/2</f>
        <v>14877.3855510189</v>
      </c>
    </row>
    <row r="51" customFormat="false" ht="15" hidden="false" customHeight="false" outlineLevel="0" collapsed="false">
      <c r="A51" s="14" t="n">
        <v>35</v>
      </c>
      <c r="B51" s="40" t="n">
        <f aca="false">IFERROR(INDEX(Lu_Q,MATCH(A51,Lu_t,0),$C$4),0)</f>
        <v>4</v>
      </c>
      <c r="C51" s="40" t="n">
        <f aca="false">(B50+B51)/2</f>
        <v>4.5</v>
      </c>
      <c r="D51" s="40" t="n">
        <f aca="false">L50</f>
        <v>14877.3855510189</v>
      </c>
      <c r="E51" s="40" t="n">
        <f aca="false">J50</f>
        <v>149.274685156062</v>
      </c>
      <c r="F51" s="40" t="n">
        <f aca="false">D51+C51-E51</f>
        <v>14732.6108658628</v>
      </c>
      <c r="G51" s="41" t="n">
        <f aca="false">INDEX(QH_Z,MATCH(F51,INDEX(QH_f,0,$F$4),1))+(F51-INDEX(QH_f,MATCH(F51,INDEX(QH_f,0,$F$4),1),$F$4))*(INDEX(QH_Z,MATCH(F51,INDEX(QH_f,0,$F$4),1)+1)-INDEX(QH_Z,MATCH(F51,INDEX(QH_f,0,$F$4),1)))/(INDEX(QH_f,MATCH(F51,INDEX(QH_f,0,$F$4),1)+1,$F$4)-INDEX(QH_f,MATCH(F51,INDEX(QH_f,0,$F$4),1),$F$4))</f>
        <v>77.0847644927843</v>
      </c>
      <c r="H51" s="42" t="n">
        <f aca="false">TC_s*(1-0.2*(TC_xmb+(TC_n-1)*TC_xmt)*MAX(G51-TC_Z,0)/(TC_n*TC_b))*TC_m*TC_n*TC_b*SQRT(2*g_)*MAX(G51-TC_Z,0)^1.5</f>
        <v>143.50171288415</v>
      </c>
      <c r="I51" s="43" t="n">
        <f aca="false">IF($F$4=2,0,SC_s*(1-0.2*(SC_xmb+(SC_n-1)*SC_xmt)*MAX(G51-SC_Z,0)/(SC_n*SC_b))*SC_m*SC_n*SC_b*SQRT(2*g_)*MAX(G51-SC_Z,0)^1.5)</f>
        <v>0</v>
      </c>
      <c r="J51" s="40" t="n">
        <f aca="false">H51+I51</f>
        <v>143.50171288415</v>
      </c>
      <c r="K51" s="23" t="n">
        <f aca="false">INDEX(QH_V,MATCH(G51,QH_Z,1))+(G51-INDEX(QH_Z,MATCH(G51,QH_Z,1)))*(INDEX(QH_V,MATCH(G51,QH_Z,1)+1)-INDEX(QH_V,MATCH(G51,QH_Z,1)))/(INDEX(QH_Z,MATCH(G51,QH_Z,1)+1)-INDEX(QH_Z,MATCH(G51,QH_Z,1)))</f>
        <v>52.779095787366</v>
      </c>
      <c r="L51" s="40" t="n">
        <f aca="false">K51*1000000/dt_s+J51/2</f>
        <v>14732.6107973771</v>
      </c>
    </row>
    <row r="52" customFormat="false" ht="15" hidden="false" customHeight="false" outlineLevel="0" collapsed="false">
      <c r="A52" s="14" t="n">
        <v>36</v>
      </c>
      <c r="B52" s="40" t="n">
        <f aca="false">IFERROR(INDEX(Lu_Q,MATCH(A52,Lu_t,0),$C$4),0)</f>
        <v>3</v>
      </c>
      <c r="C52" s="40" t="n">
        <f aca="false">(B51+B52)/2</f>
        <v>3.5</v>
      </c>
      <c r="D52" s="40" t="n">
        <f aca="false">L51</f>
        <v>14732.6107973771</v>
      </c>
      <c r="E52" s="40" t="n">
        <f aca="false">J51</f>
        <v>143.50171288415</v>
      </c>
      <c r="F52" s="40" t="n">
        <f aca="false">D52+C52-E52</f>
        <v>14592.6090844929</v>
      </c>
      <c r="G52" s="41" t="n">
        <f aca="false">INDEX(QH_Z,MATCH(F52,INDEX(QH_f,0,$F$4),1))+(F52-INDEX(QH_f,MATCH(F52,INDEX(QH_f,0,$F$4),1),$F$4))*(INDEX(QH_Z,MATCH(F52,INDEX(QH_f,0,$F$4),1)+1)-INDEX(QH_Z,MATCH(F52,INDEX(QH_f,0,$F$4),1)))/(INDEX(QH_f,MATCH(F52,INDEX(QH_f,0,$F$4),1)+1,$F$4)-INDEX(QH_f,MATCH(F52,INDEX(QH_f,0,$F$4),1),$F$4))</f>
        <v>77.0182443627791</v>
      </c>
      <c r="H52" s="42" t="n">
        <f aca="false">TC_s*(1-0.2*(TC_xmb+(TC_n-1)*TC_xmt)*MAX(G52-TC_Z,0)/(TC_n*TC_b))*TC_m*TC_n*TC_b*SQRT(2*g_)*MAX(G52-TC_Z,0)^1.5</f>
        <v>137.942056263877</v>
      </c>
      <c r="I52" s="43" t="n">
        <f aca="false">IF($F$4=2,0,SC_s*(1-0.2*(SC_xmb+(SC_n-1)*SC_xmt)*MAX(G52-SC_Z,0)/(SC_n*SC_b))*SC_m*SC_n*SC_b*SQRT(2*g_)*MAX(G52-SC_Z,0)^1.5)</f>
        <v>0</v>
      </c>
      <c r="J52" s="40" t="n">
        <f aca="false">H52+I52</f>
        <v>137.942056263877</v>
      </c>
      <c r="K52" s="23" t="n">
        <f aca="false">INDEX(QH_V,MATCH(G52,QH_Z,1))+(G52-INDEX(QH_Z,MATCH(G52,QH_Z,1)))*(INDEX(QH_V,MATCH(G52,QH_Z,1)+1)-INDEX(QH_V,MATCH(G52,QH_Z,1)))/(INDEX(QH_Z,MATCH(G52,QH_Z,1)+1)-INDEX(QH_Z,MATCH(G52,QH_Z,1)))</f>
        <v>52.2850968539409</v>
      </c>
      <c r="L52" s="40" t="n">
        <f aca="false">K52*1000000/dt_s+J52/2</f>
        <v>14592.6090431155</v>
      </c>
    </row>
    <row r="53" customFormat="false" ht="15" hidden="false" customHeight="false" outlineLevel="0" collapsed="false">
      <c r="A53" s="14" t="n">
        <v>37</v>
      </c>
      <c r="B53" s="40" t="n">
        <f aca="false">IFERROR(INDEX(Lu_Q,MATCH(A53,Lu_t,0),$C$4),0)</f>
        <v>0</v>
      </c>
      <c r="C53" s="40" t="n">
        <f aca="false">(B52+B53)/2</f>
        <v>1.5</v>
      </c>
      <c r="D53" s="40" t="n">
        <f aca="false">L52</f>
        <v>14592.6090431155</v>
      </c>
      <c r="E53" s="40" t="n">
        <f aca="false">J52</f>
        <v>137.942056263877</v>
      </c>
      <c r="F53" s="40" t="n">
        <f aca="false">D53+C53-E53</f>
        <v>14456.1669868517</v>
      </c>
      <c r="G53" s="41" t="n">
        <f aca="false">INDEX(QH_Z,MATCH(F53,INDEX(QH_f,0,$F$4),1))+(F53-INDEX(QH_f,MATCH(F53,INDEX(QH_f,0,$F$4),1),$F$4))*(INDEX(QH_Z,MATCH(F53,INDEX(QH_f,0,$F$4),1)+1)-INDEX(QH_Z,MATCH(F53,INDEX(QH_f,0,$F$4),1)))/(INDEX(QH_f,MATCH(F53,INDEX(QH_f,0,$F$4),1)+1,$F$4)-INDEX(QH_f,MATCH(F53,INDEX(QH_f,0,$F$4),1),$F$4))</f>
        <v>76.9531162421337</v>
      </c>
      <c r="H53" s="42" t="n">
        <f aca="false">TC_s*(1-0.2*(TC_xmb+(TC_n-1)*TC_xmt)*MAX(G53-TC_Z,0)/(TC_n*TC_b))*TC_m*TC_n*TC_b*SQRT(2*g_)*MAX(G53-TC_Z,0)^1.5</f>
        <v>132.54769303209</v>
      </c>
      <c r="I53" s="43" t="n">
        <f aca="false">IF($F$4=2,0,SC_s*(1-0.2*(SC_xmb+(SC_n-1)*SC_xmt)*MAX(G53-SC_Z,0)/(SC_n*SC_b))*SC_m*SC_n*SC_b*SQRT(2*g_)*MAX(G53-SC_Z,0)^1.5)</f>
        <v>0</v>
      </c>
      <c r="J53" s="40" t="n">
        <f aca="false">H53+I53</f>
        <v>132.54769303209</v>
      </c>
      <c r="K53" s="23" t="n">
        <f aca="false">INDEX(QH_V,MATCH(G53,QH_Z,1))+(G53-INDEX(QH_Z,MATCH(G53,QH_Z,1)))*(INDEX(QH_V,MATCH(G53,QH_Z,1)+1)-INDEX(QH_V,MATCH(G53,QH_Z,1)))/(INDEX(QH_Z,MATCH(G53,QH_Z,1)+1)-INDEX(QH_Z,MATCH(G53,QH_Z,1)))</f>
        <v>51.8036150763412</v>
      </c>
      <c r="L53" s="40" t="n">
        <f aca="false">K53*1000000/dt_s+J53/2</f>
        <v>14456.1669232775</v>
      </c>
    </row>
    <row r="54" customFormat="false" ht="15" hidden="false" customHeight="false" outlineLevel="0" collapsed="false">
      <c r="A54" s="14" t="n">
        <v>38</v>
      </c>
      <c r="B54" s="40" t="n">
        <f aca="false">IFERROR(INDEX(Lu_Q,MATCH(A54,Lu_t,0),$C$4),0)</f>
        <v>0</v>
      </c>
      <c r="C54" s="40" t="n">
        <f aca="false">(B53+B54)/2</f>
        <v>0</v>
      </c>
      <c r="D54" s="40" t="n">
        <f aca="false">L53</f>
        <v>14456.1669232775</v>
      </c>
      <c r="E54" s="40" t="n">
        <f aca="false">J53</f>
        <v>132.54769303209</v>
      </c>
      <c r="F54" s="40" t="n">
        <f aca="false">D54+C54-E54</f>
        <v>14323.6192302454</v>
      </c>
      <c r="G54" s="41" t="n">
        <f aca="false">INDEX(QH_Z,MATCH(F54,INDEX(QH_f,0,$F$4),1))+(F54-INDEX(QH_f,MATCH(F54,INDEX(QH_f,0,$F$4),1),$F$4))*(INDEX(QH_Z,MATCH(F54,INDEX(QH_f,0,$F$4),1)+1)-INDEX(QH_Z,MATCH(F54,INDEX(QH_f,0,$F$4),1)))/(INDEX(QH_f,MATCH(F54,INDEX(QH_f,0,$F$4),1)+1,$F$4)-INDEX(QH_f,MATCH(F54,INDEX(QH_f,0,$F$4),1),$F$4))</f>
        <v>76.889564971555</v>
      </c>
      <c r="H54" s="42" t="n">
        <f aca="false">TC_s*(1-0.2*(TC_xmb+(TC_n-1)*TC_xmt)*MAX(G54-TC_Z,0)/(TC_n*TC_b))*TC_m*TC_n*TC_b*SQRT(2*g_)*MAX(G54-TC_Z,0)^1.5</f>
        <v>127.332432810363</v>
      </c>
      <c r="I54" s="43" t="n">
        <f aca="false">IF($F$4=2,0,SC_s*(1-0.2*(SC_xmb+(SC_n-1)*SC_xmt)*MAX(G54-SC_Z,0)/(SC_n*SC_b))*SC_m*SC_n*SC_b*SQRT(2*g_)*MAX(G54-SC_Z,0)^1.5)</f>
        <v>0</v>
      </c>
      <c r="J54" s="40" t="n">
        <f aca="false">H54+I54</f>
        <v>127.332432810363</v>
      </c>
      <c r="K54" s="23" t="n">
        <f aca="false">INDEX(QH_V,MATCH(G54,QH_Z,1))+(G54-INDEX(QH_Z,MATCH(G54,QH_Z,1)))*(INDEX(QH_V,MATCH(G54,QH_Z,1)+1)-INDEX(QH_V,MATCH(G54,QH_Z,1)))/(INDEX(QH_Z,MATCH(G54,QH_Z,1)+1)-INDEX(QH_Z,MATCH(G54,QH_Z,1)))</f>
        <v>51.3358308036423</v>
      </c>
      <c r="L54" s="40" t="n">
        <f aca="false">K54*1000000/dt_s+J54/2</f>
        <v>14323.6192174169</v>
      </c>
    </row>
    <row r="55" customFormat="false" ht="15" hidden="false" customHeight="false" outlineLevel="0" collapsed="false">
      <c r="A55" s="14" t="n">
        <v>39</v>
      </c>
      <c r="B55" s="40" t="n">
        <f aca="false">IFERROR(INDEX(Lu_Q,MATCH(A55,Lu_t,0),$C$4),0)</f>
        <v>0</v>
      </c>
      <c r="C55" s="40" t="n">
        <f aca="false">(B54+B55)/2</f>
        <v>0</v>
      </c>
      <c r="D55" s="40" t="n">
        <f aca="false">L54</f>
        <v>14323.6192174169</v>
      </c>
      <c r="E55" s="40" t="n">
        <f aca="false">J54</f>
        <v>127.332432810363</v>
      </c>
      <c r="F55" s="40" t="n">
        <f aca="false">D55+C55-E55</f>
        <v>14196.2867846066</v>
      </c>
      <c r="G55" s="41" t="n">
        <f aca="false">INDEX(QH_Z,MATCH(F55,INDEX(QH_f,0,$F$4),1))+(F55-INDEX(QH_f,MATCH(F55,INDEX(QH_f,0,$F$4),1),$F$4))*(INDEX(QH_Z,MATCH(F55,INDEX(QH_f,0,$F$4),1)+1)-INDEX(QH_Z,MATCH(F55,INDEX(QH_f,0,$F$4),1)))/(INDEX(QH_f,MATCH(F55,INDEX(QH_f,0,$F$4),1)+1,$F$4)-INDEX(QH_f,MATCH(F55,INDEX(QH_f,0,$F$4),1),$F$4))</f>
        <v>76.8282470625337</v>
      </c>
      <c r="H55" s="42" t="n">
        <f aca="false">TC_s*(1-0.2*(TC_xmb+(TC_n-1)*TC_xmt)*MAX(G55-TC_Z,0)/(TC_n*TC_b))*TC_m*TC_n*TC_b*SQRT(2*g_)*MAX(G55-TC_Z,0)^1.5</f>
        <v>122.347563124235</v>
      </c>
      <c r="I55" s="43" t="n">
        <f aca="false">IF($F$4=2,0,SC_s*(1-0.2*(SC_xmb+(SC_n-1)*SC_xmt)*MAX(G55-SC_Z,0)/(SC_n*SC_b))*SC_m*SC_n*SC_b*SQRT(2*g_)*MAX(G55-SC_Z,0)^1.5)</f>
        <v>0</v>
      </c>
      <c r="J55" s="40" t="n">
        <f aca="false">H55+I55</f>
        <v>122.347563124235</v>
      </c>
      <c r="K55" s="23" t="n">
        <f aca="false">INDEX(QH_V,MATCH(G55,QH_Z,1))+(G55-INDEX(QH_Z,MATCH(G55,QH_Z,1)))*(INDEX(QH_V,MATCH(G55,QH_Z,1)+1)-INDEX(QH_V,MATCH(G55,QH_Z,1)))/(INDEX(QH_Z,MATCH(G55,QH_Z,1)+1)-INDEX(QH_Z,MATCH(G55,QH_Z,1)))</f>
        <v>50.8864066447777</v>
      </c>
      <c r="L55" s="40" t="n">
        <f aca="false">K55*1000000/dt_s+J55/2</f>
        <v>14196.2867384448</v>
      </c>
    </row>
    <row r="56" customFormat="false" ht="15" hidden="false" customHeight="false" outlineLevel="0" collapsed="false">
      <c r="A56" s="14" t="n">
        <v>40</v>
      </c>
      <c r="B56" s="40" t="n">
        <f aca="false">IFERROR(INDEX(Lu_Q,MATCH(A56,Lu_t,0),$C$4),0)</f>
        <v>0</v>
      </c>
      <c r="C56" s="40" t="n">
        <f aca="false">(B55+B56)/2</f>
        <v>0</v>
      </c>
      <c r="D56" s="40" t="n">
        <f aca="false">L55</f>
        <v>14196.2867384448</v>
      </c>
      <c r="E56" s="40" t="n">
        <f aca="false">J55</f>
        <v>122.347563124235</v>
      </c>
      <c r="F56" s="40" t="n">
        <f aca="false">D56+C56-E56</f>
        <v>14073.9391753206</v>
      </c>
      <c r="G56" s="41" t="n">
        <f aca="false">INDEX(QH_Z,MATCH(F56,INDEX(QH_f,0,$F$4),1))+(F56-INDEX(QH_f,MATCH(F56,INDEX(QH_f,0,$F$4),1),$F$4))*(INDEX(QH_Z,MATCH(F56,INDEX(QH_f,0,$F$4),1)+1)-INDEX(QH_Z,MATCH(F56,INDEX(QH_f,0,$F$4),1)))/(INDEX(QH_f,MATCH(F56,INDEX(QH_f,0,$F$4),1)+1,$F$4)-INDEX(QH_f,MATCH(F56,INDEX(QH_f,0,$F$4),1),$F$4))</f>
        <v>76.7690808655607</v>
      </c>
      <c r="H56" s="42" t="n">
        <f aca="false">TC_s*(1-0.2*(TC_xmb+(TC_n-1)*TC_xmt)*MAX(G56-TC_Z,0)/(TC_n*TC_b))*TC_m*TC_n*TC_b*SQRT(2*g_)*MAX(G56-TC_Z,0)^1.5</f>
        <v>117.583071322321</v>
      </c>
      <c r="I56" s="43" t="n">
        <f aca="false">IF($F$4=2,0,SC_s*(1-0.2*(SC_xmb+(SC_n-1)*SC_xmt)*MAX(G56-SC_Z,0)/(SC_n*SC_b))*SC_m*SC_n*SC_b*SQRT(2*g_)*MAX(G56-SC_Z,0)^1.5)</f>
        <v>0</v>
      </c>
      <c r="J56" s="40" t="n">
        <f aca="false">H56+I56</f>
        <v>117.583071322321</v>
      </c>
      <c r="K56" s="23" t="n">
        <f aca="false">INDEX(QH_V,MATCH(G56,QH_Z,1))+(G56-INDEX(QH_Z,MATCH(G56,QH_Z,1)))*(INDEX(QH_V,MATCH(G56,QH_Z,1)+1)-INDEX(QH_V,MATCH(G56,QH_Z,1)))/(INDEX(QH_Z,MATCH(G56,QH_Z,1)+1)-INDEX(QH_Z,MATCH(G56,QH_Z,1)))</f>
        <v>50.4545314034455</v>
      </c>
      <c r="L56" s="40" t="n">
        <f aca="false">K56*1000000/dt_s+J56/2</f>
        <v>14073.9391477293</v>
      </c>
    </row>
    <row r="57" customFormat="false" ht="15" hidden="false" customHeight="false" outlineLevel="0" collapsed="false">
      <c r="A57" s="14" t="n">
        <v>41</v>
      </c>
      <c r="B57" s="40" t="n">
        <f aca="false">IFERROR(INDEX(Lu_Q,MATCH(A57,Lu_t,0),$C$4),0)</f>
        <v>0</v>
      </c>
      <c r="C57" s="40" t="n">
        <f aca="false">(B56+B57)/2</f>
        <v>0</v>
      </c>
      <c r="D57" s="40" t="n">
        <f aca="false">L56</f>
        <v>14073.9391477293</v>
      </c>
      <c r="E57" s="40" t="n">
        <f aca="false">J56</f>
        <v>117.583071322321</v>
      </c>
      <c r="F57" s="40" t="n">
        <f aca="false">D57+C57-E57</f>
        <v>13956.356076407</v>
      </c>
      <c r="G57" s="41" t="n">
        <f aca="false">INDEX(QH_Z,MATCH(F57,INDEX(QH_f,0,$F$4),1))+(F57-INDEX(QH_f,MATCH(F57,INDEX(QH_f,0,$F$4),1),$F$4))*(INDEX(QH_Z,MATCH(F57,INDEX(QH_f,0,$F$4),1)+1)-INDEX(QH_Z,MATCH(F57,INDEX(QH_f,0,$F$4),1)))/(INDEX(QH_f,MATCH(F57,INDEX(QH_f,0,$F$4),1)+1,$F$4)-INDEX(QH_f,MATCH(F57,INDEX(QH_f,0,$F$4),1),$F$4))</f>
        <v>76.7119847511513</v>
      </c>
      <c r="H57" s="42" t="n">
        <f aca="false">TC_s*(1-0.2*(TC_xmb+(TC_n-1)*TC_xmt)*MAX(G57-TC_Z,0)/(TC_n*TC_b))*TC_m*TC_n*TC_b*SQRT(2*g_)*MAX(G57-TC_Z,0)^1.5</f>
        <v>113.029082458943</v>
      </c>
      <c r="I57" s="43" t="n">
        <f aca="false">IF($F$4=2,0,SC_s*(1-0.2*(SC_xmb+(SC_n-1)*SC_xmt)*MAX(G57-SC_Z,0)/(SC_n*SC_b))*SC_m*SC_n*SC_b*SQRT(2*g_)*MAX(G57-SC_Z,0)^1.5)</f>
        <v>0</v>
      </c>
      <c r="J57" s="40" t="n">
        <f aca="false">H57+I57</f>
        <v>113.029082458943</v>
      </c>
      <c r="K57" s="23" t="n">
        <f aca="false">INDEX(QH_V,MATCH(G57,QH_Z,1))+(G57-INDEX(QH_Z,MATCH(G57,QH_Z,1)))*(INDEX(QH_V,MATCH(G57,QH_Z,1)+1)-INDEX(QH_V,MATCH(G57,QH_Z,1)))/(INDEX(QH_Z,MATCH(G57,QH_Z,1)+1)-INDEX(QH_Z,MATCH(G57,QH_Z,1)))</f>
        <v>50.0394293314803</v>
      </c>
      <c r="L57" s="40" t="n">
        <f aca="false">K57*1000000/dt_s+J57/2</f>
        <v>13956.3560221962</v>
      </c>
    </row>
    <row r="58" customFormat="false" ht="15" hidden="false" customHeight="false" outlineLevel="0" collapsed="false">
      <c r="A58" s="14" t="n">
        <v>42</v>
      </c>
      <c r="B58" s="40" t="n">
        <f aca="false">IFERROR(INDEX(Lu_Q,MATCH(A58,Lu_t,0),$C$4),0)</f>
        <v>0</v>
      </c>
      <c r="C58" s="40" t="n">
        <f aca="false">(B57+B58)/2</f>
        <v>0</v>
      </c>
      <c r="D58" s="40" t="n">
        <f aca="false">L57</f>
        <v>13956.3560221962</v>
      </c>
      <c r="E58" s="40" t="n">
        <f aca="false">J57</f>
        <v>113.029082458943</v>
      </c>
      <c r="F58" s="40" t="n">
        <f aca="false">D58+C58-E58</f>
        <v>13843.3269397373</v>
      </c>
      <c r="G58" s="41" t="n">
        <f aca="false">INDEX(QH_Z,MATCH(F58,INDEX(QH_f,0,$F$4),1))+(F58-INDEX(QH_f,MATCH(F58,INDEX(QH_f,0,$F$4),1),$F$4))*(INDEX(QH_Z,MATCH(F58,INDEX(QH_f,0,$F$4),1)+1)-INDEX(QH_Z,MATCH(F58,INDEX(QH_f,0,$F$4),1)))/(INDEX(QH_f,MATCH(F58,INDEX(QH_f,0,$F$4),1)+1,$F$4)-INDEX(QH_f,MATCH(F58,INDEX(QH_f,0,$F$4),1),$F$4))</f>
        <v>76.6568812933471</v>
      </c>
      <c r="H58" s="42" t="n">
        <f aca="false">TC_s*(1-0.2*(TC_xmb+(TC_n-1)*TC_xmt)*MAX(G58-TC_Z,0)/(TC_n*TC_b))*TC_m*TC_n*TC_b*SQRT(2*g_)*MAX(G58-TC_Z,0)^1.5</f>
        <v>108.676201683862</v>
      </c>
      <c r="I58" s="43" t="n">
        <f aca="false">IF($F$4=2,0,SC_s*(1-0.2*(SC_xmb+(SC_n-1)*SC_xmt)*MAX(G58-SC_Z,0)/(SC_n*SC_b))*SC_m*SC_n*SC_b*SQRT(2*g_)*MAX(G58-SC_Z,0)^1.5)</f>
        <v>0</v>
      </c>
      <c r="J58" s="40" t="n">
        <f aca="false">H58+I58</f>
        <v>108.676201683862</v>
      </c>
      <c r="K58" s="23" t="n">
        <f aca="false">INDEX(QH_V,MATCH(G58,QH_Z,1))+(G58-INDEX(QH_Z,MATCH(G58,QH_Z,1)))*(INDEX(QH_V,MATCH(G58,QH_Z,1)+1)-INDEX(QH_V,MATCH(G58,QH_Z,1)))/(INDEX(QH_Z,MATCH(G58,QH_Z,1)+1)-INDEX(QH_Z,MATCH(G58,QH_Z,1)))</f>
        <v>49.6403595476659</v>
      </c>
      <c r="L58" s="40" t="n">
        <f aca="false">K58*1000000/dt_s+J58/2</f>
        <v>13843.3268640825</v>
      </c>
    </row>
    <row r="59" customFormat="false" ht="15" hidden="false" customHeight="false" outlineLevel="0" collapsed="false">
      <c r="A59" s="14" t="n">
        <v>43</v>
      </c>
      <c r="B59" s="40" t="n">
        <f aca="false">IFERROR(INDEX(Lu_Q,MATCH(A59,Lu_t,0),$C$4),0)</f>
        <v>0</v>
      </c>
      <c r="C59" s="40" t="n">
        <f aca="false">(B58+B59)/2</f>
        <v>0</v>
      </c>
      <c r="D59" s="40" t="n">
        <f aca="false">L58</f>
        <v>13843.3268640825</v>
      </c>
      <c r="E59" s="40" t="n">
        <f aca="false">J58</f>
        <v>108.676201683862</v>
      </c>
      <c r="F59" s="40" t="n">
        <f aca="false">D59+C59-E59</f>
        <v>13734.6506623986</v>
      </c>
      <c r="G59" s="41" t="n">
        <f aca="false">INDEX(QH_Z,MATCH(F59,INDEX(QH_f,0,$F$4),1))+(F59-INDEX(QH_f,MATCH(F59,INDEX(QH_f,0,$F$4),1),$F$4))*(INDEX(QH_Z,MATCH(F59,INDEX(QH_f,0,$F$4),1)+1)-INDEX(QH_Z,MATCH(F59,INDEX(QH_f,0,$F$4),1)))/(INDEX(QH_f,MATCH(F59,INDEX(QH_f,0,$F$4),1)+1,$F$4)-INDEX(QH_f,MATCH(F59,INDEX(QH_f,0,$F$4),1),$F$4))</f>
        <v>76.6036951692202</v>
      </c>
      <c r="H59" s="42" t="n">
        <f aca="false">TC_s*(1-0.2*(TC_xmb+(TC_n-1)*TC_xmt)*MAX(G59-TC_Z,0)/(TC_n*TC_b))*TC_m*TC_n*TC_b*SQRT(2*g_)*MAX(G59-TC_Z,0)^1.5</f>
        <v>104.515346519918</v>
      </c>
      <c r="I59" s="43" t="n">
        <f aca="false">IF($F$4=2,0,SC_s*(1-0.2*(SC_xmb+(SC_n-1)*SC_xmt)*MAX(G59-SC_Z,0)/(SC_n*SC_b))*SC_m*SC_n*SC_b*SQRT(2*g_)*MAX(G59-SC_Z,0)^1.5)</f>
        <v>0</v>
      </c>
      <c r="J59" s="40" t="n">
        <f aca="false">H59+I59</f>
        <v>104.515346519918</v>
      </c>
      <c r="K59" s="23" t="n">
        <f aca="false">INDEX(QH_V,MATCH(G59,QH_Z,1))+(G59-INDEX(QH_Z,MATCH(G59,QH_Z,1)))*(INDEX(QH_V,MATCH(G59,QH_Z,1)+1)-INDEX(QH_V,MATCH(G59,QH_Z,1)))/(INDEX(QH_Z,MATCH(G59,QH_Z,1)+1)-INDEX(QH_Z,MATCH(G59,QH_Z,1)))</f>
        <v>49.2566144563083</v>
      </c>
      <c r="L59" s="40" t="n">
        <f aca="false">K59*1000000/dt_s+J59/2</f>
        <v>13734.65057779</v>
      </c>
    </row>
    <row r="60" customFormat="false" ht="15" hidden="false" customHeight="false" outlineLevel="0" collapsed="false">
      <c r="A60" s="14" t="n">
        <v>44</v>
      </c>
      <c r="B60" s="40" t="n">
        <f aca="false">IFERROR(INDEX(Lu_Q,MATCH(A60,Lu_t,0),$C$4),0)</f>
        <v>0</v>
      </c>
      <c r="C60" s="40" t="n">
        <f aca="false">(B59+B60)/2</f>
        <v>0</v>
      </c>
      <c r="D60" s="40" t="n">
        <f aca="false">L59</f>
        <v>13734.65057779</v>
      </c>
      <c r="E60" s="40" t="n">
        <f aca="false">J59</f>
        <v>104.515346519918</v>
      </c>
      <c r="F60" s="40" t="n">
        <f aca="false">D60+C60-E60</f>
        <v>13630.1352312701</v>
      </c>
      <c r="G60" s="41" t="n">
        <f aca="false">INDEX(QH_Z,MATCH(F60,INDEX(QH_f,0,$F$4),1))+(F60-INDEX(QH_f,MATCH(F60,INDEX(QH_f,0,$F$4),1),$F$4))*(INDEX(QH_Z,MATCH(F60,INDEX(QH_f,0,$F$4),1)+1)-INDEX(QH_Z,MATCH(F60,INDEX(QH_f,0,$F$4),1)))/(INDEX(QH_f,MATCH(F60,INDEX(QH_f,0,$F$4),1)+1,$F$4)-INDEX(QH_f,MATCH(F60,INDEX(QH_f,0,$F$4),1),$F$4))</f>
        <v>76.552353684267</v>
      </c>
      <c r="H60" s="42" t="n">
        <f aca="false">TC_s*(1-0.2*(TC_xmb+(TC_n-1)*TC_xmt)*MAX(G60-TC_Z,0)/(TC_n*TC_b))*TC_m*TC_n*TC_b*SQRT(2*g_)*MAX(G60-TC_Z,0)^1.5</f>
        <v>100.537789675395</v>
      </c>
      <c r="I60" s="43" t="n">
        <f aca="false">IF($F$4=2,0,SC_s*(1-0.2*(SC_xmb+(SC_n-1)*SC_xmt)*MAX(G60-SC_Z,0)/(SC_n*SC_b))*SC_m*SC_n*SC_b*SQRT(2*g_)*MAX(G60-SC_Z,0)^1.5)</f>
        <v>0</v>
      </c>
      <c r="J60" s="40" t="n">
        <f aca="false">H60+I60</f>
        <v>100.537789675395</v>
      </c>
      <c r="K60" s="23" t="n">
        <f aca="false">INDEX(QH_V,MATCH(G60,QH_Z,1))+(G60-INDEX(QH_Z,MATCH(G60,QH_Z,1)))*(INDEX(QH_V,MATCH(G60,QH_Z,1)+1)-INDEX(QH_V,MATCH(G60,QH_Z,1)))/(INDEX(QH_Z,MATCH(G60,QH_Z,1)+1)-INDEX(QH_Z,MATCH(G60,QH_Z,1)))</f>
        <v>48.8875185688265</v>
      </c>
      <c r="L60" s="40" t="n">
        <f aca="false">K60*1000000/dt_s+J60/2</f>
        <v>13630.1351639562</v>
      </c>
    </row>
    <row r="61" customFormat="false" ht="15" hidden="false" customHeight="false" outlineLevel="0" collapsed="false">
      <c r="A61" s="14" t="n">
        <v>45</v>
      </c>
      <c r="B61" s="40" t="n">
        <f aca="false">IFERROR(INDEX(Lu_Q,MATCH(A61,Lu_t,0),$C$4),0)</f>
        <v>0</v>
      </c>
      <c r="C61" s="40" t="n">
        <f aca="false">(B60+B61)/2</f>
        <v>0</v>
      </c>
      <c r="D61" s="40" t="n">
        <f aca="false">L60</f>
        <v>13630.1351639562</v>
      </c>
      <c r="E61" s="40" t="n">
        <f aca="false">J60</f>
        <v>100.537789675395</v>
      </c>
      <c r="F61" s="40" t="n">
        <f aca="false">D61+C61-E61</f>
        <v>13529.5973742808</v>
      </c>
      <c r="G61" s="41" t="n">
        <f aca="false">INDEX(QH_Z,MATCH(F61,INDEX(QH_f,0,$F$4),1))+(F61-INDEX(QH_f,MATCH(F61,INDEX(QH_f,0,$F$4),1),$F$4))*(INDEX(QH_Z,MATCH(F61,INDEX(QH_f,0,$F$4),1)+1)-INDEX(QH_Z,MATCH(F61,INDEX(QH_f,0,$F$4),1)))/(INDEX(QH_f,MATCH(F61,INDEX(QH_f,0,$F$4),1)+1,$F$4)-INDEX(QH_f,MATCH(F61,INDEX(QH_f,0,$F$4),1),$F$4))</f>
        <v>76.5027860309315</v>
      </c>
      <c r="H61" s="42" t="n">
        <f aca="false">TC_s*(1-0.2*(TC_xmb+(TC_n-1)*TC_xmt)*MAX(G61-TC_Z,0)/(TC_n*TC_b))*TC_m*TC_n*TC_b*SQRT(2*g_)*MAX(G61-TC_Z,0)^1.5</f>
        <v>96.735101399499</v>
      </c>
      <c r="I61" s="43" t="n">
        <f aca="false">IF($F$4=2,0,SC_s*(1-0.2*(SC_xmb+(SC_n-1)*SC_xmt)*MAX(G61-SC_Z,0)/(SC_n*SC_b))*SC_m*SC_n*SC_b*SQRT(2*g_)*MAX(G61-SC_Z,0)^1.5)</f>
        <v>0</v>
      </c>
      <c r="J61" s="40" t="n">
        <f aca="false">H61+I61</f>
        <v>96.735101399499</v>
      </c>
      <c r="K61" s="23" t="n">
        <f aca="false">INDEX(QH_V,MATCH(G61,QH_Z,1))+(G61-INDEX(QH_Z,MATCH(G61,QH_Z,1)))*(INDEX(QH_V,MATCH(G61,QH_Z,1)+1)-INDEX(QH_V,MATCH(G61,QH_Z,1)))/(INDEX(QH_Z,MATCH(G61,QH_Z,1)+1)-INDEX(QH_Z,MATCH(G61,QH_Z,1)))</f>
        <v>48.5324270862378</v>
      </c>
      <c r="L61" s="40" t="n">
        <f aca="false">K61*1000000/dt_s+J61/2</f>
        <v>13529.5972968769</v>
      </c>
    </row>
    <row r="62" customFormat="false" ht="15" hidden="false" customHeight="false" outlineLevel="0" collapsed="false">
      <c r="A62" s="14" t="n">
        <v>46</v>
      </c>
      <c r="B62" s="40" t="n">
        <f aca="false">IFERROR(INDEX(Lu_Q,MATCH(A62,Lu_t,0),$C$4),0)</f>
        <v>0</v>
      </c>
      <c r="C62" s="40" t="n">
        <f aca="false">(B61+B62)/2</f>
        <v>0</v>
      </c>
      <c r="D62" s="40" t="n">
        <f aca="false">L61</f>
        <v>13529.5972968769</v>
      </c>
      <c r="E62" s="40" t="n">
        <f aca="false">J61</f>
        <v>96.735101399499</v>
      </c>
      <c r="F62" s="40" t="n">
        <f aca="false">D62+C62-E62</f>
        <v>13432.8621954774</v>
      </c>
      <c r="G62" s="41" t="n">
        <f aca="false">INDEX(QH_Z,MATCH(F62,INDEX(QH_f,0,$F$4),1))+(F62-INDEX(QH_f,MATCH(F62,INDEX(QH_f,0,$F$4),1),$F$4))*(INDEX(QH_Z,MATCH(F62,INDEX(QH_f,0,$F$4),1)+1)-INDEX(QH_Z,MATCH(F62,INDEX(QH_f,0,$F$4),1)))/(INDEX(QH_f,MATCH(F62,INDEX(QH_f,0,$F$4),1)+1,$F$4)-INDEX(QH_f,MATCH(F62,INDEX(QH_f,0,$F$4),1),$F$4))</f>
        <v>76.454924574115</v>
      </c>
      <c r="H62" s="42" t="n">
        <f aca="false">TC_s*(1-0.2*(TC_xmb+(TC_n-1)*TC_xmt)*MAX(G62-TC_Z,0)/(TC_n*TC_b))*TC_m*TC_n*TC_b*SQRT(2*g_)*MAX(G62-TC_Z,0)^1.5</f>
        <v>93.0992472040849</v>
      </c>
      <c r="I62" s="43" t="n">
        <f aca="false">IF($F$4=2,0,SC_s*(1-0.2*(SC_xmb+(SC_n-1)*SC_xmt)*MAX(G62-SC_Z,0)/(SC_n*SC_b))*SC_m*SC_n*SC_b*SQRT(2*g_)*MAX(G62-SC_Z,0)^1.5)</f>
        <v>0</v>
      </c>
      <c r="J62" s="40" t="n">
        <f aca="false">H62+I62</f>
        <v>93.0992472040849</v>
      </c>
      <c r="K62" s="23" t="n">
        <f aca="false">INDEX(QH_V,MATCH(G62,QH_Z,1))+(G62-INDEX(QH_Z,MATCH(G62,QH_Z,1)))*(INDEX(QH_V,MATCH(G62,QH_Z,1)+1)-INDEX(QH_V,MATCH(G62,QH_Z,1)))/(INDEX(QH_Z,MATCH(G62,QH_Z,1)+1)-INDEX(QH_Z,MATCH(G62,QH_Z,1)))</f>
        <v>48.1907249020048</v>
      </c>
      <c r="L62" s="40" t="n">
        <f aca="false">K62*1000000/dt_s+J62/2</f>
        <v>13432.8620963812</v>
      </c>
    </row>
    <row r="63" customFormat="false" ht="15" hidden="false" customHeight="false" outlineLevel="0" collapsed="false">
      <c r="A63" s="14" t="n">
        <v>47</v>
      </c>
      <c r="B63" s="40" t="n">
        <f aca="false">IFERROR(INDEX(Lu_Q,MATCH(A63,Lu_t,0),$C$4),0)</f>
        <v>0</v>
      </c>
      <c r="C63" s="40" t="n">
        <f aca="false">(B62+B63)/2</f>
        <v>0</v>
      </c>
      <c r="D63" s="40" t="n">
        <f aca="false">L62</f>
        <v>13432.8620963812</v>
      </c>
      <c r="E63" s="40" t="n">
        <f aca="false">J62</f>
        <v>93.0992472040849</v>
      </c>
      <c r="F63" s="40" t="n">
        <f aca="false">D63+C63-E63</f>
        <v>13339.7628491771</v>
      </c>
      <c r="G63" s="41" t="n">
        <f aca="false">INDEX(QH_Z,MATCH(F63,INDEX(QH_f,0,$F$4),1))+(F63-INDEX(QH_f,MATCH(F63,INDEX(QH_f,0,$F$4),1),$F$4))*(INDEX(QH_Z,MATCH(F63,INDEX(QH_f,0,$F$4),1)+1)-INDEX(QH_Z,MATCH(F63,INDEX(QH_f,0,$F$4),1)))/(INDEX(QH_f,MATCH(F63,INDEX(QH_f,0,$F$4),1)+1,$F$4)-INDEX(QH_f,MATCH(F63,INDEX(QH_f,0,$F$4),1),$F$4))</f>
        <v>76.4087047457961</v>
      </c>
      <c r="H63" s="42" t="n">
        <f aca="false">TC_s*(1-0.2*(TC_xmb+(TC_n-1)*TC_xmt)*MAX(G63-TC_Z,0)/(TC_n*TC_b))*TC_m*TC_n*TC_b*SQRT(2*g_)*MAX(G63-TC_Z,0)^1.5</f>
        <v>89.622574654065</v>
      </c>
      <c r="I63" s="43" t="n">
        <f aca="false">IF($F$4=2,0,SC_s*(1-0.2*(SC_xmb+(SC_n-1)*SC_xmt)*MAX(G63-SC_Z,0)/(SC_n*SC_b))*SC_m*SC_n*SC_b*SQRT(2*g_)*MAX(G63-SC_Z,0)^1.5)</f>
        <v>0</v>
      </c>
      <c r="J63" s="40" t="n">
        <f aca="false">H63+I63</f>
        <v>89.622574654065</v>
      </c>
      <c r="K63" s="23" t="n">
        <f aca="false">INDEX(QH_V,MATCH(G63,QH_Z,1))+(G63-INDEX(QH_Z,MATCH(G63,QH_Z,1)))*(INDEX(QH_V,MATCH(G63,QH_Z,1)+1)-INDEX(QH_V,MATCH(G63,QH_Z,1)))/(INDEX(QH_Z,MATCH(G63,QH_Z,1)+1)-INDEX(QH_Z,MATCH(G63,QH_Z,1)))</f>
        <v>47.8618254570166</v>
      </c>
      <c r="L63" s="40" t="n">
        <f aca="false">K63*1000000/dt_s+J63/2</f>
        <v>13339.762803165</v>
      </c>
    </row>
    <row r="64" customFormat="false" ht="15" hidden="false" customHeight="false" outlineLevel="0" collapsed="false">
      <c r="A64" s="14" t="n">
        <v>48</v>
      </c>
      <c r="B64" s="40" t="n">
        <f aca="false">IFERROR(INDEX(Lu_Q,MATCH(A64,Lu_t,0),$C$4),0)</f>
        <v>0</v>
      </c>
      <c r="C64" s="40" t="n">
        <f aca="false">(B63+B64)/2</f>
        <v>0</v>
      </c>
      <c r="D64" s="40" t="n">
        <f aca="false">L63</f>
        <v>13339.762803165</v>
      </c>
      <c r="E64" s="40" t="n">
        <f aca="false">J63</f>
        <v>89.622574654065</v>
      </c>
      <c r="F64" s="40" t="n">
        <f aca="false">D64+C64-E64</f>
        <v>13250.1402285109</v>
      </c>
      <c r="G64" s="41" t="n">
        <f aca="false">INDEX(QH_Z,MATCH(F64,INDEX(QH_f,0,$F$4),1))+(F64-INDEX(QH_f,MATCH(F64,INDEX(QH_f,0,$F$4),1),$F$4))*(INDEX(QH_Z,MATCH(F64,INDEX(QH_f,0,$F$4),1)+1)-INDEX(QH_Z,MATCH(F64,INDEX(QH_f,0,$F$4),1)))/(INDEX(QH_f,MATCH(F64,INDEX(QH_f,0,$F$4),1)+1,$F$4)-INDEX(QH_f,MATCH(F64,INDEX(QH_f,0,$F$4),1),$F$4))</f>
        <v>76.364061958004</v>
      </c>
      <c r="H64" s="42" t="n">
        <f aca="false">TC_s*(1-0.2*(TC_xmb+(TC_n-1)*TC_xmt)*MAX(G64-TC_Z,0)/(TC_n*TC_b))*TC_m*TC_n*TC_b*SQRT(2*g_)*MAX(G64-TC_Z,0)^1.5</f>
        <v>86.2975787941464</v>
      </c>
      <c r="I64" s="43" t="n">
        <f aca="false">IF($F$4=2,0,SC_s*(1-0.2*(SC_xmb+(SC_n-1)*SC_xmt)*MAX(G64-SC_Z,0)/(SC_n*SC_b))*SC_m*SC_n*SC_b*SQRT(2*g_)*MAX(G64-SC_Z,0)^1.5)</f>
        <v>0</v>
      </c>
      <c r="J64" s="40" t="n">
        <f aca="false">H64+I64</f>
        <v>86.2975787941464</v>
      </c>
      <c r="K64" s="23" t="n">
        <f aca="false">INDEX(QH_V,MATCH(G64,QH_Z,1))+(G64-INDEX(QH_Z,MATCH(G64,QH_Z,1)))*(INDEX(QH_V,MATCH(G64,QH_Z,1)+1)-INDEX(QH_V,MATCH(G64,QH_Z,1)))/(INDEX(QH_Z,MATCH(G64,QH_Z,1)+1)-INDEX(QH_Z,MATCH(G64,QH_Z,1)))</f>
        <v>47.5451688175635</v>
      </c>
      <c r="L64" s="40" t="n">
        <f aca="false">K64*1000000/dt_s+J64/2</f>
        <v>13250.1401276092</v>
      </c>
    </row>
  </sheetData>
  <mergeCells count="12">
    <mergeCell ref="A3:B3"/>
    <mergeCell ref="D3:E3"/>
    <mergeCell ref="F3:G3"/>
    <mergeCell ref="A4:B4"/>
    <mergeCell ref="D4:E4"/>
    <mergeCell ref="A6:E6"/>
    <mergeCell ref="A7:E7"/>
    <mergeCell ref="A8:E8"/>
    <mergeCell ref="A9:E9"/>
    <mergeCell ref="A10:E10"/>
    <mergeCell ref="A11:E11"/>
    <mergeCell ref="A12:E12"/>
  </mergeCells>
  <conditionalFormatting sqref="A16:L64">
    <cfRule type="expression" priority="2" aboveAverage="0" equalAverage="0" bottom="0" percent="0" rank="0" text="" dxfId="0">
      <formula>$G16=MAX($G$16:$G$64)</formula>
    </cfRule>
  </conditionalFormatting>
  <dataValidations count="2">
    <dataValidation allowBlank="false" errorStyle="stop" operator="between" showDropDown="false" showErrorMessage="false" showInputMessage="false" sqref="C3" type="list">
      <formula1>"1,0.2"</formula1>
      <formula2>0</formula2>
    </dataValidation>
    <dataValidation allowBlank="false" errorStyle="stop" operator="between" showDropDown="false" showErrorMessage="false" showInputMessage="false" sqref="F3" type="list">
      <formula1>"Hai tràn,Kẹt van"</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10" min="6" style="0" width="12"/>
    <col collapsed="false" customWidth="true" hidden="false" outlineLevel="0" max="11" min="11" style="0" width="11"/>
    <col collapsed="false" customWidth="true" hidden="false" outlineLevel="0" max="12" min="12" style="0" width="12"/>
  </cols>
  <sheetData>
    <row r="1" customFormat="false" ht="17.35" hidden="false" customHeight="false" outlineLevel="0" collapsed="false">
      <c r="A1" s="6" t="s">
        <v>95</v>
      </c>
    </row>
    <row r="3" customFormat="false" ht="15" hidden="false" customHeight="false" outlineLevel="0" collapsed="false">
      <c r="A3" s="10" t="s">
        <v>96</v>
      </c>
      <c r="B3" s="10"/>
      <c r="C3" s="33" t="n">
        <v>0.2</v>
      </c>
      <c r="D3" s="10" t="s">
        <v>97</v>
      </c>
      <c r="E3" s="10"/>
      <c r="F3" s="34" t="s">
        <v>98</v>
      </c>
      <c r="G3" s="34"/>
      <c r="H3" s="7" t="s">
        <v>99</v>
      </c>
    </row>
    <row r="4" customFormat="false" ht="15" hidden="false" customHeight="false" outlineLevel="0" collapsed="false">
      <c r="A4" s="13" t="s">
        <v>100</v>
      </c>
      <c r="B4" s="13"/>
      <c r="C4" s="35" t="n">
        <f aca="false">MATCH(C3,Lu_P,0)</f>
        <v>2</v>
      </c>
      <c r="D4" s="13" t="s">
        <v>101</v>
      </c>
      <c r="E4" s="13"/>
      <c r="F4" s="35" t="n">
        <f aca="false">IF(F3="Kẹt van",2,1)</f>
        <v>1</v>
      </c>
    </row>
    <row r="5" customFormat="false" ht="15" hidden="false" customHeight="false" outlineLevel="0" collapsed="false">
      <c r="H5" s="7" t="s">
        <v>102</v>
      </c>
    </row>
    <row r="6" customFormat="false" ht="15" hidden="false" customHeight="false" outlineLevel="0" collapsed="false">
      <c r="A6" s="10" t="s">
        <v>103</v>
      </c>
      <c r="B6" s="10"/>
      <c r="C6" s="10"/>
      <c r="D6" s="10"/>
      <c r="E6" s="10"/>
      <c r="F6" s="21" t="n">
        <f aca="false">MAX(G16:G64)</f>
        <v>78.5144728723692</v>
      </c>
    </row>
    <row r="7" customFormat="false" ht="15" hidden="false" customHeight="false" outlineLevel="0" collapsed="false">
      <c r="A7" s="10" t="s">
        <v>104</v>
      </c>
      <c r="B7" s="10"/>
      <c r="C7" s="10"/>
      <c r="D7" s="10"/>
      <c r="E7" s="10"/>
      <c r="F7" s="36" t="n">
        <f aca="false">INDEX(A16:A64,MATCH(MAX(G16:G64),G16:G64,0))</f>
        <v>15</v>
      </c>
    </row>
    <row r="8" customFormat="false" ht="15" hidden="false" customHeight="false" outlineLevel="0" collapsed="false">
      <c r="A8" s="10" t="s">
        <v>105</v>
      </c>
      <c r="B8" s="10"/>
      <c r="C8" s="10"/>
      <c r="D8" s="10"/>
      <c r="E8" s="10"/>
      <c r="F8" s="37" t="n">
        <f aca="false">MAX(J16:J64)</f>
        <v>434.137837277021</v>
      </c>
    </row>
    <row r="9" customFormat="false" ht="15" hidden="false" customHeight="false" outlineLevel="0" collapsed="false">
      <c r="A9" s="10" t="s">
        <v>106</v>
      </c>
      <c r="B9" s="10"/>
      <c r="C9" s="10"/>
      <c r="D9" s="10"/>
      <c r="E9" s="10"/>
      <c r="F9" s="37" t="n">
        <f aca="false">INDEX(H16:H64,MATCH(MAX(G16:G64),G16:G64,0))</f>
        <v>272.037447771629</v>
      </c>
      <c r="G9" s="37" t="n">
        <f aca="false">INDEX(I16:I64,MATCH(MAX(G16:G64),G16:G64,0))</f>
        <v>162.100389505393</v>
      </c>
    </row>
    <row r="10" customFormat="false" ht="15" hidden="false" customHeight="false" outlineLevel="0" collapsed="false">
      <c r="A10" s="10" t="s">
        <v>107</v>
      </c>
      <c r="B10" s="10"/>
      <c r="C10" s="10"/>
      <c r="D10" s="10"/>
      <c r="E10" s="10"/>
      <c r="F10" s="21" t="n">
        <f aca="false">F6-TC_Z</f>
        <v>3.81447287236917</v>
      </c>
      <c r="G10" s="21" t="n">
        <f aca="false">F6-SC_Z</f>
        <v>7.51447287236917</v>
      </c>
    </row>
    <row r="11" customFormat="false" ht="15" hidden="false" customHeight="false" outlineLevel="0" collapsed="false">
      <c r="A11" s="10" t="s">
        <v>108</v>
      </c>
      <c r="B11" s="10"/>
      <c r="C11" s="10"/>
      <c r="D11" s="10"/>
      <c r="E11" s="10"/>
      <c r="F11" s="38" t="n">
        <f aca="false">INDEX(K16:K64,MATCH(MAX(G16:G64),G16:G64,0))-K16</f>
        <v>27.5316042556606</v>
      </c>
    </row>
    <row r="12" customFormat="false" ht="15" hidden="false" customHeight="false" outlineLevel="0" collapsed="false">
      <c r="A12" s="10" t="s">
        <v>109</v>
      </c>
      <c r="B12" s="10"/>
      <c r="C12" s="10"/>
      <c r="D12" s="10"/>
      <c r="E12" s="10"/>
      <c r="F12" s="39" t="n">
        <f aca="false">SUMPRODUCT((B16:B63+B17:B64)/2)*dt_s/1000000-SUMPRODUCT((J16:J63+J17:J64)/2)*dt_s/1000000-(K64-K16)</f>
        <v>1.48245773203826E-005</v>
      </c>
    </row>
    <row r="15" customFormat="false" ht="45" hidden="false" customHeight="true" outlineLevel="0" collapsed="false">
      <c r="A15" s="9" t="s">
        <v>69</v>
      </c>
      <c r="B15" s="9" t="s">
        <v>110</v>
      </c>
      <c r="C15" s="9" t="s">
        <v>111</v>
      </c>
      <c r="D15" s="9" t="s">
        <v>112</v>
      </c>
      <c r="E15" s="9" t="s">
        <v>113</v>
      </c>
      <c r="F15" s="9" t="s">
        <v>114</v>
      </c>
      <c r="G15" s="9" t="s">
        <v>115</v>
      </c>
      <c r="H15" s="9" t="s">
        <v>87</v>
      </c>
      <c r="I15" s="9" t="s">
        <v>90</v>
      </c>
      <c r="J15" s="9" t="s">
        <v>116</v>
      </c>
      <c r="K15" s="9" t="s">
        <v>117</v>
      </c>
      <c r="L15" s="9" t="s">
        <v>118</v>
      </c>
    </row>
    <row r="16" customFormat="false" ht="15" hidden="false" customHeight="false" outlineLevel="0" collapsed="false">
      <c r="A16" s="14" t="n">
        <v>0</v>
      </c>
      <c r="B16" s="40" t="n">
        <f aca="false">IFERROR(INDEX(Lu_Q,MATCH(A16,Lu_t,0),$C$4),0)</f>
        <v>4</v>
      </c>
      <c r="C16" s="40"/>
      <c r="D16" s="40"/>
      <c r="E16" s="40"/>
      <c r="F16" s="40"/>
      <c r="G16" s="41" t="n">
        <f aca="false">Z0</f>
        <v>74.7</v>
      </c>
      <c r="H16" s="42" t="n">
        <f aca="false">TC_s*(1-0.2*(TC_xmb+(TC_n-1)*TC_xmt)*MAX(G16-TC_Z,0)/(TC_n*TC_b))*TC_m*TC_n*TC_b*SQRT(2*g_)*MAX(G16-TC_Z,0)^1.5</f>
        <v>0</v>
      </c>
      <c r="I16" s="43" t="n">
        <f aca="false">IF($F$4=2,0,SC_s*(1-0.2*(SC_xmb+(SC_n-1)*SC_xmt)*MAX(G16-SC_Z,0)/(SC_n*SC_b))*SC_m*SC_n*SC_b*SQRT(2*g_)*MAX(G16-SC_Z,0)^1.5)</f>
        <v>63.5823321712985</v>
      </c>
      <c r="J16" s="40" t="n">
        <f aca="false">H16+I16</f>
        <v>63.5823321712985</v>
      </c>
      <c r="K16" s="23" t="n">
        <f aca="false">INDEX(QH_V,MATCH(G16,QH_Z,1))+(G16-INDEX(QH_Z,MATCH(G16,QH_Z,1)))*(INDEX(QH_V,MATCH(G16,QH_Z,1)+1)-INDEX(QH_V,MATCH(G16,QH_Z,1)))/(INDEX(QH_Z,MATCH(G16,QH_Z,1)+1)-INDEX(QH_Z,MATCH(G16,QH_Z,1)))</f>
        <v>36.4117</v>
      </c>
      <c r="L16" s="40" t="n">
        <f aca="false">K16*1000000/dt_s+J16/2</f>
        <v>10146.1522771968</v>
      </c>
    </row>
    <row r="17" customFormat="false" ht="15" hidden="false" customHeight="false" outlineLevel="0" collapsed="false">
      <c r="A17" s="14" t="n">
        <v>1</v>
      </c>
      <c r="B17" s="40" t="n">
        <f aca="false">IFERROR(INDEX(Lu_Q,MATCH(A17,Lu_t,0),$C$4),0)</f>
        <v>4</v>
      </c>
      <c r="C17" s="40" t="n">
        <f aca="false">(B16+B17)/2</f>
        <v>4</v>
      </c>
      <c r="D17" s="40" t="n">
        <f aca="false">L16</f>
        <v>10146.1522771968</v>
      </c>
      <c r="E17" s="40" t="n">
        <f aca="false">J16</f>
        <v>63.5823321712985</v>
      </c>
      <c r="F17" s="40" t="n">
        <f aca="false">D17+C17-E17</f>
        <v>10086.5699450255</v>
      </c>
      <c r="G17" s="41" t="n">
        <f aca="false">INDEX(QH_Z,MATCH(F17,INDEX(QH_f,0,$F$4),1))+(F17-INDEX(QH_f,MATCH(F17,INDEX(QH_f,0,$F$4),1),$F$4))*(INDEX(QH_Z,MATCH(F17,INDEX(QH_f,0,$F$4),1)+1)-INDEX(QH_Z,MATCH(F17,INDEX(QH_f,0,$F$4),1)))/(INDEX(QH_f,MATCH(F17,INDEX(QH_f,0,$F$4),1)+1,$F$4)-INDEX(QH_f,MATCH(F17,INDEX(QH_f,0,$F$4),1),$F$4))</f>
        <v>74.6659166116332</v>
      </c>
      <c r="H17" s="42" t="n">
        <f aca="false">TC_s*(1-0.2*(TC_xmb+(TC_n-1)*TC_xmt)*MAX(G17-TC_Z,0)/(TC_n*TC_b))*TC_m*TC_n*TC_b*SQRT(2*g_)*MAX(G17-TC_Z,0)^1.5</f>
        <v>0</v>
      </c>
      <c r="I17" s="43" t="n">
        <f aca="false">IF($F$4=2,0,SC_s*(1-0.2*(SC_xmb+(SC_n-1)*SC_xmt)*MAX(G17-SC_Z,0)/(SC_n*SC_b))*SC_m*SC_n*SC_b*SQRT(2*g_)*MAX(G17-SC_Z,0)^1.5)</f>
        <v>62.772562468053</v>
      </c>
      <c r="J17" s="40" t="n">
        <f aca="false">H17+I17</f>
        <v>62.772562468053</v>
      </c>
      <c r="K17" s="23" t="n">
        <f aca="false">INDEX(QH_V,MATCH(G17,QH_Z,1))+(G17-INDEX(QH_Z,MATCH(G17,QH_Z,1)))*(INDEX(QH_V,MATCH(G17,QH_Z,1)+1)-INDEX(QH_V,MATCH(G17,QH_Z,1)))/(INDEX(QH_Z,MATCH(G17,QH_Z,1)+1)-INDEX(QH_Z,MATCH(G17,QH_Z,1)))</f>
        <v>36.1986611483181</v>
      </c>
      <c r="L17" s="40" t="n">
        <f aca="false">K17*1000000/dt_s+J17/2</f>
        <v>10086.5699335446</v>
      </c>
    </row>
    <row r="18" customFormat="false" ht="15" hidden="false" customHeight="false" outlineLevel="0" collapsed="false">
      <c r="A18" s="14" t="n">
        <v>2</v>
      </c>
      <c r="B18" s="40" t="n">
        <f aca="false">IFERROR(INDEX(Lu_Q,MATCH(A18,Lu_t,0),$C$4),0)</f>
        <v>84</v>
      </c>
      <c r="C18" s="40" t="n">
        <f aca="false">(B17+B18)/2</f>
        <v>44</v>
      </c>
      <c r="D18" s="40" t="n">
        <f aca="false">L17</f>
        <v>10086.5699335446</v>
      </c>
      <c r="E18" s="40" t="n">
        <f aca="false">J17</f>
        <v>62.772562468053</v>
      </c>
      <c r="F18" s="40" t="n">
        <f aca="false">D18+C18-E18</f>
        <v>10067.7973710766</v>
      </c>
      <c r="G18" s="41" t="n">
        <f aca="false">INDEX(QH_Z,MATCH(F18,INDEX(QH_f,0,$F$4),1))+(F18-INDEX(QH_f,MATCH(F18,INDEX(QH_f,0,$F$4),1),$F$4))*(INDEX(QH_Z,MATCH(F18,INDEX(QH_f,0,$F$4),1)+1)-INDEX(QH_Z,MATCH(F18,INDEX(QH_f,0,$F$4),1)))/(INDEX(QH_f,MATCH(F18,INDEX(QH_f,0,$F$4),1)+1,$F$4)-INDEX(QH_f,MATCH(F18,INDEX(QH_f,0,$F$4),1),$F$4))</f>
        <v>74.655152892359</v>
      </c>
      <c r="H18" s="42" t="n">
        <f aca="false">TC_s*(1-0.2*(TC_xmb+(TC_n-1)*TC_xmt)*MAX(G18-TC_Z,0)/(TC_n*TC_b))*TC_m*TC_n*TC_b*SQRT(2*g_)*MAX(G18-TC_Z,0)^1.5</f>
        <v>0</v>
      </c>
      <c r="I18" s="43" t="n">
        <f aca="false">IF($F$4=2,0,SC_s*(1-0.2*(SC_xmb+(SC_n-1)*SC_xmt)*MAX(G18-SC_Z,0)/(SC_n*SC_b))*SC_m*SC_n*SC_b*SQRT(2*g_)*MAX(G18-SC_Z,0)^1.5)</f>
        <v>62.51728995141</v>
      </c>
      <c r="J18" s="40" t="n">
        <f aca="false">H18+I18</f>
        <v>62.51728995141</v>
      </c>
      <c r="K18" s="23" t="n">
        <f aca="false">INDEX(QH_V,MATCH(G18,QH_Z,1))+(G18-INDEX(QH_Z,MATCH(G18,QH_Z,1)))*(INDEX(QH_V,MATCH(G18,QH_Z,1)+1)-INDEX(QH_V,MATCH(G18,QH_Z,1)))/(INDEX(QH_Z,MATCH(G18,QH_Z,1)+1)-INDEX(QH_Z,MATCH(G18,QH_Z,1)))</f>
        <v>36.1315393710487</v>
      </c>
      <c r="L18" s="40" t="n">
        <f aca="false">K18*1000000/dt_s+J18/2</f>
        <v>10067.7973591559</v>
      </c>
    </row>
    <row r="19" customFormat="false" ht="15" hidden="false" customHeight="false" outlineLevel="0" collapsed="false">
      <c r="A19" s="14" t="n">
        <v>3</v>
      </c>
      <c r="B19" s="40" t="n">
        <f aca="false">IFERROR(INDEX(Lu_Q,MATCH(A19,Lu_t,0),$C$4),0)</f>
        <v>324</v>
      </c>
      <c r="C19" s="40" t="n">
        <f aca="false">(B18+B19)/2</f>
        <v>204</v>
      </c>
      <c r="D19" s="40" t="n">
        <f aca="false">L18</f>
        <v>10067.7973591559</v>
      </c>
      <c r="E19" s="40" t="n">
        <f aca="false">J18</f>
        <v>62.51728995141</v>
      </c>
      <c r="F19" s="40" t="n">
        <f aca="false">D19+C19-E19</f>
        <v>10209.2800692045</v>
      </c>
      <c r="G19" s="41" t="n">
        <f aca="false">INDEX(QH_Z,MATCH(F19,INDEX(QH_f,0,$F$4),1))+(F19-INDEX(QH_f,MATCH(F19,INDEX(QH_f,0,$F$4),1),$F$4))*(INDEX(QH_Z,MATCH(F19,INDEX(QH_f,0,$F$4),1)+1)-INDEX(QH_Z,MATCH(F19,INDEX(QH_f,0,$F$4),1)))/(INDEX(QH_f,MATCH(F19,INDEX(QH_f,0,$F$4),1)+1,$F$4)-INDEX(QH_f,MATCH(F19,INDEX(QH_f,0,$F$4),1),$F$4))</f>
        <v>74.7358923306823</v>
      </c>
      <c r="H19" s="42" t="n">
        <f aca="false">TC_s*(1-0.2*(TC_xmb+(TC_n-1)*TC_xmt)*MAX(G19-TC_Z,0)/(TC_n*TC_b))*TC_m*TC_n*TC_b*SQRT(2*g_)*MAX(G19-TC_Z,0)^1.5</f>
        <v>0.292346020221981</v>
      </c>
      <c r="I19" s="43" t="n">
        <f aca="false">IF($F$4=2,0,SC_s*(1-0.2*(SC_xmb+(SC_n-1)*SC_xmt)*MAX(G19-SC_Z,0)/(SC_n*SC_b))*SC_m*SC_n*SC_b*SQRT(2*g_)*MAX(G19-SC_Z,0)^1.5)</f>
        <v>64.4374311482202</v>
      </c>
      <c r="J19" s="40" t="n">
        <f aca="false">H19+I19</f>
        <v>64.7297771684422</v>
      </c>
      <c r="K19" s="23" t="n">
        <f aca="false">INDEX(QH_V,MATCH(G19,QH_Z,1))+(G19-INDEX(QH_Z,MATCH(G19,QH_Z,1)))*(INDEX(QH_V,MATCH(G19,QH_Z,1)+1)-INDEX(QH_V,MATCH(G19,QH_Z,1)))/(INDEX(QH_Z,MATCH(G19,QH_Z,1)+1)-INDEX(QH_Z,MATCH(G19,QH_Z,1)))</f>
        <v>36.6368908875714</v>
      </c>
      <c r="L19" s="40" t="n">
        <f aca="false">K19*1000000/dt_s+J19/2</f>
        <v>10209.2790240207</v>
      </c>
    </row>
    <row r="20" customFormat="false" ht="15" hidden="false" customHeight="false" outlineLevel="0" collapsed="false">
      <c r="A20" s="14" t="n">
        <v>4</v>
      </c>
      <c r="B20" s="40" t="n">
        <f aca="false">IFERROR(INDEX(Lu_Q,MATCH(A20,Lu_t,0),$C$4),0)</f>
        <v>652</v>
      </c>
      <c r="C20" s="40" t="n">
        <f aca="false">(B19+B20)/2</f>
        <v>488</v>
      </c>
      <c r="D20" s="40" t="n">
        <f aca="false">L19</f>
        <v>10209.2790240207</v>
      </c>
      <c r="E20" s="40" t="n">
        <f aca="false">J19</f>
        <v>64.7297771684422</v>
      </c>
      <c r="F20" s="40" t="n">
        <f aca="false">D20+C20-E20</f>
        <v>10632.5492468523</v>
      </c>
      <c r="G20" s="41" t="n">
        <f aca="false">INDEX(QH_Z,MATCH(F20,INDEX(QH_f,0,$F$4),1))+(F20-INDEX(QH_f,MATCH(F20,INDEX(QH_f,0,$F$4),1),$F$4))*(INDEX(QH_Z,MATCH(F20,INDEX(QH_f,0,$F$4),1)+1)-INDEX(QH_Z,MATCH(F20,INDEX(QH_f,0,$F$4),1)))/(INDEX(QH_f,MATCH(F20,INDEX(QH_f,0,$F$4),1)+1,$F$4)-INDEX(QH_f,MATCH(F20,INDEX(QH_f,0,$F$4),1),$F$4))</f>
        <v>74.9721071904987</v>
      </c>
      <c r="H20" s="42" t="n">
        <f aca="false">TC_s*(1-0.2*(TC_xmb+(TC_n-1)*TC_xmt)*MAX(G20-TC_Z,0)/(TC_n*TC_b))*TC_m*TC_n*TC_b*SQRT(2*g_)*MAX(G20-TC_Z,0)^1.5</f>
        <v>6.0449820987436</v>
      </c>
      <c r="I20" s="43" t="n">
        <f aca="false">IF($F$4=2,0,SC_s*(1-0.2*(SC_xmb+(SC_n-1)*SC_xmt)*MAX(G20-SC_Z,0)/(SC_n*SC_b))*SC_m*SC_n*SC_b*SQRT(2*g_)*MAX(G20-SC_Z,0)^1.5)</f>
        <v>70.1226339131652</v>
      </c>
      <c r="J20" s="40" t="n">
        <f aca="false">H20+I20</f>
        <v>76.1676160119088</v>
      </c>
      <c r="K20" s="23" t="n">
        <f aca="false">INDEX(QH_V,MATCH(G20,QH_Z,1))+(G20-INDEX(QH_Z,MATCH(G20,QH_Z,1)))*(INDEX(QH_V,MATCH(G20,QH_Z,1)+1)-INDEX(QH_V,MATCH(G20,QH_Z,1)))/(INDEX(QH_Z,MATCH(G20,QH_Z,1)+1)-INDEX(QH_Z,MATCH(G20,QH_Z,1)))</f>
        <v>38.1400746819782</v>
      </c>
      <c r="L20" s="40" t="n">
        <f aca="false">K20*1000000/dt_s+J20/2</f>
        <v>10632.5489974443</v>
      </c>
    </row>
    <row r="21" customFormat="false" ht="15" hidden="false" customHeight="false" outlineLevel="0" collapsed="false">
      <c r="A21" s="14" t="n">
        <v>5</v>
      </c>
      <c r="B21" s="40" t="n">
        <f aca="false">IFERROR(INDEX(Lu_Q,MATCH(A21,Lu_t,0),$C$4),0)</f>
        <v>950</v>
      </c>
      <c r="C21" s="40" t="n">
        <f aca="false">(B20+B21)/2</f>
        <v>801</v>
      </c>
      <c r="D21" s="40" t="n">
        <f aca="false">L20</f>
        <v>10632.5489974443</v>
      </c>
      <c r="E21" s="40" t="n">
        <f aca="false">J20</f>
        <v>76.1676160119088</v>
      </c>
      <c r="F21" s="40" t="n">
        <f aca="false">D21+C21-E21</f>
        <v>11357.3813814324</v>
      </c>
      <c r="G21" s="41" t="n">
        <f aca="false">INDEX(QH_Z,MATCH(F21,INDEX(QH_f,0,$F$4),1))+(F21-INDEX(QH_f,MATCH(F21,INDEX(QH_f,0,$F$4),1),$F$4))*(INDEX(QH_Z,MATCH(F21,INDEX(QH_f,0,$F$4),1)+1)-INDEX(QH_Z,MATCH(F21,INDEX(QH_f,0,$F$4),1)))/(INDEX(QH_f,MATCH(F21,INDEX(QH_f,0,$F$4),1)+1,$F$4)-INDEX(QH_f,MATCH(F21,INDEX(QH_f,0,$F$4),1),$F$4))</f>
        <v>75.3642361757912</v>
      </c>
      <c r="H21" s="42" t="n">
        <f aca="false">TC_s*(1-0.2*(TC_xmb+(TC_n-1)*TC_xmt)*MAX(G21-TC_Z,0)/(TC_n*TC_b))*TC_m*TC_n*TC_b*SQRT(2*g_)*MAX(G21-TC_Z,0)^1.5</f>
        <v>22.6913012913157</v>
      </c>
      <c r="I21" s="43" t="n">
        <f aca="false">IF($F$4=2,0,SC_s*(1-0.2*(SC_xmb+(SC_n-1)*SC_xmt)*MAX(G21-SC_Z,0)/(SC_n*SC_b))*SC_m*SC_n*SC_b*SQRT(2*g_)*MAX(G21-SC_Z,0)^1.5)</f>
        <v>79.7610109245543</v>
      </c>
      <c r="J21" s="40" t="n">
        <f aca="false">H21+I21</f>
        <v>102.45231221587</v>
      </c>
      <c r="K21" s="23" t="n">
        <f aca="false">INDEX(QH_V,MATCH(G21,QH_Z,1))+(G21-INDEX(QH_Z,MATCH(G21,QH_Z,1)))*(INDEX(QH_V,MATCH(G21,QH_Z,1)+1)-INDEX(QH_V,MATCH(G21,QH_Z,1)))/(INDEX(QH_Z,MATCH(G21,QH_Z,1)+1)-INDEX(QH_Z,MATCH(G21,QH_Z,1)))</f>
        <v>40.702158025443</v>
      </c>
      <c r="L21" s="40" t="n">
        <f aca="false">K21*1000000/dt_s+J21/2</f>
        <v>11357.3811631754</v>
      </c>
    </row>
    <row r="22" customFormat="false" ht="15" hidden="false" customHeight="false" outlineLevel="0" collapsed="false">
      <c r="A22" s="14" t="n">
        <v>6</v>
      </c>
      <c r="B22" s="40" t="n">
        <f aca="false">IFERROR(INDEX(Lu_Q,MATCH(A22,Lu_t,0),$C$4),0)</f>
        <v>1150</v>
      </c>
      <c r="C22" s="40" t="n">
        <f aca="false">(B21+B22)/2</f>
        <v>1050</v>
      </c>
      <c r="D22" s="40" t="n">
        <f aca="false">L21</f>
        <v>11357.3811631754</v>
      </c>
      <c r="E22" s="40" t="n">
        <f aca="false">J21</f>
        <v>102.45231221587</v>
      </c>
      <c r="F22" s="40" t="n">
        <f aca="false">D22+C22-E22</f>
        <v>12304.9288509596</v>
      </c>
      <c r="G22" s="41" t="n">
        <f aca="false">INDEX(QH_Z,MATCH(F22,INDEX(QH_f,0,$F$4),1))+(F22-INDEX(QH_f,MATCH(F22,INDEX(QH_f,0,$F$4),1),$F$4))*(INDEX(QH_Z,MATCH(F22,INDEX(QH_f,0,$F$4),1)+1)-INDEX(QH_Z,MATCH(F22,INDEX(QH_f,0,$F$4),1)))/(INDEX(QH_f,MATCH(F22,INDEX(QH_f,0,$F$4),1)+1,$F$4)-INDEX(QH_f,MATCH(F22,INDEX(QH_f,0,$F$4),1),$F$4))</f>
        <v>75.8601476389885</v>
      </c>
      <c r="H22" s="42" t="n">
        <f aca="false">TC_s*(1-0.2*(TC_xmb+(TC_n-1)*TC_xmt)*MAX(G22-TC_Z,0)/(TC_n*TC_b))*TC_m*TC_n*TC_b*SQRT(2*g_)*MAX(G22-TC_Z,0)^1.5</f>
        <v>51.315320348276</v>
      </c>
      <c r="I22" s="43" t="n">
        <f aca="false">IF($F$4=2,0,SC_s*(1-0.2*(SC_xmb+(SC_n-1)*SC_xmt)*MAX(G22-SC_Z,0)/(SC_n*SC_b))*SC_m*SC_n*SC_b*SQRT(2*g_)*MAX(G22-SC_Z,0)^1.5)</f>
        <v>92.2523977950848</v>
      </c>
      <c r="J22" s="40" t="n">
        <f aca="false">H22+I22</f>
        <v>143.567718143361</v>
      </c>
      <c r="K22" s="23" t="n">
        <f aca="false">INDEX(QH_V,MATCH(G22,QH_Z,1))+(G22-INDEX(QH_Z,MATCH(G22,QH_Z,1)))*(INDEX(QH_V,MATCH(G22,QH_Z,1)+1)-INDEX(QH_V,MATCH(G22,QH_Z,1)))/(INDEX(QH_Z,MATCH(G22,QH_Z,1)+1)-INDEX(QH_Z,MATCH(G22,QH_Z,1)))</f>
        <v>44.039321939265</v>
      </c>
      <c r="L22" s="40" t="n">
        <f aca="false">K22*1000000/dt_s+J22/2</f>
        <v>12304.9288422008</v>
      </c>
    </row>
    <row r="23" customFormat="false" ht="15" hidden="false" customHeight="false" outlineLevel="0" collapsed="false">
      <c r="A23" s="14" t="n">
        <v>7</v>
      </c>
      <c r="B23" s="40" t="n">
        <f aca="false">IFERROR(INDEX(Lu_Q,MATCH(A23,Lu_t,0),$C$4),0)</f>
        <v>1239</v>
      </c>
      <c r="C23" s="40" t="n">
        <f aca="false">(B22+B23)/2</f>
        <v>1194.5</v>
      </c>
      <c r="D23" s="40" t="n">
        <f aca="false">L22</f>
        <v>12304.9288422008</v>
      </c>
      <c r="E23" s="40" t="n">
        <f aca="false">J22</f>
        <v>143.567718143361</v>
      </c>
      <c r="F23" s="40" t="n">
        <f aca="false">D23+C23-E23</f>
        <v>13355.8611240575</v>
      </c>
      <c r="G23" s="41" t="n">
        <f aca="false">INDEX(QH_Z,MATCH(F23,INDEX(QH_f,0,$F$4),1))+(F23-INDEX(QH_f,MATCH(F23,INDEX(QH_f,0,$F$4),1),$F$4))*(INDEX(QH_Z,MATCH(F23,INDEX(QH_f,0,$F$4),1)+1)-INDEX(QH_Z,MATCH(F23,INDEX(QH_f,0,$F$4),1)))/(INDEX(QH_f,MATCH(F23,INDEX(QH_f,0,$F$4),1)+1,$F$4)-INDEX(QH_f,MATCH(F23,INDEX(QH_f,0,$F$4),1),$F$4))</f>
        <v>76.3903659196594</v>
      </c>
      <c r="H23" s="42" t="n">
        <f aca="false">TC_s*(1-0.2*(TC_xmb+(TC_n-1)*TC_xmt)*MAX(G23-TC_Z,0)/(TC_n*TC_b))*TC_m*TC_n*TC_b*SQRT(2*g_)*MAX(G23-TC_Z,0)^1.5</f>
        <v>88.2527175716226</v>
      </c>
      <c r="I23" s="43" t="n">
        <f aca="false">IF($F$4=2,0,SC_s*(1-0.2*(SC_xmb+(SC_n-1)*SC_xmt)*MAX(G23-SC_Z,0)/(SC_n*SC_b))*SC_m*SC_n*SC_b*SQRT(2*g_)*MAX(G23-SC_Z,0)^1.5)</f>
        <v>105.901658615438</v>
      </c>
      <c r="J23" s="40" t="n">
        <f aca="false">H23+I23</f>
        <v>194.154376187061</v>
      </c>
      <c r="K23" s="23" t="n">
        <f aca="false">INDEX(QH_V,MATCH(G23,QH_Z,1))+(G23-INDEX(QH_Z,MATCH(G23,QH_Z,1)))*(INDEX(QH_V,MATCH(G23,QH_Z,1)+1)-INDEX(QH_V,MATCH(G23,QH_Z,1)))/(INDEX(QH_Z,MATCH(G23,QH_Z,1)+1)-INDEX(QH_Z,MATCH(G23,QH_Z,1)))</f>
        <v>47.7316221147822</v>
      </c>
      <c r="L23" s="40" t="n">
        <f aca="false">K23*1000000/dt_s+J23/2</f>
        <v>13355.8611088664</v>
      </c>
    </row>
    <row r="24" customFormat="false" ht="15" hidden="false" customHeight="false" outlineLevel="0" collapsed="false">
      <c r="A24" s="14" t="n">
        <v>8</v>
      </c>
      <c r="B24" s="40" t="n">
        <f aca="false">IFERROR(INDEX(Lu_Q,MATCH(A24,Lu_t,0),$C$4),0)</f>
        <v>1236</v>
      </c>
      <c r="C24" s="40" t="n">
        <f aca="false">(B23+B24)/2</f>
        <v>1237.5</v>
      </c>
      <c r="D24" s="40" t="n">
        <f aca="false">L23</f>
        <v>13355.8611088664</v>
      </c>
      <c r="E24" s="40" t="n">
        <f aca="false">J23</f>
        <v>194.154376187061</v>
      </c>
      <c r="F24" s="40" t="n">
        <f aca="false">D24+C24-E24</f>
        <v>14399.2067326793</v>
      </c>
      <c r="G24" s="41" t="n">
        <f aca="false">INDEX(QH_Z,MATCH(F24,INDEX(QH_f,0,$F$4),1))+(F24-INDEX(QH_f,MATCH(F24,INDEX(QH_f,0,$F$4),1),$F$4))*(INDEX(QH_Z,MATCH(F24,INDEX(QH_f,0,$F$4),1)+1)-INDEX(QH_Z,MATCH(F24,INDEX(QH_f,0,$F$4),1)))/(INDEX(QH_f,MATCH(F24,INDEX(QH_f,0,$F$4),1)+1,$F$4)-INDEX(QH_f,MATCH(F24,INDEX(QH_f,0,$F$4),1),$F$4))</f>
        <v>76.8972544519853</v>
      </c>
      <c r="H24" s="42" t="n">
        <f aca="false">TC_s*(1-0.2*(TC_xmb+(TC_n-1)*TC_xmt)*MAX(G24-TC_Z,0)/(TC_n*TC_b))*TC_m*TC_n*TC_b*SQRT(2*g_)*MAX(G24-TC_Z,0)^1.5</f>
        <v>127.960853235927</v>
      </c>
      <c r="I24" s="43" t="n">
        <f aca="false">IF($F$4=2,0,SC_s*(1-0.2*(SC_xmb+(SC_n-1)*SC_xmt)*MAX(G24-SC_Z,0)/(SC_n*SC_b))*SC_m*SC_n*SC_b*SQRT(2*g_)*MAX(G24-SC_Z,0)^1.5)</f>
        <v>119.159659081722</v>
      </c>
      <c r="J24" s="40" t="n">
        <f aca="false">H24+I24</f>
        <v>247.120512317648</v>
      </c>
      <c r="K24" s="23" t="n">
        <f aca="false">INDEX(QH_V,MATCH(G24,QH_Z,1))+(G24-INDEX(QH_Z,MATCH(G24,QH_Z,1)))*(INDEX(QH_V,MATCH(G24,QH_Z,1)+1)-INDEX(QH_V,MATCH(G24,QH_Z,1)))/(INDEX(QH_Z,MATCH(G24,QH_Z,1)+1)-INDEX(QH_Z,MATCH(G24,QH_Z,1)))</f>
        <v>51.3923270859621</v>
      </c>
      <c r="L24" s="40" t="n">
        <f aca="false">K24*1000000/dt_s+J24/2</f>
        <v>14399.2066689261</v>
      </c>
    </row>
    <row r="25" customFormat="false" ht="15" hidden="false" customHeight="false" outlineLevel="0" collapsed="false">
      <c r="A25" s="14" t="n">
        <v>9</v>
      </c>
      <c r="B25" s="40" t="n">
        <f aca="false">IFERROR(INDEX(Lu_Q,MATCH(A25,Lu_t,0),$C$4),0)</f>
        <v>1168</v>
      </c>
      <c r="C25" s="40" t="n">
        <f aca="false">(B24+B25)/2</f>
        <v>1202</v>
      </c>
      <c r="D25" s="40" t="n">
        <f aca="false">L24</f>
        <v>14399.2066689261</v>
      </c>
      <c r="E25" s="40" t="n">
        <f aca="false">J24</f>
        <v>247.120512317648</v>
      </c>
      <c r="F25" s="40" t="n">
        <f aca="false">D25+C25-E25</f>
        <v>15354.0861566084</v>
      </c>
      <c r="G25" s="41" t="n">
        <f aca="false">INDEX(QH_Z,MATCH(F25,INDEX(QH_f,0,$F$4),1))+(F25-INDEX(QH_f,MATCH(F25,INDEX(QH_f,0,$F$4),1),$F$4))*(INDEX(QH_Z,MATCH(F25,INDEX(QH_f,0,$F$4),1)+1)-INDEX(QH_Z,MATCH(F25,INDEX(QH_f,0,$F$4),1)))/(INDEX(QH_f,MATCH(F25,INDEX(QH_f,0,$F$4),1)+1,$F$4)-INDEX(QH_f,MATCH(F25,INDEX(QH_f,0,$F$4),1),$F$4))</f>
        <v>77.3459398003893</v>
      </c>
      <c r="H25" s="42" t="n">
        <f aca="false">TC_s*(1-0.2*(TC_xmb+(TC_n-1)*TC_xmt)*MAX(G25-TC_Z,0)/(TC_n*TC_b))*TC_m*TC_n*TC_b*SQRT(2*g_)*MAX(G25-TC_Z,0)^1.5</f>
        <v>165.783015432063</v>
      </c>
      <c r="I25" s="43" t="n">
        <f aca="false">IF($F$4=2,0,SC_s*(1-0.2*(SC_xmb+(SC_n-1)*SC_xmt)*MAX(G25-SC_Z,0)/(SC_n*SC_b))*SC_m*SC_n*SC_b*SQRT(2*g_)*MAX(G25-SC_Z,0)^1.5)</f>
        <v>131.012718926797</v>
      </c>
      <c r="J25" s="40" t="n">
        <f aca="false">H25+I25</f>
        <v>296.79573435886</v>
      </c>
      <c r="K25" s="23" t="n">
        <f aca="false">INDEX(QH_V,MATCH(G25,QH_Z,1))+(G25-INDEX(QH_Z,MATCH(G25,QH_Z,1)))*(INDEX(QH_V,MATCH(G25,QH_Z,1)+1)-INDEX(QH_V,MATCH(G25,QH_Z,1)))/(INDEX(QH_Z,MATCH(G25,QH_Z,1)+1)-INDEX(QH_Z,MATCH(G25,QH_Z,1)))</f>
        <v>54.7404776307594</v>
      </c>
      <c r="L25" s="40" t="n">
        <f aca="false">K25*1000000/dt_s+J25/2</f>
        <v>15354.0860979459</v>
      </c>
    </row>
    <row r="26" customFormat="false" ht="15" hidden="false" customHeight="false" outlineLevel="0" collapsed="false">
      <c r="A26" s="14" t="n">
        <v>10</v>
      </c>
      <c r="B26" s="40" t="n">
        <f aca="false">IFERROR(INDEX(Lu_Q,MATCH(A26,Lu_t,0),$C$4),0)</f>
        <v>1062</v>
      </c>
      <c r="C26" s="40" t="n">
        <f aca="false">(B25+B26)/2</f>
        <v>1115</v>
      </c>
      <c r="D26" s="40" t="n">
        <f aca="false">L25</f>
        <v>15354.0860979459</v>
      </c>
      <c r="E26" s="40" t="n">
        <f aca="false">J25</f>
        <v>296.79573435886</v>
      </c>
      <c r="F26" s="40" t="n">
        <f aca="false">D26+C26-E26</f>
        <v>16172.2903635871</v>
      </c>
      <c r="G26" s="41" t="n">
        <f aca="false">INDEX(QH_Z,MATCH(F26,INDEX(QH_f,0,$F$4),1))+(F26-INDEX(QH_f,MATCH(F26,INDEX(QH_f,0,$F$4),1),$F$4))*(INDEX(QH_Z,MATCH(F26,INDEX(QH_f,0,$F$4),1)+1)-INDEX(QH_Z,MATCH(F26,INDEX(QH_f,0,$F$4),1)))/(INDEX(QH_f,MATCH(F26,INDEX(QH_f,0,$F$4),1)+1,$F$4)-INDEX(QH_f,MATCH(F26,INDEX(QH_f,0,$F$4),1),$F$4))</f>
        <v>77.7198156641666</v>
      </c>
      <c r="H26" s="42" t="n">
        <f aca="false">TC_s*(1-0.2*(TC_xmb+(TC_n-1)*TC_xmt)*MAX(G26-TC_Z,0)/(TC_n*TC_b))*TC_m*TC_n*TC_b*SQRT(2*g_)*MAX(G26-TC_Z,0)^1.5</f>
        <v>198.771395228876</v>
      </c>
      <c r="I26" s="43" t="n">
        <f aca="false">IF($F$4=2,0,SC_s*(1-0.2*(SC_xmb+(SC_n-1)*SC_xmt)*MAX(G26-SC_Z,0)/(SC_n*SC_b))*SC_m*SC_n*SC_b*SQRT(2*g_)*MAX(G26-SC_Z,0)^1.5)</f>
        <v>140.942271309003</v>
      </c>
      <c r="J26" s="40" t="n">
        <f aca="false">H26+I26</f>
        <v>339.713666537879</v>
      </c>
      <c r="K26" s="23" t="n">
        <f aca="false">INDEX(QH_V,MATCH(G26,QH_Z,1))+(G26-INDEX(QH_Z,MATCH(G26,QH_Z,1)))*(INDEX(QH_V,MATCH(G26,QH_Z,1)+1)-INDEX(QH_V,MATCH(G26,QH_Z,1)))/(INDEX(QH_Z,MATCH(G26,QH_Z,1)+1)-INDEX(QH_Z,MATCH(G26,QH_Z,1)))</f>
        <v>57.6087606967709</v>
      </c>
      <c r="L26" s="40" t="n">
        <f aca="false">K26*1000000/dt_s+J26/2</f>
        <v>16172.2903601497</v>
      </c>
    </row>
    <row r="27" customFormat="false" ht="15" hidden="false" customHeight="false" outlineLevel="0" collapsed="false">
      <c r="A27" s="14" t="n">
        <v>11</v>
      </c>
      <c r="B27" s="40" t="n">
        <f aca="false">IFERROR(INDEX(Lu_Q,MATCH(A27,Lu_t,0),$C$4),0)</f>
        <v>937</v>
      </c>
      <c r="C27" s="40" t="n">
        <f aca="false">(B26+B27)/2</f>
        <v>999.5</v>
      </c>
      <c r="D27" s="40" t="n">
        <f aca="false">L26</f>
        <v>16172.2903601497</v>
      </c>
      <c r="E27" s="40" t="n">
        <f aca="false">J26</f>
        <v>339.713666537879</v>
      </c>
      <c r="F27" s="40" t="n">
        <f aca="false">D27+C27-E27</f>
        <v>16832.0766936119</v>
      </c>
      <c r="G27" s="41" t="n">
        <f aca="false">INDEX(QH_Z,MATCH(F27,INDEX(QH_f,0,$F$4),1))+(F27-INDEX(QH_f,MATCH(F27,INDEX(QH_f,0,$F$4),1),$F$4))*(INDEX(QH_Z,MATCH(F27,INDEX(QH_f,0,$F$4),1)+1)-INDEX(QH_Z,MATCH(F27,INDEX(QH_f,0,$F$4),1)))/(INDEX(QH_f,MATCH(F27,INDEX(QH_f,0,$F$4),1)+1,$F$4)-INDEX(QH_f,MATCH(F27,INDEX(QH_f,0,$F$4),1),$F$4))</f>
        <v>78.0147426889025</v>
      </c>
      <c r="H27" s="42" t="n">
        <f aca="false">TC_s*(1-0.2*(TC_xmb+(TC_n-1)*TC_xmt)*MAX(G27-TC_Z,0)/(TC_n*TC_b))*TC_m*TC_n*TC_b*SQRT(2*g_)*MAX(G27-TC_Z,0)^1.5</f>
        <v>225.539336549638</v>
      </c>
      <c r="I27" s="43" t="n">
        <f aca="false">IF($F$4=2,0,SC_s*(1-0.2*(SC_xmb+(SC_n-1)*SC_xmt)*MAX(G27-SC_Z,0)/(SC_n*SC_b))*SC_m*SC_n*SC_b*SQRT(2*g_)*MAX(G27-SC_Z,0)^1.5)</f>
        <v>148.793051408771</v>
      </c>
      <c r="J27" s="40" t="n">
        <f aca="false">H27+I27</f>
        <v>374.332387958409</v>
      </c>
      <c r="K27" s="23" t="n">
        <f aca="false">INDEX(QH_V,MATCH(G27,QH_Z,1))+(G27-INDEX(QH_Z,MATCH(G27,QH_Z,1)))*(INDEX(QH_V,MATCH(G27,QH_Z,1)+1)-INDEX(QH_V,MATCH(G27,QH_Z,1)))/(INDEX(QH_Z,MATCH(G27,QH_Z,1)+1)-INDEX(QH_Z,MATCH(G27,QH_Z,1)))</f>
        <v>59.9216776621922</v>
      </c>
      <c r="L27" s="40" t="n">
        <f aca="false">K27*1000000/dt_s+J27/2</f>
        <v>16832.0766556993</v>
      </c>
    </row>
    <row r="28" customFormat="false" ht="15" hidden="false" customHeight="false" outlineLevel="0" collapsed="false">
      <c r="A28" s="14" t="n">
        <v>12</v>
      </c>
      <c r="B28" s="40" t="n">
        <f aca="false">IFERROR(INDEX(Lu_Q,MATCH(A28,Lu_t,0),$C$4),0)</f>
        <v>808</v>
      </c>
      <c r="C28" s="40" t="n">
        <f aca="false">(B27+B28)/2</f>
        <v>872.5</v>
      </c>
      <c r="D28" s="40" t="n">
        <f aca="false">L27</f>
        <v>16832.0766556993</v>
      </c>
      <c r="E28" s="40" t="n">
        <f aca="false">J27</f>
        <v>374.332387958409</v>
      </c>
      <c r="F28" s="40" t="n">
        <f aca="false">D28+C28-E28</f>
        <v>17330.2442677409</v>
      </c>
      <c r="G28" s="41" t="n">
        <f aca="false">INDEX(QH_Z,MATCH(F28,INDEX(QH_f,0,$F$4),1))+(F28-INDEX(QH_f,MATCH(F28,INDEX(QH_f,0,$F$4),1),$F$4))*(INDEX(QH_Z,MATCH(F28,INDEX(QH_f,0,$F$4),1)+1)-INDEX(QH_Z,MATCH(F28,INDEX(QH_f,0,$F$4),1)))/(INDEX(QH_f,MATCH(F28,INDEX(QH_f,0,$F$4),1)+1,$F$4)-INDEX(QH_f,MATCH(F28,INDEX(QH_f,0,$F$4),1),$F$4))</f>
        <v>78.233750446094</v>
      </c>
      <c r="H28" s="42" t="n">
        <f aca="false">TC_s*(1-0.2*(TC_xmb+(TC_n-1)*TC_xmt)*MAX(G28-TC_Z,0)/(TC_n*TC_b))*TC_m*TC_n*TC_b*SQRT(2*g_)*MAX(G28-TC_Z,0)^1.5</f>
        <v>245.76306044962</v>
      </c>
      <c r="I28" s="43" t="n">
        <f aca="false">IF($F$4=2,0,SC_s*(1-0.2*(SC_xmb+(SC_n-1)*SC_xmt)*MAX(G28-SC_Z,0)/(SC_n*SC_b))*SC_m*SC_n*SC_b*SQRT(2*g_)*MAX(G28-SC_Z,0)^1.5)</f>
        <v>154.626341845162</v>
      </c>
      <c r="J28" s="40" t="n">
        <f aca="false">H28+I28</f>
        <v>400.389402294782</v>
      </c>
      <c r="K28" s="23" t="n">
        <f aca="false">INDEX(QH_V,MATCH(G28,QH_Z,1))+(G28-INDEX(QH_Z,MATCH(G28,QH_Z,1)))*(INDEX(QH_V,MATCH(G28,QH_Z,1)+1)-INDEX(QH_V,MATCH(G28,QH_Z,1)))/(INDEX(QH_Z,MATCH(G28,QH_Z,1)+1)-INDEX(QH_Z,MATCH(G28,QH_Z,1)))</f>
        <v>61.6681783331159</v>
      </c>
      <c r="L28" s="40" t="n">
        <f aca="false">K28*1000000/dt_s+J28/2</f>
        <v>17330.244238124</v>
      </c>
    </row>
    <row r="29" customFormat="false" ht="15" hidden="false" customHeight="false" outlineLevel="0" collapsed="false">
      <c r="A29" s="14" t="n">
        <v>13</v>
      </c>
      <c r="B29" s="40" t="n">
        <f aca="false">IFERROR(INDEX(Lu_Q,MATCH(A29,Lu_t,0),$C$4),0)</f>
        <v>685</v>
      </c>
      <c r="C29" s="40" t="n">
        <f aca="false">(B28+B29)/2</f>
        <v>746.5</v>
      </c>
      <c r="D29" s="40" t="n">
        <f aca="false">L28</f>
        <v>17330.244238124</v>
      </c>
      <c r="E29" s="40" t="n">
        <f aca="false">J28</f>
        <v>400.389402294782</v>
      </c>
      <c r="F29" s="40" t="n">
        <f aca="false">D29+C29-E29</f>
        <v>17676.3548358293</v>
      </c>
      <c r="G29" s="41" t="n">
        <f aca="false">INDEX(QH_Z,MATCH(F29,INDEX(QH_f,0,$F$4),1))+(F29-INDEX(QH_f,MATCH(F29,INDEX(QH_f,0,$F$4),1),$F$4))*(INDEX(QH_Z,MATCH(F29,INDEX(QH_f,0,$F$4),1)+1)-INDEX(QH_Z,MATCH(F29,INDEX(QH_f,0,$F$4),1)))/(INDEX(QH_f,MATCH(F29,INDEX(QH_f,0,$F$4),1)+1,$F$4)-INDEX(QH_f,MATCH(F29,INDEX(QH_f,0,$F$4),1),$F$4))</f>
        <v>78.3841148400168</v>
      </c>
      <c r="H29" s="42" t="n">
        <f aca="false">TC_s*(1-0.2*(TC_xmb+(TC_n-1)*TC_xmt)*MAX(G29-TC_Z,0)/(TC_n*TC_b))*TC_m*TC_n*TC_b*SQRT(2*g_)*MAX(G29-TC_Z,0)^1.5</f>
        <v>259.792275675496</v>
      </c>
      <c r="I29" s="43" t="n">
        <f aca="false">IF($F$4=2,0,SC_s*(1-0.2*(SC_xmb+(SC_n-1)*SC_xmt)*MAX(G29-SC_Z,0)/(SC_n*SC_b))*SC_m*SC_n*SC_b*SQRT(2*g_)*MAX(G29-SC_Z,0)^1.5)</f>
        <v>158.630578665833</v>
      </c>
      <c r="J29" s="40" t="n">
        <f aca="false">H29+I29</f>
        <v>418.422854341329</v>
      </c>
      <c r="K29" s="23" t="n">
        <f aca="false">INDEX(QH_V,MATCH(G29,QH_Z,1))+(G29-INDEX(QH_Z,MATCH(G29,QH_Z,1)))*(INDEX(QH_V,MATCH(G29,QH_Z,1)+1)-INDEX(QH_V,MATCH(G29,QH_Z,1)))/(INDEX(QH_Z,MATCH(G29,QH_Z,1)+1)-INDEX(QH_Z,MATCH(G29,QH_Z,1)))</f>
        <v>62.8817161755042</v>
      </c>
      <c r="L29" s="40" t="n">
        <f aca="false">K29*1000000/dt_s+J29/2</f>
        <v>17676.3548092552</v>
      </c>
    </row>
    <row r="30" customFormat="false" ht="15" hidden="false" customHeight="false" outlineLevel="0" collapsed="false">
      <c r="A30" s="14" t="n">
        <v>14</v>
      </c>
      <c r="B30" s="40" t="n">
        <f aca="false">IFERROR(INDEX(Lu_Q,MATCH(A30,Lu_t,0),$C$4),0)</f>
        <v>572</v>
      </c>
      <c r="C30" s="40" t="n">
        <f aca="false">(B29+B30)/2</f>
        <v>628.5</v>
      </c>
      <c r="D30" s="40" t="n">
        <f aca="false">L29</f>
        <v>17676.3548092552</v>
      </c>
      <c r="E30" s="40" t="n">
        <f aca="false">J29</f>
        <v>418.422854341329</v>
      </c>
      <c r="F30" s="40" t="n">
        <f aca="false">D30+C30-E30</f>
        <v>17886.4319549138</v>
      </c>
      <c r="G30" s="41" t="n">
        <f aca="false">INDEX(QH_Z,MATCH(F30,INDEX(QH_f,0,$F$4),1))+(F30-INDEX(QH_f,MATCH(F30,INDEX(QH_f,0,$F$4),1),$F$4))*(INDEX(QH_Z,MATCH(F30,INDEX(QH_f,0,$F$4),1)+1)-INDEX(QH_Z,MATCH(F30,INDEX(QH_f,0,$F$4),1)))/(INDEX(QH_f,MATCH(F30,INDEX(QH_f,0,$F$4),1)+1,$F$4)-INDEX(QH_f,MATCH(F30,INDEX(QH_f,0,$F$4),1),$F$4))</f>
        <v>78.4746855091373</v>
      </c>
      <c r="H30" s="42" t="n">
        <f aca="false">TC_s*(1-0.2*(TC_xmb+(TC_n-1)*TC_xmt)*MAX(G30-TC_Z,0)/(TC_n*TC_b))*TC_m*TC_n*TC_b*SQRT(2*g_)*MAX(G30-TC_Z,0)^1.5</f>
        <v>268.292462801767</v>
      </c>
      <c r="I30" s="43" t="n">
        <f aca="false">IF($F$4=2,0,SC_s*(1-0.2*(SC_xmb+(SC_n-1)*SC_xmt)*MAX(G30-SC_Z,0)/(SC_n*SC_b))*SC_m*SC_n*SC_b*SQRT(2*g_)*MAX(G30-SC_Z,0)^1.5)</f>
        <v>161.041564943277</v>
      </c>
      <c r="J30" s="40" t="n">
        <f aca="false">H30+I30</f>
        <v>429.334027745044</v>
      </c>
      <c r="K30" s="23" t="n">
        <f aca="false">INDEX(QH_V,MATCH(G30,QH_Z,1))+(G30-INDEX(QH_Z,MATCH(G30,QH_Z,1)))*(INDEX(QH_V,MATCH(G30,QH_Z,1)+1)-INDEX(QH_V,MATCH(G30,QH_Z,1)))/(INDEX(QH_Z,MATCH(G30,QH_Z,1)+1)-INDEX(QH_Z,MATCH(G30,QH_Z,1)))</f>
        <v>63.6183536980332</v>
      </c>
      <c r="L30" s="40" t="n">
        <f aca="false">K30*1000000/dt_s+J30/2</f>
        <v>17886.4319299929</v>
      </c>
    </row>
    <row r="31" customFormat="false" ht="15" hidden="false" customHeight="false" outlineLevel="0" collapsed="false">
      <c r="A31" s="14" t="n">
        <v>15</v>
      </c>
      <c r="B31" s="40" t="n">
        <f aca="false">IFERROR(INDEX(Lu_Q,MATCH(A31,Lu_t,0),$C$4),0)</f>
        <v>472</v>
      </c>
      <c r="C31" s="40" t="n">
        <f aca="false">(B30+B31)/2</f>
        <v>522</v>
      </c>
      <c r="D31" s="40" t="n">
        <f aca="false">L30</f>
        <v>17886.4319299929</v>
      </c>
      <c r="E31" s="40" t="n">
        <f aca="false">J30</f>
        <v>429.334027745044</v>
      </c>
      <c r="F31" s="40" t="n">
        <f aca="false">D31+C31-E31</f>
        <v>17979.0979022478</v>
      </c>
      <c r="G31" s="41" t="n">
        <f aca="false">INDEX(QH_Z,MATCH(F31,INDEX(QH_f,0,$F$4),1))+(F31-INDEX(QH_f,MATCH(F31,INDEX(QH_f,0,$F$4),1),$F$4))*(INDEX(QH_Z,MATCH(F31,INDEX(QH_f,0,$F$4),1)+1)-INDEX(QH_Z,MATCH(F31,INDEX(QH_f,0,$F$4),1)))/(INDEX(QH_f,MATCH(F31,INDEX(QH_f,0,$F$4),1)+1,$F$4)-INDEX(QH_f,MATCH(F31,INDEX(QH_f,0,$F$4),1),$F$4))</f>
        <v>78.5144728723692</v>
      </c>
      <c r="H31" s="42" t="n">
        <f aca="false">TC_s*(1-0.2*(TC_xmb+(TC_n-1)*TC_xmt)*MAX(G31-TC_Z,0)/(TC_n*TC_b))*TC_m*TC_n*TC_b*SQRT(2*g_)*MAX(G31-TC_Z,0)^1.5</f>
        <v>272.037447771629</v>
      </c>
      <c r="I31" s="43" t="n">
        <f aca="false">IF($F$4=2,0,SC_s*(1-0.2*(SC_xmb+(SC_n-1)*SC_xmt)*MAX(G31-SC_Z,0)/(SC_n*SC_b))*SC_m*SC_n*SC_b*SQRT(2*g_)*MAX(G31-SC_Z,0)^1.5)</f>
        <v>162.100389505393</v>
      </c>
      <c r="J31" s="40" t="n">
        <f aca="false">H31+I31</f>
        <v>434.137837277021</v>
      </c>
      <c r="K31" s="23" t="n">
        <f aca="false">INDEX(QH_V,MATCH(G31,QH_Z,1))+(G31-INDEX(QH_Z,MATCH(G31,QH_Z,1)))*(INDEX(QH_V,MATCH(G31,QH_Z,1)+1)-INDEX(QH_V,MATCH(G31,QH_Z,1)))/(INDEX(QH_Z,MATCH(G31,QH_Z,1)+1)-INDEX(QH_Z,MATCH(G31,QH_Z,1)))</f>
        <v>63.9433042556606</v>
      </c>
      <c r="L31" s="40" t="n">
        <f aca="false">K31*1000000/dt_s+J31/2</f>
        <v>17979.0978785442</v>
      </c>
    </row>
    <row r="32" customFormat="false" ht="15" hidden="false" customHeight="false" outlineLevel="0" collapsed="false">
      <c r="A32" s="14" t="n">
        <v>16</v>
      </c>
      <c r="B32" s="40" t="n">
        <f aca="false">IFERROR(INDEX(Lu_Q,MATCH(A32,Lu_t,0),$C$4),0)</f>
        <v>387</v>
      </c>
      <c r="C32" s="40" t="n">
        <f aca="false">(B31+B32)/2</f>
        <v>429.5</v>
      </c>
      <c r="D32" s="40" t="n">
        <f aca="false">L31</f>
        <v>17979.0978785442</v>
      </c>
      <c r="E32" s="40" t="n">
        <f aca="false">J31</f>
        <v>434.137837277021</v>
      </c>
      <c r="F32" s="40" t="n">
        <f aca="false">D32+C32-E32</f>
        <v>17974.4600412672</v>
      </c>
      <c r="G32" s="41" t="n">
        <f aca="false">INDEX(QH_Z,MATCH(F32,INDEX(QH_f,0,$F$4),1))+(F32-INDEX(QH_f,MATCH(F32,INDEX(QH_f,0,$F$4),1),$F$4))*(INDEX(QH_Z,MATCH(F32,INDEX(QH_f,0,$F$4),1)+1)-INDEX(QH_Z,MATCH(F32,INDEX(QH_f,0,$F$4),1)))/(INDEX(QH_f,MATCH(F32,INDEX(QH_f,0,$F$4),1)+1,$F$4)-INDEX(QH_f,MATCH(F32,INDEX(QH_f,0,$F$4),1),$F$4))</f>
        <v>78.5124840977243</v>
      </c>
      <c r="H32" s="42" t="n">
        <f aca="false">TC_s*(1-0.2*(TC_xmb+(TC_n-1)*TC_xmt)*MAX(G32-TC_Z,0)/(TC_n*TC_b))*TC_m*TC_n*TC_b*SQRT(2*g_)*MAX(G32-TC_Z,0)^1.5</f>
        <v>271.850102847792</v>
      </c>
      <c r="I32" s="43" t="n">
        <f aca="false">IF($F$4=2,0,SC_s*(1-0.2*(SC_xmb+(SC_n-1)*SC_xmt)*MAX(G32-SC_Z,0)/(SC_n*SC_b))*SC_m*SC_n*SC_b*SQRT(2*g_)*MAX(G32-SC_Z,0)^1.5)</f>
        <v>162.047469208967</v>
      </c>
      <c r="J32" s="40" t="n">
        <f aca="false">H32+I32</f>
        <v>433.897572056759</v>
      </c>
      <c r="K32" s="23" t="n">
        <f aca="false">INDEX(QH_V,MATCH(G32,QH_Z,1))+(G32-INDEX(QH_Z,MATCH(G32,QH_Z,1)))*(INDEX(QH_V,MATCH(G32,QH_Z,1)+1)-INDEX(QH_V,MATCH(G32,QH_Z,1)))/(INDEX(QH_Z,MATCH(G32,QH_Z,1)+1)-INDEX(QH_Z,MATCH(G32,QH_Z,1)))</f>
        <v>63.9270404543694</v>
      </c>
      <c r="L32" s="40" t="n">
        <f aca="false">K32*1000000/dt_s+J32/2</f>
        <v>17974.4600233532</v>
      </c>
    </row>
    <row r="33" customFormat="false" ht="15" hidden="false" customHeight="false" outlineLevel="0" collapsed="false">
      <c r="A33" s="14" t="n">
        <v>17</v>
      </c>
      <c r="B33" s="40" t="n">
        <f aca="false">IFERROR(INDEX(Lu_Q,MATCH(A33,Lu_t,0),$C$4),0)</f>
        <v>313</v>
      </c>
      <c r="C33" s="40" t="n">
        <f aca="false">(B32+B33)/2</f>
        <v>350</v>
      </c>
      <c r="D33" s="40" t="n">
        <f aca="false">L32</f>
        <v>17974.4600233532</v>
      </c>
      <c r="E33" s="40" t="n">
        <f aca="false">J32</f>
        <v>433.897572056759</v>
      </c>
      <c r="F33" s="40" t="n">
        <f aca="false">D33+C33-E33</f>
        <v>17890.5624512965</v>
      </c>
      <c r="G33" s="41" t="n">
        <f aca="false">INDEX(QH_Z,MATCH(F33,INDEX(QH_f,0,$F$4),1))+(F33-INDEX(QH_f,MATCH(F33,INDEX(QH_f,0,$F$4),1),$F$4))*(INDEX(QH_Z,MATCH(F33,INDEX(QH_f,0,$F$4),1)+1)-INDEX(QH_Z,MATCH(F33,INDEX(QH_f,0,$F$4),1)))/(INDEX(QH_f,MATCH(F33,INDEX(QH_f,0,$F$4),1)+1,$F$4)-INDEX(QH_f,MATCH(F33,INDEX(QH_f,0,$F$4),1),$F$4))</f>
        <v>78.4764611783398</v>
      </c>
      <c r="H33" s="42" t="n">
        <f aca="false">TC_s*(1-0.2*(TC_xmb+(TC_n-1)*TC_xmt)*MAX(G33-TC_Z,0)/(TC_n*TC_b))*TC_m*TC_n*TC_b*SQRT(2*g_)*MAX(G33-TC_Z,0)^1.5</f>
        <v>268.45946002036</v>
      </c>
      <c r="I33" s="43" t="n">
        <f aca="false">IF($F$4=2,0,SC_s*(1-0.2*(SC_xmb+(SC_n-1)*SC_xmt)*MAX(G33-SC_Z,0)/(SC_n*SC_b))*SC_m*SC_n*SC_b*SQRT(2*g_)*MAX(G33-SC_Z,0)^1.5)</f>
        <v>161.088823658326</v>
      </c>
      <c r="J33" s="40" t="n">
        <f aca="false">H33+I33</f>
        <v>429.548283678686</v>
      </c>
      <c r="K33" s="23" t="n">
        <f aca="false">INDEX(QH_V,MATCH(G33,QH_Z,1))+(G33-INDEX(QH_Z,MATCH(G33,QH_Z,1)))*(INDEX(QH_V,MATCH(G33,QH_Z,1)+1)-INDEX(QH_V,MATCH(G33,QH_Z,1)))/(INDEX(QH_Z,MATCH(G33,QH_Z,1)+1)-INDEX(QH_Z,MATCH(G33,QH_Z,1)))</f>
        <v>63.6328378317175</v>
      </c>
      <c r="L33" s="40" t="n">
        <f aca="false">K33*1000000/dt_s+J33/2</f>
        <v>17890.5624284275</v>
      </c>
    </row>
    <row r="34" customFormat="false" ht="15" hidden="false" customHeight="false" outlineLevel="0" collapsed="false">
      <c r="A34" s="14" t="n">
        <v>18</v>
      </c>
      <c r="B34" s="40" t="n">
        <f aca="false">IFERROR(INDEX(Lu_Q,MATCH(A34,Lu_t,0),$C$4),0)</f>
        <v>253</v>
      </c>
      <c r="C34" s="40" t="n">
        <f aca="false">(B33+B34)/2</f>
        <v>283</v>
      </c>
      <c r="D34" s="40" t="n">
        <f aca="false">L33</f>
        <v>17890.5624284275</v>
      </c>
      <c r="E34" s="40" t="n">
        <f aca="false">J33</f>
        <v>429.548283678686</v>
      </c>
      <c r="F34" s="40" t="n">
        <f aca="false">D34+C34-E34</f>
        <v>17744.0141447489</v>
      </c>
      <c r="G34" s="41" t="n">
        <f aca="false">INDEX(QH_Z,MATCH(F34,INDEX(QH_f,0,$F$4),1))+(F34-INDEX(QH_f,MATCH(F34,INDEX(QH_f,0,$F$4),1),$F$4))*(INDEX(QH_Z,MATCH(F34,INDEX(QH_f,0,$F$4),1)+1)-INDEX(QH_Z,MATCH(F34,INDEX(QH_f,0,$F$4),1)))/(INDEX(QH_f,MATCH(F34,INDEX(QH_f,0,$F$4),1)+1,$F$4)-INDEX(QH_f,MATCH(F34,INDEX(QH_f,0,$F$4),1),$F$4))</f>
        <v>78.4133415467147</v>
      </c>
      <c r="H34" s="42" t="n">
        <f aca="false">TC_s*(1-0.2*(TC_xmb+(TC_n-1)*TC_xmt)*MAX(G34-TC_Z,0)/(TC_n*TC_b))*TC_m*TC_n*TC_b*SQRT(2*g_)*MAX(G34-TC_Z,0)^1.5</f>
        <v>262.531364234475</v>
      </c>
      <c r="I34" s="43" t="n">
        <f aca="false">IF($F$4=2,0,SC_s*(1-0.2*(SC_xmb+(SC_n-1)*SC_xmt)*MAX(G34-SC_Z,0)/(SC_n*SC_b))*SC_m*SC_n*SC_b*SQRT(2*g_)*MAX(G34-SC_Z,0)^1.5)</f>
        <v>159.40868880833</v>
      </c>
      <c r="J34" s="40" t="n">
        <f aca="false">H34+I34</f>
        <v>421.940053042805</v>
      </c>
      <c r="K34" s="23" t="n">
        <f aca="false">INDEX(QH_V,MATCH(G34,QH_Z,1))+(G34-INDEX(QH_Z,MATCH(G34,QH_Z,1)))*(INDEX(QH_V,MATCH(G34,QH_Z,1)+1)-INDEX(QH_V,MATCH(G34,QH_Z,1)))/(INDEX(QH_Z,MATCH(G34,QH_Z,1)+1)-INDEX(QH_Z,MATCH(G34,QH_Z,1)))</f>
        <v>63.1189587402942</v>
      </c>
      <c r="L34" s="40" t="n">
        <f aca="false">K34*1000000/dt_s+J34/2</f>
        <v>17744.0141210476</v>
      </c>
    </row>
    <row r="35" customFormat="false" ht="15" hidden="false" customHeight="false" outlineLevel="0" collapsed="false">
      <c r="A35" s="14" t="n">
        <v>19</v>
      </c>
      <c r="B35" s="40" t="n">
        <f aca="false">IFERROR(INDEX(Lu_Q,MATCH(A35,Lu_t,0),$C$4),0)</f>
        <v>203</v>
      </c>
      <c r="C35" s="40" t="n">
        <f aca="false">(B34+B35)/2</f>
        <v>228</v>
      </c>
      <c r="D35" s="40" t="n">
        <f aca="false">L34</f>
        <v>17744.0141210476</v>
      </c>
      <c r="E35" s="40" t="n">
        <f aca="false">J34</f>
        <v>421.940053042805</v>
      </c>
      <c r="F35" s="40" t="n">
        <f aca="false">D35+C35-E35</f>
        <v>17550.0740680048</v>
      </c>
      <c r="G35" s="41" t="n">
        <f aca="false">INDEX(QH_Z,MATCH(F35,INDEX(QH_f,0,$F$4),1))+(F35-INDEX(QH_f,MATCH(F35,INDEX(QH_f,0,$F$4),1),$F$4))*(INDEX(QH_Z,MATCH(F35,INDEX(QH_f,0,$F$4),1)+1)-INDEX(QH_Z,MATCH(F35,INDEX(QH_f,0,$F$4),1)))/(INDEX(QH_f,MATCH(F35,INDEX(QH_f,0,$F$4),1)+1,$F$4)-INDEX(QH_f,MATCH(F35,INDEX(QH_f,0,$F$4),1),$F$4))</f>
        <v>78.3294208146645</v>
      </c>
      <c r="H35" s="42" t="n">
        <f aca="false">TC_s*(1-0.2*(TC_xmb+(TC_n-1)*TC_xmt)*MAX(G35-TC_Z,0)/(TC_n*TC_b))*TC_m*TC_n*TC_b*SQRT(2*g_)*MAX(G35-TC_Z,0)^1.5</f>
        <v>254.676793803505</v>
      </c>
      <c r="I35" s="43" t="n">
        <f aca="false">IF($F$4=2,0,SC_s*(1-0.2*(SC_xmb+(SC_n-1)*SC_xmt)*MAX(G35-SC_Z,0)/(SC_n*SC_b))*SC_m*SC_n*SC_b*SQRT(2*g_)*MAX(G35-SC_Z,0)^1.5)</f>
        <v>157.174239717081</v>
      </c>
      <c r="J35" s="40" t="n">
        <f aca="false">H35+I35</f>
        <v>411.851033520586</v>
      </c>
      <c r="K35" s="23" t="n">
        <f aca="false">INDEX(QH_V,MATCH(G35,QH_Z,1))+(G35-INDEX(QH_Z,MATCH(G35,QH_Z,1)))*(INDEX(QH_V,MATCH(G35,QH_Z,1)+1)-INDEX(QH_V,MATCH(G35,QH_Z,1)))/(INDEX(QH_Z,MATCH(G35,QH_Z,1)+1)-INDEX(QH_Z,MATCH(G35,QH_Z,1)))</f>
        <v>62.4389347616746</v>
      </c>
      <c r="L35" s="40" t="n">
        <f aca="false">K35*1000000/dt_s+J35/2</f>
        <v>17550.0740616699</v>
      </c>
    </row>
    <row r="36" customFormat="false" ht="15" hidden="false" customHeight="false" outlineLevel="0" collapsed="false">
      <c r="A36" s="14" t="n">
        <v>20</v>
      </c>
      <c r="B36" s="40" t="n">
        <f aca="false">IFERROR(INDEX(Lu_Q,MATCH(A36,Lu_t,0),$C$4),0)</f>
        <v>161</v>
      </c>
      <c r="C36" s="40" t="n">
        <f aca="false">(B35+B36)/2</f>
        <v>182</v>
      </c>
      <c r="D36" s="40" t="n">
        <f aca="false">L35</f>
        <v>17550.0740616699</v>
      </c>
      <c r="E36" s="40" t="n">
        <f aca="false">J35</f>
        <v>411.851033520586</v>
      </c>
      <c r="F36" s="40" t="n">
        <f aca="false">D36+C36-E36</f>
        <v>17320.2230281493</v>
      </c>
      <c r="G36" s="41" t="n">
        <f aca="false">INDEX(QH_Z,MATCH(F36,INDEX(QH_f,0,$F$4),1))+(F36-INDEX(QH_f,MATCH(F36,INDEX(QH_f,0,$F$4),1),$F$4))*(INDEX(QH_Z,MATCH(F36,INDEX(QH_f,0,$F$4),1)+1)-INDEX(QH_Z,MATCH(F36,INDEX(QH_f,0,$F$4),1)))/(INDEX(QH_f,MATCH(F36,INDEX(QH_f,0,$F$4),1)+1,$F$4)-INDEX(QH_f,MATCH(F36,INDEX(QH_f,0,$F$4),1),$F$4))</f>
        <v>78.2293757806379</v>
      </c>
      <c r="H36" s="42" t="n">
        <f aca="false">TC_s*(1-0.2*(TC_xmb+(TC_n-1)*TC_xmt)*MAX(G36-TC_Z,0)/(TC_n*TC_b))*TC_m*TC_n*TC_b*SQRT(2*g_)*MAX(G36-TC_Z,0)^1.5</f>
        <v>245.356554395311</v>
      </c>
      <c r="I36" s="43" t="n">
        <f aca="false">IF($F$4=2,0,SC_s*(1-0.2*(SC_xmb+(SC_n-1)*SC_xmt)*MAX(G36-SC_Z,0)/(SC_n*SC_b))*SC_m*SC_n*SC_b*SQRT(2*g_)*MAX(G36-SC_Z,0)^1.5)</f>
        <v>154.509825238374</v>
      </c>
      <c r="J36" s="40" t="n">
        <f aca="false">H36+I36</f>
        <v>399.866379633685</v>
      </c>
      <c r="K36" s="23" t="n">
        <f aca="false">INDEX(QH_V,MATCH(G36,QH_Z,1))+(G36-INDEX(QH_Z,MATCH(G36,QH_Z,1)))*(INDEX(QH_V,MATCH(G36,QH_Z,1)+1)-INDEX(QH_V,MATCH(G36,QH_Z,1)))/(INDEX(QH_Z,MATCH(G36,QH_Z,1)+1)-INDEX(QH_Z,MATCH(G36,QH_Z,1)))</f>
        <v>61.6330433911803</v>
      </c>
      <c r="L36" s="40" t="n">
        <f aca="false">K36*1000000/dt_s+J36/2</f>
        <v>17320.2230207003</v>
      </c>
    </row>
    <row r="37" customFormat="false" ht="15" hidden="false" customHeight="false" outlineLevel="0" collapsed="false">
      <c r="A37" s="14" t="n">
        <v>21</v>
      </c>
      <c r="B37" s="40" t="n">
        <f aca="false">IFERROR(INDEX(Lu_Q,MATCH(A37,Lu_t,0),$C$4),0)</f>
        <v>128</v>
      </c>
      <c r="C37" s="40" t="n">
        <f aca="false">(B36+B37)/2</f>
        <v>144.5</v>
      </c>
      <c r="D37" s="40" t="n">
        <f aca="false">L36</f>
        <v>17320.2230207003</v>
      </c>
      <c r="E37" s="40" t="n">
        <f aca="false">J36</f>
        <v>399.866379633685</v>
      </c>
      <c r="F37" s="40" t="n">
        <f aca="false">D37+C37-E37</f>
        <v>17064.8566410666</v>
      </c>
      <c r="G37" s="41" t="n">
        <f aca="false">INDEX(QH_Z,MATCH(F37,INDEX(QH_f,0,$F$4),1))+(F37-INDEX(QH_f,MATCH(F37,INDEX(QH_f,0,$F$4),1),$F$4))*(INDEX(QH_Z,MATCH(F37,INDEX(QH_f,0,$F$4),1)+1)-INDEX(QH_Z,MATCH(F37,INDEX(QH_f,0,$F$4),1)))/(INDEX(QH_f,MATCH(F37,INDEX(QH_f,0,$F$4),1)+1,$F$4)-INDEX(QH_f,MATCH(F37,INDEX(QH_f,0,$F$4),1),$F$4))</f>
        <v>78.117465721682</v>
      </c>
      <c r="H37" s="42" t="n">
        <f aca="false">TC_s*(1-0.2*(TC_xmb+(TC_n-1)*TC_xmt)*MAX(G37-TC_Z,0)/(TC_n*TC_b))*TC_m*TC_n*TC_b*SQRT(2*g_)*MAX(G37-TC_Z,0)^1.5</f>
        <v>234.991796435049</v>
      </c>
      <c r="I37" s="43" t="n">
        <f aca="false">IF($F$4=2,0,SC_s*(1-0.2*(SC_xmb+(SC_n-1)*SC_xmt)*MAX(G37-SC_Z,0)/(SC_n*SC_b))*SC_m*SC_n*SC_b*SQRT(2*g_)*MAX(G37-SC_Z,0)^1.5)</f>
        <v>151.529039007265</v>
      </c>
      <c r="J37" s="40" t="n">
        <f aca="false">H37+I37</f>
        <v>386.520835442315</v>
      </c>
      <c r="K37" s="23" t="n">
        <f aca="false">INDEX(QH_V,MATCH(G37,QH_Z,1))+(G37-INDEX(QH_Z,MATCH(G37,QH_Z,1)))*(INDEX(QH_V,MATCH(G37,QH_Z,1)+1)-INDEX(QH_V,MATCH(G37,QH_Z,1)))/(INDEX(QH_Z,MATCH(G37,QH_Z,1)+1)-INDEX(QH_Z,MATCH(G37,QH_Z,1)))</f>
        <v>60.7377463086608</v>
      </c>
      <c r="L37" s="40" t="n">
        <f aca="false">K37*1000000/dt_s+J37/2</f>
        <v>17064.8566145714</v>
      </c>
    </row>
    <row r="38" customFormat="false" ht="15" hidden="false" customHeight="false" outlineLevel="0" collapsed="false">
      <c r="A38" s="14" t="n">
        <v>22</v>
      </c>
      <c r="B38" s="40" t="n">
        <f aca="false">IFERROR(INDEX(Lu_Q,MATCH(A38,Lu_t,0),$C$4),0)</f>
        <v>101</v>
      </c>
      <c r="C38" s="40" t="n">
        <f aca="false">(B37+B38)/2</f>
        <v>114.5</v>
      </c>
      <c r="D38" s="40" t="n">
        <f aca="false">L37</f>
        <v>17064.8566145714</v>
      </c>
      <c r="E38" s="40" t="n">
        <f aca="false">J37</f>
        <v>386.520835442315</v>
      </c>
      <c r="F38" s="40" t="n">
        <f aca="false">D38+C38-E38</f>
        <v>16792.8357791291</v>
      </c>
      <c r="G38" s="41" t="n">
        <f aca="false">INDEX(QH_Z,MATCH(F38,INDEX(QH_f,0,$F$4),1))+(F38-INDEX(QH_f,MATCH(F38,INDEX(QH_f,0,$F$4),1),$F$4))*(INDEX(QH_Z,MATCH(F38,INDEX(QH_f,0,$F$4),1)+1)-INDEX(QH_Z,MATCH(F38,INDEX(QH_f,0,$F$4),1)))/(INDEX(QH_f,MATCH(F38,INDEX(QH_f,0,$F$4),1)+1,$F$4)-INDEX(QH_f,MATCH(F38,INDEX(QH_f,0,$F$4),1),$F$4))</f>
        <v>77.9973584512475</v>
      </c>
      <c r="H38" s="42" t="n">
        <f aca="false">TC_s*(1-0.2*(TC_xmb+(TC_n-1)*TC_xmt)*MAX(G38-TC_Z,0)/(TC_n*TC_b))*TC_m*TC_n*TC_b*SQRT(2*g_)*MAX(G38-TC_Z,0)^1.5</f>
        <v>223.945825168774</v>
      </c>
      <c r="I38" s="43" t="n">
        <f aca="false">IF($F$4=2,0,SC_s*(1-0.2*(SC_xmb+(SC_n-1)*SC_xmt)*MAX(G38-SC_Z,0)/(SC_n*SC_b))*SC_m*SC_n*SC_b*SQRT(2*g_)*MAX(G38-SC_Z,0)^1.5)</f>
        <v>148.33007012188</v>
      </c>
      <c r="J38" s="40" t="n">
        <f aca="false">H38+I38</f>
        <v>372.275895290654</v>
      </c>
      <c r="K38" s="23" t="n">
        <f aca="false">INDEX(QH_V,MATCH(G38,QH_Z,1))+(G38-INDEX(QH_Z,MATCH(G38,QH_Z,1)))*(INDEX(QH_V,MATCH(G38,QH_Z,1)+1)-INDEX(QH_V,MATCH(G38,QH_Z,1)))/(INDEX(QH_Z,MATCH(G38,QH_Z,1)+1)-INDEX(QH_Z,MATCH(G38,QH_Z,1)))</f>
        <v>59.784112085317</v>
      </c>
      <c r="L38" s="40" t="n">
        <f aca="false">K38*1000000/dt_s+J38/2</f>
        <v>16792.8357491223</v>
      </c>
    </row>
    <row r="39" customFormat="false" ht="15" hidden="false" customHeight="false" outlineLevel="0" collapsed="false">
      <c r="A39" s="14" t="n">
        <v>23</v>
      </c>
      <c r="B39" s="40" t="n">
        <f aca="false">IFERROR(INDEX(Lu_Q,MATCH(A39,Lu_t,0),$C$4),0)</f>
        <v>81</v>
      </c>
      <c r="C39" s="40" t="n">
        <f aca="false">(B38+B39)/2</f>
        <v>91</v>
      </c>
      <c r="D39" s="40" t="n">
        <f aca="false">L38</f>
        <v>16792.8357491223</v>
      </c>
      <c r="E39" s="40" t="n">
        <f aca="false">J38</f>
        <v>372.275895290654</v>
      </c>
      <c r="F39" s="40" t="n">
        <f aca="false">D39+C39-E39</f>
        <v>16511.5598538316</v>
      </c>
      <c r="G39" s="41" t="n">
        <f aca="false">INDEX(QH_Z,MATCH(F39,INDEX(QH_f,0,$F$4),1))+(F39-INDEX(QH_f,MATCH(F39,INDEX(QH_f,0,$F$4),1),$F$4))*(INDEX(QH_Z,MATCH(F39,INDEX(QH_f,0,$F$4),1)+1)-INDEX(QH_Z,MATCH(F39,INDEX(QH_f,0,$F$4),1)))/(INDEX(QH_f,MATCH(F39,INDEX(QH_f,0,$F$4),1)+1,$F$4)-INDEX(QH_f,MATCH(F39,INDEX(QH_f,0,$F$4),1),$F$4))</f>
        <v>77.8721746918595</v>
      </c>
      <c r="H39" s="42" t="n">
        <f aca="false">TC_s*(1-0.2*(TC_xmb+(TC_n-1)*TC_xmt)*MAX(G39-TC_Z,0)/(TC_n*TC_b))*TC_m*TC_n*TC_b*SQRT(2*g_)*MAX(G39-TC_Z,0)^1.5</f>
        <v>212.526930973203</v>
      </c>
      <c r="I39" s="43" t="n">
        <f aca="false">IF($F$4=2,0,SC_s*(1-0.2*(SC_xmb+(SC_n-1)*SC_xmt)*MAX(G39-SC_Z,0)/(SC_n*SC_b))*SC_m*SC_n*SC_b*SQRT(2*g_)*MAX(G39-SC_Z,0)^1.5)</f>
        <v>144.996787892126</v>
      </c>
      <c r="J39" s="40" t="n">
        <f aca="false">H39+I39</f>
        <v>357.523718865329</v>
      </c>
      <c r="K39" s="23" t="n">
        <f aca="false">INDEX(QH_V,MATCH(G39,QH_Z,1))+(G39-INDEX(QH_Z,MATCH(G39,QH_Z,1)))*(INDEX(QH_V,MATCH(G39,QH_Z,1)+1)-INDEX(QH_V,MATCH(G39,QH_Z,1)))/(INDEX(QH_Z,MATCH(G39,QH_Z,1)+1)-INDEX(QH_Z,MATCH(G39,QH_Z,1)))</f>
        <v>58.7980726760028</v>
      </c>
      <c r="L39" s="40" t="n">
        <f aca="false">K39*1000000/dt_s+J39/2</f>
        <v>16511.559824989</v>
      </c>
    </row>
    <row r="40" customFormat="false" ht="15" hidden="false" customHeight="false" outlineLevel="0" collapsed="false">
      <c r="A40" s="14" t="n">
        <v>24</v>
      </c>
      <c r="B40" s="40" t="n">
        <f aca="false">IFERROR(INDEX(Lu_Q,MATCH(A40,Lu_t,0),$C$4),0)</f>
        <v>63</v>
      </c>
      <c r="C40" s="40" t="n">
        <f aca="false">(B39+B40)/2</f>
        <v>72</v>
      </c>
      <c r="D40" s="40" t="n">
        <f aca="false">L39</f>
        <v>16511.559824989</v>
      </c>
      <c r="E40" s="40" t="n">
        <f aca="false">J39</f>
        <v>357.523718865329</v>
      </c>
      <c r="F40" s="40" t="n">
        <f aca="false">D40+C40-E40</f>
        <v>16226.0361061237</v>
      </c>
      <c r="G40" s="41" t="n">
        <f aca="false">INDEX(QH_Z,MATCH(F40,INDEX(QH_f,0,$F$4),1))+(F40-INDEX(QH_f,MATCH(F40,INDEX(QH_f,0,$F$4),1),$F$4))*(INDEX(QH_Z,MATCH(F40,INDEX(QH_f,0,$F$4),1)+1)-INDEX(QH_Z,MATCH(F40,INDEX(QH_f,0,$F$4),1)))/(INDEX(QH_f,MATCH(F40,INDEX(QH_f,0,$F$4),1)+1,$F$4)-INDEX(QH_f,MATCH(F40,INDEX(QH_f,0,$F$4),1),$F$4))</f>
        <v>77.7440524481906</v>
      </c>
      <c r="H40" s="42" t="n">
        <f aca="false">TC_s*(1-0.2*(TC_xmb+(TC_n-1)*TC_xmt)*MAX(G40-TC_Z,0)/(TC_n*TC_b))*TC_m*TC_n*TC_b*SQRT(2*g_)*MAX(G40-TC_Z,0)^1.5</f>
        <v>200.948518857881</v>
      </c>
      <c r="I40" s="43" t="n">
        <f aca="false">IF($F$4=2,0,SC_s*(1-0.2*(SC_xmb+(SC_n-1)*SC_xmt)*MAX(G40-SC_Z,0)/(SC_n*SC_b))*SC_m*SC_n*SC_b*SQRT(2*g_)*MAX(G40-SC_Z,0)^1.5)</f>
        <v>141.587023447705</v>
      </c>
      <c r="J40" s="40" t="n">
        <f aca="false">H40+I40</f>
        <v>342.535542305586</v>
      </c>
      <c r="K40" s="23" t="n">
        <f aca="false">INDEX(QH_V,MATCH(G40,QH_Z,1))+(G40-INDEX(QH_Z,MATCH(G40,QH_Z,1)))*(INDEX(QH_V,MATCH(G40,QH_Z,1)+1)-INDEX(QH_V,MATCH(G40,QH_Z,1)))/(INDEX(QH_Z,MATCH(G40,QH_Z,1)+1)-INDEX(QH_Z,MATCH(G40,QH_Z,1)))</f>
        <v>57.7971658443007</v>
      </c>
      <c r="L40" s="40" t="n">
        <f aca="false">K40*1000000/dt_s+J40/2</f>
        <v>16226.0360612363</v>
      </c>
    </row>
    <row r="41" customFormat="false" ht="15" hidden="false" customHeight="false" outlineLevel="0" collapsed="false">
      <c r="A41" s="14" t="n">
        <v>25</v>
      </c>
      <c r="B41" s="40" t="n">
        <f aca="false">IFERROR(INDEX(Lu_Q,MATCH(A41,Lu_t,0),$C$4),0)</f>
        <v>50</v>
      </c>
      <c r="C41" s="40" t="n">
        <f aca="false">(B40+B41)/2</f>
        <v>56.5</v>
      </c>
      <c r="D41" s="40" t="n">
        <f aca="false">L40</f>
        <v>16226.0360612363</v>
      </c>
      <c r="E41" s="40" t="n">
        <f aca="false">J40</f>
        <v>342.535542305586</v>
      </c>
      <c r="F41" s="40" t="n">
        <f aca="false">D41+C41-E41</f>
        <v>15940.0005189307</v>
      </c>
      <c r="G41" s="41" t="n">
        <f aca="false">INDEX(QH_Z,MATCH(F41,INDEX(QH_f,0,$F$4),1))+(F41-INDEX(QH_f,MATCH(F41,INDEX(QH_f,0,$F$4),1),$F$4))*(INDEX(QH_Z,MATCH(F41,INDEX(QH_f,0,$F$4),1)+1)-INDEX(QH_Z,MATCH(F41,INDEX(QH_f,0,$F$4),1)))/(INDEX(QH_f,MATCH(F41,INDEX(QH_f,0,$F$4),1)+1,$F$4)-INDEX(QH_f,MATCH(F41,INDEX(QH_f,0,$F$4),1),$F$4))</f>
        <v>77.6146131837268</v>
      </c>
      <c r="H41" s="42" t="n">
        <f aca="false">TC_s*(1-0.2*(TC_xmb+(TC_n-1)*TC_xmt)*MAX(G41-TC_Z,0)/(TC_n*TC_b))*TC_m*TC_n*TC_b*SQRT(2*g_)*MAX(G41-TC_Z,0)^1.5</f>
        <v>189.372719843683</v>
      </c>
      <c r="I41" s="43" t="n">
        <f aca="false">IF($F$4=2,0,SC_s*(1-0.2*(SC_xmb+(SC_n-1)*SC_xmt)*MAX(G41-SC_Z,0)/(SC_n*SC_b))*SC_m*SC_n*SC_b*SQRT(2*g_)*MAX(G41-SC_Z,0)^1.5)</f>
        <v>138.144891904579</v>
      </c>
      <c r="J41" s="40" t="n">
        <f aca="false">H41+I41</f>
        <v>327.517611748262</v>
      </c>
      <c r="K41" s="23" t="n">
        <f aca="false">INDEX(QH_V,MATCH(G41,QH_Z,1))+(G41-INDEX(QH_Z,MATCH(G41,QH_Z,1)))*(INDEX(QH_V,MATCH(G41,QH_Z,1)+1)-INDEX(QH_V,MATCH(G41,QH_Z,1)))/(INDEX(QH_Z,MATCH(G41,QH_Z,1)+1)-INDEX(QH_Z,MATCH(G41,QH_Z,1)))</f>
        <v>56.7944699846545</v>
      </c>
      <c r="L41" s="40" t="n">
        <f aca="false">K41*1000000/dt_s+J41/2</f>
        <v>15940.0004682782</v>
      </c>
    </row>
    <row r="42" customFormat="false" ht="15" hidden="false" customHeight="false" outlineLevel="0" collapsed="false">
      <c r="A42" s="14" t="n">
        <v>26</v>
      </c>
      <c r="B42" s="40" t="n">
        <f aca="false">IFERROR(INDEX(Lu_Q,MATCH(A42,Lu_t,0),$C$4),0)</f>
        <v>39</v>
      </c>
      <c r="C42" s="40" t="n">
        <f aca="false">(B41+B42)/2</f>
        <v>44.5</v>
      </c>
      <c r="D42" s="40" t="n">
        <f aca="false">L41</f>
        <v>15940.0004682782</v>
      </c>
      <c r="E42" s="40" t="n">
        <f aca="false">J41</f>
        <v>327.517611748262</v>
      </c>
      <c r="F42" s="40" t="n">
        <f aca="false">D42+C42-E42</f>
        <v>15656.9828565299</v>
      </c>
      <c r="G42" s="41" t="n">
        <f aca="false">INDEX(QH_Z,MATCH(F42,INDEX(QH_f,0,$F$4),1))+(F42-INDEX(QH_f,MATCH(F42,INDEX(QH_f,0,$F$4),1),$F$4))*(INDEX(QH_Z,MATCH(F42,INDEX(QH_f,0,$F$4),1)+1)-INDEX(QH_Z,MATCH(F42,INDEX(QH_f,0,$F$4),1)))/(INDEX(QH_f,MATCH(F42,INDEX(QH_f,0,$F$4),1)+1,$F$4)-INDEX(QH_f,MATCH(F42,INDEX(QH_f,0,$F$4),1),$F$4))</f>
        <v>77.485437996234</v>
      </c>
      <c r="H42" s="42" t="n">
        <f aca="false">TC_s*(1-0.2*(TC_xmb+(TC_n-1)*TC_xmt)*MAX(G42-TC_Z,0)/(TC_n*TC_b))*TC_m*TC_n*TC_b*SQRT(2*g_)*MAX(G42-TC_Z,0)^1.5</f>
        <v>177.953195311044</v>
      </c>
      <c r="I42" s="43" t="n">
        <f aca="false">IF($F$4=2,0,SC_s*(1-0.2*(SC_xmb+(SC_n-1)*SC_xmt)*MAX(G42-SC_Z,0)/(SC_n*SC_b))*SC_m*SC_n*SC_b*SQRT(2*g_)*MAX(G42-SC_Z,0)^1.5)</f>
        <v>134.713373851749</v>
      </c>
      <c r="J42" s="40" t="n">
        <f aca="false">H42+I42</f>
        <v>312.666569162793</v>
      </c>
      <c r="K42" s="23" t="n">
        <f aca="false">INDEX(QH_V,MATCH(G42,QH_Z,1))+(G42-INDEX(QH_Z,MATCH(G42,QH_Z,1)))*(INDEX(QH_V,MATCH(G42,QH_Z,1)+1)-INDEX(QH_V,MATCH(G42,QH_Z,1)))/(INDEX(QH_Z,MATCH(G42,QH_Z,1)+1)-INDEX(QH_Z,MATCH(G42,QH_Z,1)))</f>
        <v>55.8023382604998</v>
      </c>
      <c r="L42" s="40" t="n">
        <f aca="false">K42*1000000/dt_s+J42/2</f>
        <v>15656.9828013869</v>
      </c>
    </row>
    <row r="43" customFormat="false" ht="15" hidden="false" customHeight="false" outlineLevel="0" collapsed="false">
      <c r="A43" s="14" t="n">
        <v>27</v>
      </c>
      <c r="B43" s="40" t="n">
        <f aca="false">IFERROR(INDEX(Lu_Q,MATCH(A43,Lu_t,0),$C$4),0)</f>
        <v>30</v>
      </c>
      <c r="C43" s="40" t="n">
        <f aca="false">(B42+B43)/2</f>
        <v>34.5</v>
      </c>
      <c r="D43" s="40" t="n">
        <f aca="false">L42</f>
        <v>15656.9828013869</v>
      </c>
      <c r="E43" s="40" t="n">
        <f aca="false">J42</f>
        <v>312.666569162793</v>
      </c>
      <c r="F43" s="40" t="n">
        <f aca="false">D43+C43-E43</f>
        <v>15378.8162322241</v>
      </c>
      <c r="G43" s="41" t="n">
        <f aca="false">INDEX(QH_Z,MATCH(F43,INDEX(QH_f,0,$F$4),1))+(F43-INDEX(QH_f,MATCH(F43,INDEX(QH_f,0,$F$4),1),$F$4))*(INDEX(QH_Z,MATCH(F43,INDEX(QH_f,0,$F$4),1)+1)-INDEX(QH_Z,MATCH(F43,INDEX(QH_f,0,$F$4),1)))/(INDEX(QH_f,MATCH(F43,INDEX(QH_f,0,$F$4),1)+1,$F$4)-INDEX(QH_f,MATCH(F43,INDEX(QH_f,0,$F$4),1),$F$4))</f>
        <v>77.3573787033792</v>
      </c>
      <c r="H43" s="42" t="n">
        <f aca="false">TC_s*(1-0.2*(TC_xmb+(TC_n-1)*TC_xmt)*MAX(G43-TC_Z,0)/(TC_n*TC_b))*TC_m*TC_n*TC_b*SQRT(2*g_)*MAX(G43-TC_Z,0)^1.5</f>
        <v>166.774301477698</v>
      </c>
      <c r="I43" s="43" t="n">
        <f aca="false">IF($F$4=2,0,SC_s*(1-0.2*(SC_xmb+(SC_n-1)*SC_xmt)*MAX(G43-SC_Z,0)/(SC_n*SC_b))*SC_m*SC_n*SC_b*SQRT(2*g_)*MAX(G43-SC_Z,0)^1.5)</f>
        <v>131.315947692339</v>
      </c>
      <c r="J43" s="40" t="n">
        <f aca="false">H43+I43</f>
        <v>298.090249170037</v>
      </c>
      <c r="K43" s="23" t="n">
        <f aca="false">INDEX(QH_V,MATCH(G43,QH_Z,1))+(G43-INDEX(QH_Z,MATCH(G43,QH_Z,1)))*(INDEX(QH_V,MATCH(G43,QH_Z,1)+1)-INDEX(QH_V,MATCH(G43,QH_Z,1)))/(INDEX(QH_Z,MATCH(G43,QH_Z,1)+1)-INDEX(QH_Z,MATCH(G43,QH_Z,1)))</f>
        <v>54.8271758192525</v>
      </c>
      <c r="L43" s="40" t="n">
        <f aca="false">K43*1000000/dt_s+J43/2</f>
        <v>15378.8161854885</v>
      </c>
    </row>
    <row r="44" customFormat="false" ht="15" hidden="false" customHeight="false" outlineLevel="0" collapsed="false">
      <c r="A44" s="14" t="n">
        <v>28</v>
      </c>
      <c r="B44" s="40" t="n">
        <f aca="false">IFERROR(INDEX(Lu_Q,MATCH(A44,Lu_t,0),$C$4),0)</f>
        <v>24</v>
      </c>
      <c r="C44" s="40" t="n">
        <f aca="false">(B43+B44)/2</f>
        <v>27</v>
      </c>
      <c r="D44" s="40" t="n">
        <f aca="false">L43</f>
        <v>15378.8161854885</v>
      </c>
      <c r="E44" s="40" t="n">
        <f aca="false">J43</f>
        <v>298.090249170037</v>
      </c>
      <c r="F44" s="40" t="n">
        <f aca="false">D44+C44-E44</f>
        <v>15107.7259363185</v>
      </c>
      <c r="G44" s="41" t="n">
        <f aca="false">INDEX(QH_Z,MATCH(F44,INDEX(QH_f,0,$F$4),1))+(F44-INDEX(QH_f,MATCH(F44,INDEX(QH_f,0,$F$4),1),$F$4))*(INDEX(QH_Z,MATCH(F44,INDEX(QH_f,0,$F$4),1)+1)-INDEX(QH_Z,MATCH(F44,INDEX(QH_f,0,$F$4),1)))/(INDEX(QH_f,MATCH(F44,INDEX(QH_f,0,$F$4),1)+1,$F$4)-INDEX(QH_f,MATCH(F44,INDEX(QH_f,0,$F$4),1),$F$4))</f>
        <v>77.2314992731186</v>
      </c>
      <c r="H44" s="42" t="n">
        <f aca="false">TC_s*(1-0.2*(TC_xmb+(TC_n-1)*TC_xmt)*MAX(G44-TC_Z,0)/(TC_n*TC_b))*TC_m*TC_n*TC_b*SQRT(2*g_)*MAX(G44-TC_Z,0)^1.5</f>
        <v>155.934796408188</v>
      </c>
      <c r="I44" s="43" t="n">
        <f aca="false">IF($F$4=2,0,SC_s*(1-0.2*(SC_xmb+(SC_n-1)*SC_xmt)*MAX(G44-SC_Z,0)/(SC_n*SC_b))*SC_m*SC_n*SC_b*SQRT(2*g_)*MAX(G44-SC_Z,0)^1.5)</f>
        <v>127.981560315057</v>
      </c>
      <c r="J44" s="40" t="n">
        <f aca="false">H44+I44</f>
        <v>283.916356723245</v>
      </c>
      <c r="K44" s="23" t="n">
        <f aca="false">INDEX(QH_V,MATCH(G44,QH_Z,1))+(G44-INDEX(QH_Z,MATCH(G44,QH_Z,1)))*(INDEX(QH_V,MATCH(G44,QH_Z,1)+1)-INDEX(QH_V,MATCH(G44,QH_Z,1)))/(INDEX(QH_Z,MATCH(G44,QH_Z,1)+1)-INDEX(QH_Z,MATCH(G44,QH_Z,1)))</f>
        <v>53.8767638089607</v>
      </c>
      <c r="L44" s="40" t="n">
        <f aca="false">K44*1000000/dt_s+J44/2</f>
        <v>15107.7259030729</v>
      </c>
    </row>
    <row r="45" customFormat="false" ht="15" hidden="false" customHeight="false" outlineLevel="0" collapsed="false">
      <c r="A45" s="14" t="n">
        <v>29</v>
      </c>
      <c r="B45" s="40" t="n">
        <f aca="false">IFERROR(INDEX(Lu_Q,MATCH(A45,Lu_t,0),$C$4),0)</f>
        <v>18</v>
      </c>
      <c r="C45" s="40" t="n">
        <f aca="false">(B44+B45)/2</f>
        <v>21</v>
      </c>
      <c r="D45" s="40" t="n">
        <f aca="false">L44</f>
        <v>15107.7259030729</v>
      </c>
      <c r="E45" s="40" t="n">
        <f aca="false">J44</f>
        <v>283.916356723245</v>
      </c>
      <c r="F45" s="40" t="n">
        <f aca="false">D45+C45-E45</f>
        <v>14844.8095463497</v>
      </c>
      <c r="G45" s="41" t="n">
        <f aca="false">INDEX(QH_Z,MATCH(F45,INDEX(QH_f,0,$F$4),1))+(F45-INDEX(QH_f,MATCH(F45,INDEX(QH_f,0,$F$4),1),$F$4))*(INDEX(QH_Z,MATCH(F45,INDEX(QH_f,0,$F$4),1)+1)-INDEX(QH_Z,MATCH(F45,INDEX(QH_f,0,$F$4),1)))/(INDEX(QH_f,MATCH(F45,INDEX(QH_f,0,$F$4),1)+1,$F$4)-INDEX(QH_f,MATCH(F45,INDEX(QH_f,0,$F$4),1),$F$4))</f>
        <v>77.1083694650197</v>
      </c>
      <c r="H45" s="42" t="n">
        <f aca="false">TC_s*(1-0.2*(TC_xmb+(TC_n-1)*TC_xmt)*MAX(G45-TC_Z,0)/(TC_n*TC_b))*TC_m*TC_n*TC_b*SQRT(2*g_)*MAX(G45-TC_Z,0)^1.5</f>
        <v>145.48636452879</v>
      </c>
      <c r="I45" s="43" t="n">
        <f aca="false">IF($F$4=2,0,SC_s*(1-0.2*(SC_xmb+(SC_n-1)*SC_xmt)*MAX(G45-SC_Z,0)/(SC_n*SC_b))*SC_m*SC_n*SC_b*SQRT(2*g_)*MAX(G45-SC_Z,0)^1.5)</f>
        <v>124.725858949771</v>
      </c>
      <c r="J45" s="40" t="n">
        <f aca="false">H45+I45</f>
        <v>270.212223478561</v>
      </c>
      <c r="K45" s="23" t="n">
        <f aca="false">INDEX(QH_V,MATCH(G45,QH_Z,1))+(G45-INDEX(QH_Z,MATCH(G45,QH_Z,1)))*(INDEX(QH_V,MATCH(G45,QH_Z,1)+1)-INDEX(QH_V,MATCH(G45,QH_Z,1)))/(INDEX(QH_Z,MATCH(G45,QH_Z,1)+1)-INDEX(QH_Z,MATCH(G45,QH_Z,1)))</f>
        <v>52.9549322259975</v>
      </c>
      <c r="L45" s="40" t="n">
        <f aca="false">K45*1000000/dt_s+J45/2</f>
        <v>14844.8095078497</v>
      </c>
    </row>
    <row r="46" customFormat="false" ht="15" hidden="false" customHeight="false" outlineLevel="0" collapsed="false">
      <c r="A46" s="14" t="n">
        <v>30</v>
      </c>
      <c r="B46" s="40" t="n">
        <f aca="false">IFERROR(INDEX(Lu_Q,MATCH(A46,Lu_t,0),$C$4),0)</f>
        <v>14</v>
      </c>
      <c r="C46" s="40" t="n">
        <f aca="false">(B45+B46)/2</f>
        <v>16</v>
      </c>
      <c r="D46" s="40" t="n">
        <f aca="false">L45</f>
        <v>14844.8095078497</v>
      </c>
      <c r="E46" s="40" t="n">
        <f aca="false">J45</f>
        <v>270.212223478561</v>
      </c>
      <c r="F46" s="40" t="n">
        <f aca="false">D46+C46-E46</f>
        <v>14590.5972843711</v>
      </c>
      <c r="G46" s="41" t="n">
        <f aca="false">INDEX(QH_Z,MATCH(F46,INDEX(QH_f,0,$F$4),1))+(F46-INDEX(QH_f,MATCH(F46,INDEX(QH_f,0,$F$4),1),$F$4))*(INDEX(QH_Z,MATCH(F46,INDEX(QH_f,0,$F$4),1)+1)-INDEX(QH_Z,MATCH(F46,INDEX(QH_f,0,$F$4),1)))/(INDEX(QH_f,MATCH(F46,INDEX(QH_f,0,$F$4),1)+1,$F$4)-INDEX(QH_f,MATCH(F46,INDEX(QH_f,0,$F$4),1),$F$4))</f>
        <v>76.9883090354949</v>
      </c>
      <c r="H46" s="42" t="n">
        <f aca="false">TC_s*(1-0.2*(TC_xmb+(TC_n-1)*TC_xmt)*MAX(G46-TC_Z,0)/(TC_n*TC_b))*TC_m*TC_n*TC_b*SQRT(2*g_)*MAX(G46-TC_Z,0)^1.5</f>
        <v>135.456476171177</v>
      </c>
      <c r="I46" s="43" t="n">
        <f aca="false">IF($F$4=2,0,SC_s*(1-0.2*(SC_xmb+(SC_n-1)*SC_xmt)*MAX(G46-SC_Z,0)/(SC_n*SC_b))*SC_m*SC_n*SC_b*SQRT(2*g_)*MAX(G46-SC_Z,0)^1.5)</f>
        <v>121.557704623199</v>
      </c>
      <c r="J46" s="40" t="n">
        <f aca="false">H46+I46</f>
        <v>257.014180794376</v>
      </c>
      <c r="K46" s="23" t="n">
        <f aca="false">INDEX(QH_V,MATCH(G46,QH_Z,1))+(G46-INDEX(QH_Z,MATCH(G46,QH_Z,1)))*(INDEX(QH_V,MATCH(G46,QH_Z,1)+1)-INDEX(QH_V,MATCH(G46,QH_Z,1)))/(INDEX(QH_Z,MATCH(G46,QH_Z,1)+1)-INDEX(QH_Z,MATCH(G46,QH_Z,1)))</f>
        <v>52.0635245448963</v>
      </c>
      <c r="L46" s="40" t="n">
        <f aca="false">K46*1000000/dt_s+J46/2</f>
        <v>14590.5972417573</v>
      </c>
    </row>
    <row r="47" customFormat="false" ht="15" hidden="false" customHeight="false" outlineLevel="0" collapsed="false">
      <c r="A47" s="14" t="n">
        <v>31</v>
      </c>
      <c r="B47" s="40" t="n">
        <f aca="false">IFERROR(INDEX(Lu_Q,MATCH(A47,Lu_t,0),$C$4),0)</f>
        <v>11</v>
      </c>
      <c r="C47" s="40" t="n">
        <f aca="false">(B46+B47)/2</f>
        <v>12.5</v>
      </c>
      <c r="D47" s="40" t="n">
        <f aca="false">L46</f>
        <v>14590.5972417573</v>
      </c>
      <c r="E47" s="40" t="n">
        <f aca="false">J46</f>
        <v>257.014180794376</v>
      </c>
      <c r="F47" s="40" t="n">
        <f aca="false">D47+C47-E47</f>
        <v>14346.0830609629</v>
      </c>
      <c r="G47" s="41" t="n">
        <f aca="false">INDEX(QH_Z,MATCH(F47,INDEX(QH_f,0,$F$4),1))+(F47-INDEX(QH_f,MATCH(F47,INDEX(QH_f,0,$F$4),1),$F$4))*(INDEX(QH_Z,MATCH(F47,INDEX(QH_f,0,$F$4),1)+1)-INDEX(QH_Z,MATCH(F47,INDEX(QH_f,0,$F$4),1)))/(INDEX(QH_f,MATCH(F47,INDEX(QH_f,0,$F$4),1)+1,$F$4)-INDEX(QH_f,MATCH(F47,INDEX(QH_f,0,$F$4),1),$F$4))</f>
        <v>76.8718788873112</v>
      </c>
      <c r="H47" s="42" t="n">
        <f aca="false">TC_s*(1-0.2*(TC_xmb+(TC_n-1)*TC_xmt)*MAX(G47-TC_Z,0)/(TC_n*TC_b))*TC_m*TC_n*TC_b*SQRT(2*g_)*MAX(G47-TC_Z,0)^1.5</f>
        <v>125.8898107526</v>
      </c>
      <c r="I47" s="43" t="n">
        <f aca="false">IF($F$4=2,0,SC_s*(1-0.2*(SC_xmb+(SC_n-1)*SC_xmt)*MAX(G47-SC_Z,0)/(SC_n*SC_b))*SC_m*SC_n*SC_b*SQRT(2*g_)*MAX(G47-SC_Z,0)^1.5)</f>
        <v>118.492136860237</v>
      </c>
      <c r="J47" s="40" t="n">
        <f aca="false">H47+I47</f>
        <v>244.381947612837</v>
      </c>
      <c r="K47" s="23" t="n">
        <f aca="false">INDEX(QH_V,MATCH(G47,QH_Z,1))+(G47-INDEX(QH_Z,MATCH(G47,QH_Z,1)))*(INDEX(QH_V,MATCH(G47,QH_Z,1)+1)-INDEX(QH_V,MATCH(G47,QH_Z,1)))/(INDEX(QH_Z,MATCH(G47,QH_Z,1)+1)-INDEX(QH_Z,MATCH(G47,QH_Z,1)))</f>
        <v>51.2060113356459</v>
      </c>
      <c r="L47" s="40" t="n">
        <f aca="false">K47*1000000/dt_s+J47/2</f>
        <v>14346.0830114858</v>
      </c>
    </row>
    <row r="48" customFormat="false" ht="15" hidden="false" customHeight="false" outlineLevel="0" collapsed="false">
      <c r="A48" s="14" t="n">
        <v>32</v>
      </c>
      <c r="B48" s="40" t="n">
        <f aca="false">IFERROR(INDEX(Lu_Q,MATCH(A48,Lu_t,0),$C$4),0)</f>
        <v>9</v>
      </c>
      <c r="C48" s="40" t="n">
        <f aca="false">(B47+B48)/2</f>
        <v>10</v>
      </c>
      <c r="D48" s="40" t="n">
        <f aca="false">L47</f>
        <v>14346.0830114858</v>
      </c>
      <c r="E48" s="40" t="n">
        <f aca="false">J47</f>
        <v>244.381947612837</v>
      </c>
      <c r="F48" s="40" t="n">
        <f aca="false">D48+C48-E48</f>
        <v>14111.701063873</v>
      </c>
      <c r="G48" s="41" t="n">
        <f aca="false">INDEX(QH_Z,MATCH(F48,INDEX(QH_f,0,$F$4),1))+(F48-INDEX(QH_f,MATCH(F48,INDEX(QH_f,0,$F$4),1),$F$4))*(INDEX(QH_Z,MATCH(F48,INDEX(QH_f,0,$F$4),1)+1)-INDEX(QH_Z,MATCH(F48,INDEX(QH_f,0,$F$4),1)))/(INDEX(QH_f,MATCH(F48,INDEX(QH_f,0,$F$4),1)+1,$F$4)-INDEX(QH_f,MATCH(F48,INDEX(QH_f,0,$F$4),1),$F$4))</f>
        <v>76.7593823695839</v>
      </c>
      <c r="H48" s="42" t="n">
        <f aca="false">TC_s*(1-0.2*(TC_xmb+(TC_n-1)*TC_xmt)*MAX(G48-TC_Z,0)/(TC_n*TC_b))*TC_m*TC_n*TC_b*SQRT(2*g_)*MAX(G48-TC_Z,0)^1.5</f>
        <v>116.806444895463</v>
      </c>
      <c r="I48" s="43" t="n">
        <f aca="false">IF($F$4=2,0,SC_s*(1-0.2*(SC_xmb+(SC_n-1)*SC_xmt)*MAX(G48-SC_Z,0)/(SC_n*SC_b))*SC_m*SC_n*SC_b*SQRT(2*g_)*MAX(G48-SC_Z,0)^1.5)</f>
        <v>115.537201095408</v>
      </c>
      <c r="J48" s="40" t="n">
        <f aca="false">H48+I48</f>
        <v>232.343645990872</v>
      </c>
      <c r="K48" s="23" t="n">
        <f aca="false">INDEX(QH_V,MATCH(G48,QH_Z,1))+(G48-INDEX(QH_Z,MATCH(G48,QH_Z,1)))*(INDEX(QH_V,MATCH(G48,QH_Z,1)+1)-INDEX(QH_V,MATCH(G48,QH_Z,1)))/(INDEX(QH_Z,MATCH(G48,QH_Z,1)+1)-INDEX(QH_Z,MATCH(G48,QH_Z,1)))</f>
        <v>50.3839051946466</v>
      </c>
      <c r="L48" s="40" t="n">
        <f aca="false">K48*1000000/dt_s+J48/2</f>
        <v>14111.7010437306</v>
      </c>
    </row>
    <row r="49" customFormat="false" ht="15" hidden="false" customHeight="false" outlineLevel="0" collapsed="false">
      <c r="A49" s="14" t="n">
        <v>33</v>
      </c>
      <c r="B49" s="40" t="n">
        <f aca="false">IFERROR(INDEX(Lu_Q,MATCH(A49,Lu_t,0),$C$4),0)</f>
        <v>7</v>
      </c>
      <c r="C49" s="40" t="n">
        <f aca="false">(B48+B49)/2</f>
        <v>8</v>
      </c>
      <c r="D49" s="40" t="n">
        <f aca="false">L48</f>
        <v>14111.7010437306</v>
      </c>
      <c r="E49" s="40" t="n">
        <f aca="false">J48</f>
        <v>232.343645990872</v>
      </c>
      <c r="F49" s="40" t="n">
        <f aca="false">D49+C49-E49</f>
        <v>13887.3573977397</v>
      </c>
      <c r="G49" s="41" t="n">
        <f aca="false">INDEX(QH_Z,MATCH(F49,INDEX(QH_f,0,$F$4),1))+(F49-INDEX(QH_f,MATCH(F49,INDEX(QH_f,0,$F$4),1),$F$4))*(INDEX(QH_Z,MATCH(F49,INDEX(QH_f,0,$F$4),1)+1)-INDEX(QH_Z,MATCH(F49,INDEX(QH_f,0,$F$4),1)))/(INDEX(QH_f,MATCH(F49,INDEX(QH_f,0,$F$4),1)+1,$F$4)-INDEX(QH_f,MATCH(F49,INDEX(QH_f,0,$F$4),1),$F$4))</f>
        <v>76.6508642170232</v>
      </c>
      <c r="H49" s="42" t="n">
        <f aca="false">TC_s*(1-0.2*(TC_xmb+(TC_n-1)*TC_xmt)*MAX(G49-TC_Z,0)/(TC_n*TC_b))*TC_m*TC_n*TC_b*SQRT(2*g_)*MAX(G49-TC_Z,0)^1.5</f>
        <v>108.203451195084</v>
      </c>
      <c r="I49" s="43" t="n">
        <f aca="false">IF($F$4=2,0,SC_s*(1-0.2*(SC_xmb+(SC_n-1)*SC_xmt)*MAX(G49-SC_Z,0)/(SC_n*SC_b))*SC_m*SC_n*SC_b*SQRT(2*g_)*MAX(G49-SC_Z,0)^1.5)</f>
        <v>112.693992335438</v>
      </c>
      <c r="J49" s="40" t="n">
        <f aca="false">H49+I49</f>
        <v>220.897443530521</v>
      </c>
      <c r="K49" s="23" t="n">
        <f aca="false">INDEX(QH_V,MATCH(G49,QH_Z,1))+(G49-INDEX(QH_Z,MATCH(G49,QH_Z,1)))*(INDEX(QH_V,MATCH(G49,QH_Z,1)+1)-INDEX(QH_V,MATCH(G49,QH_Z,1)))/(INDEX(QH_Z,MATCH(G49,QH_Z,1)+1)-INDEX(QH_Z,MATCH(G49,QH_Z,1)))</f>
        <v>49.5968711285349</v>
      </c>
      <c r="L49" s="40" t="n">
        <f aca="false">K49*1000000/dt_s+J49/2</f>
        <v>13887.3573685805</v>
      </c>
    </row>
    <row r="50" customFormat="false" ht="15" hidden="false" customHeight="false" outlineLevel="0" collapsed="false">
      <c r="A50" s="14" t="n">
        <v>34</v>
      </c>
      <c r="B50" s="40" t="n">
        <f aca="false">IFERROR(INDEX(Lu_Q,MATCH(A50,Lu_t,0),$C$4),0)</f>
        <v>5</v>
      </c>
      <c r="C50" s="40" t="n">
        <f aca="false">(B49+B50)/2</f>
        <v>6</v>
      </c>
      <c r="D50" s="40" t="n">
        <f aca="false">L49</f>
        <v>13887.3573685805</v>
      </c>
      <c r="E50" s="40" t="n">
        <f aca="false">J49</f>
        <v>220.897443530521</v>
      </c>
      <c r="F50" s="40" t="n">
        <f aca="false">D50+C50-E50</f>
        <v>13672.45992505</v>
      </c>
      <c r="G50" s="41" t="n">
        <f aca="false">INDEX(QH_Z,MATCH(F50,INDEX(QH_f,0,$F$4),1))+(F50-INDEX(QH_f,MATCH(F50,INDEX(QH_f,0,$F$4),1),$F$4))*(INDEX(QH_Z,MATCH(F50,INDEX(QH_f,0,$F$4),1)+1)-INDEX(QH_Z,MATCH(F50,INDEX(QH_f,0,$F$4),1)))/(INDEX(QH_f,MATCH(F50,INDEX(QH_f,0,$F$4),1)+1,$F$4)-INDEX(QH_f,MATCH(F50,INDEX(QH_f,0,$F$4),1),$F$4))</f>
        <v>76.5461245641406</v>
      </c>
      <c r="H50" s="42" t="n">
        <f aca="false">TC_s*(1-0.2*(TC_xmb+(TC_n-1)*TC_xmt)*MAX(G50-TC_Z,0)/(TC_n*TC_b))*TC_m*TC_n*TC_b*SQRT(2*g_)*MAX(G50-TC_Z,0)^1.5</f>
        <v>100.057865697458</v>
      </c>
      <c r="I50" s="43" t="n">
        <f aca="false">IF($F$4=2,0,SC_s*(1-0.2*(SC_xmb+(SC_n-1)*SC_xmt)*MAX(G50-SC_Z,0)/(SC_n*SC_b))*SC_m*SC_n*SC_b*SQRT(2*g_)*MAX(G50-SC_Z,0)^1.5)</f>
        <v>109.957110680361</v>
      </c>
      <c r="J50" s="40" t="n">
        <f aca="false">H50+I50</f>
        <v>210.014976377819</v>
      </c>
      <c r="K50" s="23" t="n">
        <f aca="false">INDEX(QH_V,MATCH(G50,QH_Z,1))+(G50-INDEX(QH_Z,MATCH(G50,QH_Z,1)))*(INDEX(QH_V,MATCH(G50,QH_Z,1)+1)-INDEX(QH_V,MATCH(G50,QH_Z,1)))/(INDEX(QH_Z,MATCH(G50,QH_Z,1)+1)-INDEX(QH_Z,MATCH(G50,QH_Z,1)))</f>
        <v>48.8428284362981</v>
      </c>
      <c r="L50" s="40" t="n">
        <f aca="false">K50*1000000/dt_s+J50/2</f>
        <v>13672.4598316051</v>
      </c>
    </row>
    <row r="51" customFormat="false" ht="15" hidden="false" customHeight="false" outlineLevel="0" collapsed="false">
      <c r="A51" s="14" t="n">
        <v>35</v>
      </c>
      <c r="B51" s="40" t="n">
        <f aca="false">IFERROR(INDEX(Lu_Q,MATCH(A51,Lu_t,0),$C$4),0)</f>
        <v>4</v>
      </c>
      <c r="C51" s="40" t="n">
        <f aca="false">(B50+B51)/2</f>
        <v>4.5</v>
      </c>
      <c r="D51" s="40" t="n">
        <f aca="false">L50</f>
        <v>13672.4598316051</v>
      </c>
      <c r="E51" s="40" t="n">
        <f aca="false">J50</f>
        <v>210.014976377819</v>
      </c>
      <c r="F51" s="40" t="n">
        <f aca="false">D51+C51-E51</f>
        <v>13466.9448552272</v>
      </c>
      <c r="G51" s="41" t="n">
        <f aca="false">INDEX(QH_Z,MATCH(F51,INDEX(QH_f,0,$F$4),1))+(F51-INDEX(QH_f,MATCH(F51,INDEX(QH_f,0,$F$4),1),$F$4))*(INDEX(QH_Z,MATCH(F51,INDEX(QH_f,0,$F$4),1)+1)-INDEX(QH_Z,MATCH(F51,INDEX(QH_f,0,$F$4),1)))/(INDEX(QH_f,MATCH(F51,INDEX(QH_f,0,$F$4),1)+1,$F$4)-INDEX(QH_f,MATCH(F51,INDEX(QH_f,0,$F$4),1),$F$4))</f>
        <v>76.4452161747042</v>
      </c>
      <c r="H51" s="42" t="n">
        <f aca="false">TC_s*(1-0.2*(TC_xmb+(TC_n-1)*TC_xmt)*MAX(G51-TC_Z,0)/(TC_n*TC_b))*TC_m*TC_n*TC_b*SQRT(2*g_)*MAX(G51-TC_Z,0)^1.5</f>
        <v>92.3661357545233</v>
      </c>
      <c r="I51" s="43" t="n">
        <f aca="false">IF($F$4=2,0,SC_s*(1-0.2*(SC_xmb+(SC_n-1)*SC_xmt)*MAX(G51-SC_Z,0)/(SC_n*SC_b))*SC_m*SC_n*SC_b*SQRT(2*g_)*MAX(G51-SC_Z,0)^1.5)</f>
        <v>107.327697098791</v>
      </c>
      <c r="J51" s="40" t="n">
        <f aca="false">H51+I51</f>
        <v>199.693832853315</v>
      </c>
      <c r="K51" s="23" t="n">
        <f aca="false">INDEX(QH_V,MATCH(G51,QH_Z,1))+(G51-INDEX(QH_Z,MATCH(G51,QH_Z,1)))*(INDEX(QH_V,MATCH(G51,QH_Z,1)+1)-INDEX(QH_V,MATCH(G51,QH_Z,1)))/(INDEX(QH_Z,MATCH(G51,QH_Z,1)+1)-INDEX(QH_Z,MATCH(G51,QH_Z,1)))</f>
        <v>48.121552204331</v>
      </c>
      <c r="L51" s="40" t="n">
        <f aca="false">K51*1000000/dt_s+J51/2</f>
        <v>13466.944750963</v>
      </c>
    </row>
    <row r="52" customFormat="false" ht="15" hidden="false" customHeight="false" outlineLevel="0" collapsed="false">
      <c r="A52" s="14" t="n">
        <v>36</v>
      </c>
      <c r="B52" s="40" t="n">
        <f aca="false">IFERROR(INDEX(Lu_Q,MATCH(A52,Lu_t,0),$C$4),0)</f>
        <v>3</v>
      </c>
      <c r="C52" s="40" t="n">
        <f aca="false">(B51+B52)/2</f>
        <v>3.5</v>
      </c>
      <c r="D52" s="40" t="n">
        <f aca="false">L51</f>
        <v>13466.944750963</v>
      </c>
      <c r="E52" s="40" t="n">
        <f aca="false">J51</f>
        <v>199.693832853315</v>
      </c>
      <c r="F52" s="40" t="n">
        <f aca="false">D52+C52-E52</f>
        <v>13270.7509181097</v>
      </c>
      <c r="G52" s="41" t="n">
        <f aca="false">INDEX(QH_Z,MATCH(F52,INDEX(QH_f,0,$F$4),1))+(F52-INDEX(QH_f,MATCH(F52,INDEX(QH_f,0,$F$4),1),$F$4))*(INDEX(QH_Z,MATCH(F52,INDEX(QH_f,0,$F$4),1)+1)-INDEX(QH_Z,MATCH(F52,INDEX(QH_f,0,$F$4),1)))/(INDEX(QH_f,MATCH(F52,INDEX(QH_f,0,$F$4),1)+1,$F$4)-INDEX(QH_f,MATCH(F52,INDEX(QH_f,0,$F$4),1),$F$4))</f>
        <v>76.3481906859716</v>
      </c>
      <c r="H52" s="42" t="n">
        <f aca="false">TC_s*(1-0.2*(TC_xmb+(TC_n-1)*TC_xmt)*MAX(G52-TC_Z,0)/(TC_n*TC_b))*TC_m*TC_n*TC_b*SQRT(2*g_)*MAX(G52-TC_Z,0)^1.5</f>
        <v>85.1234790252144</v>
      </c>
      <c r="I52" s="43" t="n">
        <f aca="false">IF($F$4=2,0,SC_s*(1-0.2*(SC_xmb+(SC_n-1)*SC_xmt)*MAX(G52-SC_Z,0)/(SC_n*SC_b))*SC_m*SC_n*SC_b*SQRT(2*g_)*MAX(G52-SC_Z,0)^1.5)</f>
        <v>104.806766602558</v>
      </c>
      <c r="J52" s="40" t="n">
        <f aca="false">H52+I52</f>
        <v>189.930245627773</v>
      </c>
      <c r="K52" s="23" t="n">
        <f aca="false">INDEX(QH_V,MATCH(G52,QH_Z,1))+(G52-INDEX(QH_Z,MATCH(G52,QH_Z,1)))*(INDEX(QH_V,MATCH(G52,QH_Z,1)+1)-INDEX(QH_V,MATCH(G52,QH_Z,1)))/(INDEX(QH_Z,MATCH(G52,QH_Z,1)+1)-INDEX(QH_Z,MATCH(G52,QH_Z,1)))</f>
        <v>47.4328286265345</v>
      </c>
      <c r="L52" s="40" t="n">
        <f aca="false">K52*1000000/dt_s+J52/2</f>
        <v>13270.7508524068</v>
      </c>
    </row>
    <row r="53" customFormat="false" ht="15" hidden="false" customHeight="false" outlineLevel="0" collapsed="false">
      <c r="A53" s="14" t="n">
        <v>37</v>
      </c>
      <c r="B53" s="40" t="n">
        <f aca="false">IFERROR(INDEX(Lu_Q,MATCH(A53,Lu_t,0),$C$4),0)</f>
        <v>0</v>
      </c>
      <c r="C53" s="40" t="n">
        <f aca="false">(B52+B53)/2</f>
        <v>1.5</v>
      </c>
      <c r="D53" s="40" t="n">
        <f aca="false">L52</f>
        <v>13270.7508524068</v>
      </c>
      <c r="E53" s="40" t="n">
        <f aca="false">J52</f>
        <v>189.930245627773</v>
      </c>
      <c r="F53" s="40" t="n">
        <f aca="false">D53+C53-E53</f>
        <v>13082.320606779</v>
      </c>
      <c r="G53" s="41" t="n">
        <f aca="false">INDEX(QH_Z,MATCH(F53,INDEX(QH_f,0,$F$4),1))+(F53-INDEX(QH_f,MATCH(F53,INDEX(QH_f,0,$F$4),1),$F$4))*(INDEX(QH_Z,MATCH(F53,INDEX(QH_f,0,$F$4),1)+1)-INDEX(QH_Z,MATCH(F53,INDEX(QH_f,0,$F$4),1)))/(INDEX(QH_f,MATCH(F53,INDEX(QH_f,0,$F$4),1)+1,$F$4)-INDEX(QH_f,MATCH(F53,INDEX(QH_f,0,$F$4),1),$F$4))</f>
        <v>76.2543495653647</v>
      </c>
      <c r="H53" s="42" t="n">
        <f aca="false">TC_s*(1-0.2*(TC_xmb+(TC_n-1)*TC_xmt)*MAX(G53-TC_Z,0)/(TC_n*TC_b))*TC_m*TC_n*TC_b*SQRT(2*g_)*MAX(G53-TC_Z,0)^1.5</f>
        <v>78.2698250259703</v>
      </c>
      <c r="I53" s="43" t="n">
        <f aca="false">IF($F$4=2,0,SC_s*(1-0.2*(SC_xmb+(SC_n-1)*SC_xmt)*MAX(G53-SC_Z,0)/(SC_n*SC_b))*SC_m*SC_n*SC_b*SQRT(2*g_)*MAX(G53-SC_Z,0)^1.5)</f>
        <v>102.375841208405</v>
      </c>
      <c r="J53" s="40" t="n">
        <f aca="false">H53+I53</f>
        <v>180.645666234375</v>
      </c>
      <c r="K53" s="23" t="n">
        <f aca="false">INDEX(QH_V,MATCH(G53,QH_Z,1))+(G53-INDEX(QH_Z,MATCH(G53,QH_Z,1)))*(INDEX(QH_V,MATCH(G53,QH_Z,1)+1)-INDEX(QH_V,MATCH(G53,QH_Z,1)))/(INDEX(QH_Z,MATCH(G53,QH_Z,1)+1)-INDEX(QH_Z,MATCH(G53,QH_Z,1)))</f>
        <v>46.7711915706002</v>
      </c>
      <c r="L53" s="40" t="n">
        <f aca="false">K53*1000000/dt_s+J53/2</f>
        <v>13082.3204916172</v>
      </c>
    </row>
    <row r="54" customFormat="false" ht="15" hidden="false" customHeight="false" outlineLevel="0" collapsed="false">
      <c r="A54" s="14" t="n">
        <v>38</v>
      </c>
      <c r="B54" s="40" t="n">
        <f aca="false">IFERROR(INDEX(Lu_Q,MATCH(A54,Lu_t,0),$C$4),0)</f>
        <v>0</v>
      </c>
      <c r="C54" s="40" t="n">
        <f aca="false">(B53+B54)/2</f>
        <v>0</v>
      </c>
      <c r="D54" s="40" t="n">
        <f aca="false">L53</f>
        <v>13082.3204916172</v>
      </c>
      <c r="E54" s="40" t="n">
        <f aca="false">J53</f>
        <v>180.645666234375</v>
      </c>
      <c r="F54" s="40" t="n">
        <f aca="false">D54+C54-E54</f>
        <v>12901.6748253829</v>
      </c>
      <c r="G54" s="41" t="n">
        <f aca="false">INDEX(QH_Z,MATCH(F54,INDEX(QH_f,0,$F$4),1))+(F54-INDEX(QH_f,MATCH(F54,INDEX(QH_f,0,$F$4),1),$F$4))*(INDEX(QH_Z,MATCH(F54,INDEX(QH_f,0,$F$4),1)+1)-INDEX(QH_Z,MATCH(F54,INDEX(QH_f,0,$F$4),1)))/(INDEX(QH_f,MATCH(F54,INDEX(QH_f,0,$F$4),1)+1,$F$4)-INDEX(QH_f,MATCH(F54,INDEX(QH_f,0,$F$4),1),$F$4))</f>
        <v>76.1637689305332</v>
      </c>
      <c r="H54" s="42" t="n">
        <f aca="false">TC_s*(1-0.2*(TC_xmb+(TC_n-1)*TC_xmt)*MAX(G54-TC_Z,0)/(TC_n*TC_b))*TC_m*TC_n*TC_b*SQRT(2*g_)*MAX(G54-TC_Z,0)^1.5</f>
        <v>71.8036449802763</v>
      </c>
      <c r="I54" s="43" t="n">
        <f aca="false">IF($F$4=2,0,SC_s*(1-0.2*(SC_xmb+(SC_n-1)*SC_xmt)*MAX(G54-SC_Z,0)/(SC_n*SC_b))*SC_m*SC_n*SC_b*SQRT(2*g_)*MAX(G54-SC_Z,0)^1.5)</f>
        <v>100.03657454802</v>
      </c>
      <c r="J54" s="40" t="n">
        <f aca="false">H54+I54</f>
        <v>171.840219528296</v>
      </c>
      <c r="K54" s="23" t="n">
        <f aca="false">INDEX(QH_V,MATCH(G54,QH_Z,1))+(G54-INDEX(QH_Z,MATCH(G54,QH_Z,1)))*(INDEX(QH_V,MATCH(G54,QH_Z,1)+1)-INDEX(QH_V,MATCH(G54,QH_Z,1)))/(INDEX(QH_Z,MATCH(G54,QH_Z,1)+1)-INDEX(QH_Z,MATCH(G54,QH_Z,1)))</f>
        <v>46.136716557448</v>
      </c>
      <c r="L54" s="40" t="n">
        <f aca="false">K54*1000000/dt_s+J54/2</f>
        <v>12901.6747090553</v>
      </c>
    </row>
    <row r="55" customFormat="false" ht="15" hidden="false" customHeight="false" outlineLevel="0" collapsed="false">
      <c r="A55" s="14" t="n">
        <v>39</v>
      </c>
      <c r="B55" s="40" t="n">
        <f aca="false">IFERROR(INDEX(Lu_Q,MATCH(A55,Lu_t,0),$C$4),0)</f>
        <v>0</v>
      </c>
      <c r="C55" s="40" t="n">
        <f aca="false">(B54+B55)/2</f>
        <v>0</v>
      </c>
      <c r="D55" s="40" t="n">
        <f aca="false">L54</f>
        <v>12901.6747090553</v>
      </c>
      <c r="E55" s="40" t="n">
        <f aca="false">J54</f>
        <v>171.840219528296</v>
      </c>
      <c r="F55" s="40" t="n">
        <f aca="false">D55+C55-E55</f>
        <v>12729.834489527</v>
      </c>
      <c r="G55" s="41" t="n">
        <f aca="false">INDEX(QH_Z,MATCH(F55,INDEX(QH_f,0,$F$4),1))+(F55-INDEX(QH_f,MATCH(F55,INDEX(QH_f,0,$F$4),1),$F$4))*(INDEX(QH_Z,MATCH(F55,INDEX(QH_f,0,$F$4),1)+1)-INDEX(QH_Z,MATCH(F55,INDEX(QH_f,0,$F$4),1)))/(INDEX(QH_f,MATCH(F55,INDEX(QH_f,0,$F$4),1)+1,$F$4)-INDEX(QH_f,MATCH(F55,INDEX(QH_f,0,$F$4),1),$F$4))</f>
        <v>76.0770298660138</v>
      </c>
      <c r="H55" s="42" t="n">
        <f aca="false">TC_s*(1-0.2*(TC_xmb+(TC_n-1)*TC_xmt)*MAX(G55-TC_Z,0)/(TC_n*TC_b))*TC_m*TC_n*TC_b*SQRT(2*g_)*MAX(G55-TC_Z,0)^1.5</f>
        <v>65.7570748176834</v>
      </c>
      <c r="I55" s="43" t="n">
        <f aca="false">IF($F$4=2,0,SC_s*(1-0.2*(SC_xmb+(SC_n-1)*SC_xmt)*MAX(G55-SC_Z,0)/(SC_n*SC_b))*SC_m*SC_n*SC_b*SQRT(2*g_)*MAX(G55-SC_Z,0)^1.5)</f>
        <v>97.8035213571682</v>
      </c>
      <c r="J55" s="40" t="n">
        <f aca="false">H55+I55</f>
        <v>163.560596174852</v>
      </c>
      <c r="K55" s="23" t="n">
        <f aca="false">INDEX(QH_V,MATCH(G55,QH_Z,1))+(G55-INDEX(QH_Z,MATCH(G55,QH_Z,1)))*(INDEX(QH_V,MATCH(G55,QH_Z,1)+1)-INDEX(QH_V,MATCH(G55,QH_Z,1)))/(INDEX(QH_Z,MATCH(G55,QH_Z,1)+1)-INDEX(QH_Z,MATCH(G55,QH_Z,1)))</f>
        <v>45.5329946954708</v>
      </c>
      <c r="L55" s="40" t="n">
        <f aca="false">K55*1000000/dt_s+J55/2</f>
        <v>12729.8343801626</v>
      </c>
    </row>
    <row r="56" customFormat="false" ht="15" hidden="false" customHeight="false" outlineLevel="0" collapsed="false">
      <c r="A56" s="14" t="n">
        <v>40</v>
      </c>
      <c r="B56" s="40" t="n">
        <f aca="false">IFERROR(INDEX(Lu_Q,MATCH(A56,Lu_t,0),$C$4),0)</f>
        <v>0</v>
      </c>
      <c r="C56" s="40" t="n">
        <f aca="false">(B55+B56)/2</f>
        <v>0</v>
      </c>
      <c r="D56" s="40" t="n">
        <f aca="false">L55</f>
        <v>12729.8343801626</v>
      </c>
      <c r="E56" s="40" t="n">
        <f aca="false">J55</f>
        <v>163.560596174852</v>
      </c>
      <c r="F56" s="40" t="n">
        <f aca="false">D56+C56-E56</f>
        <v>12566.2737839878</v>
      </c>
      <c r="G56" s="41" t="n">
        <f aca="false">INDEX(QH_Z,MATCH(F56,INDEX(QH_f,0,$F$4),1))+(F56-INDEX(QH_f,MATCH(F56,INDEX(QH_f,0,$F$4),1),$F$4))*(INDEX(QH_Z,MATCH(F56,INDEX(QH_f,0,$F$4),1)+1)-INDEX(QH_Z,MATCH(F56,INDEX(QH_f,0,$F$4),1)))/(INDEX(QH_f,MATCH(F56,INDEX(QH_f,0,$F$4),1)+1,$F$4)-INDEX(QH_f,MATCH(F56,INDEX(QH_f,0,$F$4),1),$F$4))</f>
        <v>75.9939382063933</v>
      </c>
      <c r="H56" s="42" t="n">
        <f aca="false">TC_s*(1-0.2*(TC_xmb+(TC_n-1)*TC_xmt)*MAX(G56-TC_Z,0)/(TC_n*TC_b))*TC_m*TC_n*TC_b*SQRT(2*g_)*MAX(G56-TC_Z,0)^1.5</f>
        <v>60.1056372346855</v>
      </c>
      <c r="I56" s="43" t="n">
        <f aca="false">IF($F$4=2,0,SC_s*(1-0.2*(SC_xmb+(SC_n-1)*SC_xmt)*MAX(G56-SC_Z,0)/(SC_n*SC_b))*SC_m*SC_n*SC_b*SQRT(2*g_)*MAX(G56-SC_Z,0)^1.5)</f>
        <v>95.6711339283544</v>
      </c>
      <c r="J56" s="40" t="n">
        <f aca="false">H56+I56</f>
        <v>155.77677116304</v>
      </c>
      <c r="K56" s="23" t="n">
        <f aca="false">INDEX(QH_V,MATCH(G56,QH_Z,1))+(G56-INDEX(QH_Z,MATCH(G56,QH_Z,1)))*(INDEX(QH_V,MATCH(G56,QH_Z,1)+1)-INDEX(QH_V,MATCH(G56,QH_Z,1)))/(INDEX(QH_Z,MATCH(G56,QH_Z,1)+1)-INDEX(QH_Z,MATCH(G56,QH_Z,1)))</f>
        <v>44.95818696006</v>
      </c>
      <c r="L56" s="40" t="n">
        <f aca="false">K56*1000000/dt_s+J56/2</f>
        <v>12566.2736522648</v>
      </c>
    </row>
    <row r="57" customFormat="false" ht="15" hidden="false" customHeight="false" outlineLevel="0" collapsed="false">
      <c r="A57" s="14" t="n">
        <v>41</v>
      </c>
      <c r="B57" s="40" t="n">
        <f aca="false">IFERROR(INDEX(Lu_Q,MATCH(A57,Lu_t,0),$C$4),0)</f>
        <v>0</v>
      </c>
      <c r="C57" s="40" t="n">
        <f aca="false">(B56+B57)/2</f>
        <v>0</v>
      </c>
      <c r="D57" s="40" t="n">
        <f aca="false">L56</f>
        <v>12566.2736522648</v>
      </c>
      <c r="E57" s="40" t="n">
        <f aca="false">J56</f>
        <v>155.77677116304</v>
      </c>
      <c r="F57" s="40" t="n">
        <f aca="false">D57+C57-E57</f>
        <v>12410.4968811018</v>
      </c>
      <c r="G57" s="41" t="n">
        <f aca="false">INDEX(QH_Z,MATCH(F57,INDEX(QH_f,0,$F$4),1))+(F57-INDEX(QH_f,MATCH(F57,INDEX(QH_f,0,$F$4),1),$F$4))*(INDEX(QH_Z,MATCH(F57,INDEX(QH_f,0,$F$4),1)+1)-INDEX(QH_Z,MATCH(F57,INDEX(QH_f,0,$F$4),1)))/(INDEX(QH_f,MATCH(F57,INDEX(QH_f,0,$F$4),1)+1,$F$4)-INDEX(QH_f,MATCH(F57,INDEX(QH_f,0,$F$4),1),$F$4))</f>
        <v>75.9143384286689</v>
      </c>
      <c r="H57" s="42" t="n">
        <f aca="false">TC_s*(1-0.2*(TC_xmb+(TC_n-1)*TC_xmt)*MAX(G57-TC_Z,0)/(TC_n*TC_b))*TC_m*TC_n*TC_b*SQRT(2*g_)*MAX(G57-TC_Z,0)^1.5</f>
        <v>54.8281053124073</v>
      </c>
      <c r="I57" s="43" t="n">
        <f aca="false">IF($F$4=2,0,SC_s*(1-0.2*(SC_xmb+(SC_n-1)*SC_xmt)*MAX(G57-SC_Z,0)/(SC_n*SC_b))*SC_m*SC_n*SC_b*SQRT(2*g_)*MAX(G57-SC_Z,0)^1.5)</f>
        <v>93.6348708571466</v>
      </c>
      <c r="J57" s="40" t="n">
        <f aca="false">H57+I57</f>
        <v>148.462976169554</v>
      </c>
      <c r="K57" s="23" t="n">
        <f aca="false">INDEX(QH_V,MATCH(G57,QH_Z,1))+(G57-INDEX(QH_Z,MATCH(G57,QH_Z,1)))*(INDEX(QH_V,MATCH(G57,QH_Z,1)+1)-INDEX(QH_V,MATCH(G57,QH_Z,1)))/(INDEX(QH_Z,MATCH(G57,QH_Z,1)+1)-INDEX(QH_Z,MATCH(G57,QH_Z,1)))</f>
        <v>44.4105549005832</v>
      </c>
      <c r="L57" s="40" t="n">
        <f aca="false">K57*1000000/dt_s+J57/2</f>
        <v>12410.4967382468</v>
      </c>
    </row>
    <row r="58" customFormat="false" ht="15" hidden="false" customHeight="false" outlineLevel="0" collapsed="false">
      <c r="A58" s="14" t="n">
        <v>42</v>
      </c>
      <c r="B58" s="40" t="n">
        <f aca="false">IFERROR(INDEX(Lu_Q,MATCH(A58,Lu_t,0),$C$4),0)</f>
        <v>0</v>
      </c>
      <c r="C58" s="40" t="n">
        <f aca="false">(B57+B58)/2</f>
        <v>0</v>
      </c>
      <c r="D58" s="40" t="n">
        <f aca="false">L57</f>
        <v>12410.4967382468</v>
      </c>
      <c r="E58" s="40" t="n">
        <f aca="false">J57</f>
        <v>148.462976169554</v>
      </c>
      <c r="F58" s="40" t="n">
        <f aca="false">D58+C58-E58</f>
        <v>12262.0337620772</v>
      </c>
      <c r="G58" s="41" t="n">
        <f aca="false">INDEX(QH_Z,MATCH(F58,INDEX(QH_f,0,$F$4),1))+(F58-INDEX(QH_f,MATCH(F58,INDEX(QH_f,0,$F$4),1),$F$4))*(INDEX(QH_Z,MATCH(F58,INDEX(QH_f,0,$F$4),1)+1)-INDEX(QH_Z,MATCH(F58,INDEX(QH_f,0,$F$4),1)))/(INDEX(QH_f,MATCH(F58,INDEX(QH_f,0,$F$4),1)+1,$F$4)-INDEX(QH_f,MATCH(F58,INDEX(QH_f,0,$F$4),1),$F$4))</f>
        <v>75.8380696724792</v>
      </c>
      <c r="H58" s="42" t="n">
        <f aca="false">TC_s*(1-0.2*(TC_xmb+(TC_n-1)*TC_xmt)*MAX(G58-TC_Z,0)/(TC_n*TC_b))*TC_m*TC_n*TC_b*SQRT(2*g_)*MAX(G58-TC_Z,0)^1.5</f>
        <v>49.9034407571938</v>
      </c>
      <c r="I58" s="43" t="n">
        <f aca="false">IF($F$4=2,0,SC_s*(1-0.2*(SC_xmb+(SC_n-1)*SC_xmt)*MAX(G58-SC_Z,0)/(SC_n*SC_b))*SC_m*SC_n*SC_b*SQRT(2*g_)*MAX(G58-SC_Z,0)^1.5)</f>
        <v>91.6900689803535</v>
      </c>
      <c r="J58" s="40" t="n">
        <f aca="false">H58+I58</f>
        <v>141.593509737547</v>
      </c>
      <c r="K58" s="23" t="n">
        <f aca="false">INDEX(QH_V,MATCH(G58,QH_Z,1))+(G58-INDEX(QH_Z,MATCH(G58,QH_Z,1)))*(INDEX(QH_V,MATCH(G58,QH_Z,1)+1)-INDEX(QH_V,MATCH(G58,QH_Z,1)))/(INDEX(QH_Z,MATCH(G58,QH_Z,1)+1)-INDEX(QH_Z,MATCH(G58,QH_Z,1)))</f>
        <v>43.8884528818843</v>
      </c>
      <c r="L58" s="40" t="n">
        <f aca="false">K58*1000000/dt_s+J58/2</f>
        <v>12262.0336665033</v>
      </c>
    </row>
    <row r="59" customFormat="false" ht="15" hidden="false" customHeight="false" outlineLevel="0" collapsed="false">
      <c r="A59" s="14" t="n">
        <v>43</v>
      </c>
      <c r="B59" s="40" t="n">
        <f aca="false">IFERROR(INDEX(Lu_Q,MATCH(A59,Lu_t,0),$C$4),0)</f>
        <v>0</v>
      </c>
      <c r="C59" s="40" t="n">
        <f aca="false">(B58+B59)/2</f>
        <v>0</v>
      </c>
      <c r="D59" s="40" t="n">
        <f aca="false">L58</f>
        <v>12262.0336665033</v>
      </c>
      <c r="E59" s="40" t="n">
        <f aca="false">J58</f>
        <v>141.593509737547</v>
      </c>
      <c r="F59" s="40" t="n">
        <f aca="false">D59+C59-E59</f>
        <v>12120.4401567657</v>
      </c>
      <c r="G59" s="41" t="n">
        <f aca="false">INDEX(QH_Z,MATCH(F59,INDEX(QH_f,0,$F$4),1))+(F59-INDEX(QH_f,MATCH(F59,INDEX(QH_f,0,$F$4),1),$F$4))*(INDEX(QH_Z,MATCH(F59,INDEX(QH_f,0,$F$4),1)+1)-INDEX(QH_Z,MATCH(F59,INDEX(QH_f,0,$F$4),1)))/(INDEX(QH_f,MATCH(F59,INDEX(QH_f,0,$F$4),1)+1,$F$4)-INDEX(QH_f,MATCH(F59,INDEX(QH_f,0,$F$4),1),$F$4))</f>
        <v>75.7649520347352</v>
      </c>
      <c r="H59" s="42" t="n">
        <f aca="false">TC_s*(1-0.2*(TC_xmb+(TC_n-1)*TC_xmt)*MAX(G59-TC_Z,0)/(TC_n*TC_b))*TC_m*TC_n*TC_b*SQRT(2*g_)*MAX(G59-TC_Z,0)^1.5</f>
        <v>45.3100541975085</v>
      </c>
      <c r="I59" s="43" t="n">
        <f aca="false">IF($F$4=2,0,SC_s*(1-0.2*(SC_xmb+(SC_n-1)*SC_xmt)*MAX(G59-SC_Z,0)/(SC_n*SC_b))*SC_m*SC_n*SC_b*SQRT(2*g_)*MAX(G59-SC_Z,0)^1.5)</f>
        <v>89.831603977743</v>
      </c>
      <c r="J59" s="40" t="n">
        <f aca="false">H59+I59</f>
        <v>135.141658175251</v>
      </c>
      <c r="K59" s="23" t="n">
        <f aca="false">INDEX(QH_V,MATCH(G59,QH_Z,1))+(G59-INDEX(QH_Z,MATCH(G59,QH_Z,1)))*(INDEX(QH_V,MATCH(G59,QH_Z,1)+1)-INDEX(QH_V,MATCH(G59,QH_Z,1)))/(INDEX(QH_Z,MATCH(G59,QH_Z,1)+1)-INDEX(QH_Z,MATCH(G59,QH_Z,1)))</f>
        <v>43.390328999281</v>
      </c>
      <c r="L59" s="40" t="n">
        <f aca="false">K59*1000000/dt_s+J59/2</f>
        <v>12120.4399955546</v>
      </c>
    </row>
    <row r="60" customFormat="false" ht="15" hidden="false" customHeight="false" outlineLevel="0" collapsed="false">
      <c r="A60" s="14" t="n">
        <v>44</v>
      </c>
      <c r="B60" s="40" t="n">
        <f aca="false">IFERROR(INDEX(Lu_Q,MATCH(A60,Lu_t,0),$C$4),0)</f>
        <v>0</v>
      </c>
      <c r="C60" s="40" t="n">
        <f aca="false">(B59+B60)/2</f>
        <v>0</v>
      </c>
      <c r="D60" s="40" t="n">
        <f aca="false">L59</f>
        <v>12120.4399955546</v>
      </c>
      <c r="E60" s="40" t="n">
        <f aca="false">J59</f>
        <v>135.141658175251</v>
      </c>
      <c r="F60" s="40" t="n">
        <f aca="false">D60+C60-E60</f>
        <v>11985.2983373793</v>
      </c>
      <c r="G60" s="41" t="n">
        <f aca="false">INDEX(QH_Z,MATCH(F60,INDEX(QH_f,0,$F$4),1))+(F60-INDEX(QH_f,MATCH(F60,INDEX(QH_f,0,$F$4),1),$F$4))*(INDEX(QH_Z,MATCH(F60,INDEX(QH_f,0,$F$4),1)+1)-INDEX(QH_Z,MATCH(F60,INDEX(QH_f,0,$F$4),1)))/(INDEX(QH_f,MATCH(F60,INDEX(QH_f,0,$F$4),1)+1,$F$4)-INDEX(QH_f,MATCH(F60,INDEX(QH_f,0,$F$4),1),$F$4))</f>
        <v>75.6948158412659</v>
      </c>
      <c r="H60" s="42" t="n">
        <f aca="false">TC_s*(1-0.2*(TC_xmb+(TC_n-1)*TC_xmt)*MAX(G60-TC_Z,0)/(TC_n*TC_b))*TC_m*TC_n*TC_b*SQRT(2*g_)*MAX(G60-TC_Z,0)^1.5</f>
        <v>41.0277928320465</v>
      </c>
      <c r="I60" s="43" t="n">
        <f aca="false">IF($F$4=2,0,SC_s*(1-0.2*(SC_xmb+(SC_n-1)*SC_xmt)*MAX(G60-SC_Z,0)/(SC_n*SC_b))*SC_m*SC_n*SC_b*SQRT(2*g_)*MAX(G60-SC_Z,0)^1.5)</f>
        <v>88.0546437450565</v>
      </c>
      <c r="J60" s="40" t="n">
        <f aca="false">H60+I60</f>
        <v>129.082436577103</v>
      </c>
      <c r="K60" s="23" t="n">
        <f aca="false">INDEX(QH_V,MATCH(G60,QH_Z,1))+(G60-INDEX(QH_Z,MATCH(G60,QH_Z,1)))*(INDEX(QH_V,MATCH(G60,QH_Z,1)+1)-INDEX(QH_V,MATCH(G60,QH_Z,1)))/(INDEX(QH_Z,MATCH(G60,QH_Z,1)+1)-INDEX(QH_Z,MATCH(G60,QH_Z,1)))</f>
        <v>42.9147250188369</v>
      </c>
      <c r="L60" s="40" t="n">
        <f aca="false">K60*1000000/dt_s+J60/2</f>
        <v>11985.2981679655</v>
      </c>
    </row>
    <row r="61" customFormat="false" ht="15" hidden="false" customHeight="false" outlineLevel="0" collapsed="false">
      <c r="A61" s="14" t="n">
        <v>45</v>
      </c>
      <c r="B61" s="40" t="n">
        <f aca="false">IFERROR(INDEX(Lu_Q,MATCH(A61,Lu_t,0),$C$4),0)</f>
        <v>0</v>
      </c>
      <c r="C61" s="40" t="n">
        <f aca="false">(B60+B61)/2</f>
        <v>0</v>
      </c>
      <c r="D61" s="40" t="n">
        <f aca="false">L60</f>
        <v>11985.2981679655</v>
      </c>
      <c r="E61" s="40" t="n">
        <f aca="false">J60</f>
        <v>129.082436577103</v>
      </c>
      <c r="F61" s="40" t="n">
        <f aca="false">D61+C61-E61</f>
        <v>11856.2157313884</v>
      </c>
      <c r="G61" s="41" t="n">
        <f aca="false">INDEX(QH_Z,MATCH(F61,INDEX(QH_f,0,$F$4),1))+(F61-INDEX(QH_f,MATCH(F61,INDEX(QH_f,0,$F$4),1),$F$4))*(INDEX(QH_Z,MATCH(F61,INDEX(QH_f,0,$F$4),1)+1)-INDEX(QH_Z,MATCH(F61,INDEX(QH_f,0,$F$4),1)))/(INDEX(QH_f,MATCH(F61,INDEX(QH_f,0,$F$4),1)+1,$F$4)-INDEX(QH_f,MATCH(F61,INDEX(QH_f,0,$F$4),1),$F$4))</f>
        <v>75.6274984461294</v>
      </c>
      <c r="H61" s="42" t="n">
        <f aca="false">TC_s*(1-0.2*(TC_xmb+(TC_n-1)*TC_xmt)*MAX(G61-TC_Z,0)/(TC_n*TC_b))*TC_m*TC_n*TC_b*SQRT(2*g_)*MAX(G61-TC_Z,0)^1.5</f>
        <v>37.0377186527842</v>
      </c>
      <c r="I61" s="43" t="n">
        <f aca="false">IF($F$4=2,0,SC_s*(1-0.2*(SC_xmb+(SC_n-1)*SC_xmt)*MAX(G61-SC_Z,0)/(SC_n*SC_b))*SC_m*SC_n*SC_b*SQRT(2*g_)*MAX(G61-SC_Z,0)^1.5)</f>
        <v>86.3545677445437</v>
      </c>
      <c r="J61" s="40" t="n">
        <f aca="false">H61+I61</f>
        <v>123.392286397328</v>
      </c>
      <c r="K61" s="23" t="n">
        <f aca="false">INDEX(QH_V,MATCH(G61,QH_Z,1))+(G61-INDEX(QH_Z,MATCH(G61,QH_Z,1)))*(INDEX(QH_V,MATCH(G61,QH_Z,1)+1)-INDEX(QH_V,MATCH(G61,QH_Z,1)))/(INDEX(QH_Z,MATCH(G61,QH_Z,1)+1)-INDEX(QH_Z,MATCH(G61,QH_Z,1)))</f>
        <v>42.4602700346817</v>
      </c>
      <c r="L61" s="40" t="n">
        <f aca="false">K61*1000000/dt_s+J61/2</f>
        <v>11856.2155972769</v>
      </c>
    </row>
    <row r="62" customFormat="false" ht="15" hidden="false" customHeight="false" outlineLevel="0" collapsed="false">
      <c r="A62" s="14" t="n">
        <v>46</v>
      </c>
      <c r="B62" s="40" t="n">
        <f aca="false">IFERROR(INDEX(Lu_Q,MATCH(A62,Lu_t,0),$C$4),0)</f>
        <v>0</v>
      </c>
      <c r="C62" s="40" t="n">
        <f aca="false">(B61+B62)/2</f>
        <v>0</v>
      </c>
      <c r="D62" s="40" t="n">
        <f aca="false">L61</f>
        <v>11856.2155972769</v>
      </c>
      <c r="E62" s="40" t="n">
        <f aca="false">J61</f>
        <v>123.392286397328</v>
      </c>
      <c r="F62" s="40" t="n">
        <f aca="false">D62+C62-E62</f>
        <v>11732.8233108796</v>
      </c>
      <c r="G62" s="41" t="n">
        <f aca="false">INDEX(QH_Z,MATCH(F62,INDEX(QH_f,0,$F$4),1))+(F62-INDEX(QH_f,MATCH(F62,INDEX(QH_f,0,$F$4),1),$F$4))*(INDEX(QH_Z,MATCH(F62,INDEX(QH_f,0,$F$4),1)+1)-INDEX(QH_Z,MATCH(F62,INDEX(QH_f,0,$F$4),1)))/(INDEX(QH_f,MATCH(F62,INDEX(QH_f,0,$F$4),1)+1,$F$4)-INDEX(QH_f,MATCH(F62,INDEX(QH_f,0,$F$4),1),$F$4))</f>
        <v>75.5628445585557</v>
      </c>
      <c r="H62" s="42" t="n">
        <f aca="false">TC_s*(1-0.2*(TC_xmb+(TC_n-1)*TC_xmt)*MAX(G62-TC_Z,0)/(TC_n*TC_b))*TC_m*TC_n*TC_b*SQRT(2*g_)*MAX(G62-TC_Z,0)^1.5</f>
        <v>33.3221151539418</v>
      </c>
      <c r="I62" s="43" t="n">
        <f aca="false">IF($F$4=2,0,SC_s*(1-0.2*(SC_xmb+(SC_n-1)*SC_xmt)*MAX(G62-SC_Z,0)/(SC_n*SC_b))*SC_m*SC_n*SC_b*SQRT(2*g_)*MAX(G62-SC_Z,0)^1.5)</f>
        <v>84.7269757922862</v>
      </c>
      <c r="J62" s="40" t="n">
        <f aca="false">H62+I62</f>
        <v>118.049090946228</v>
      </c>
      <c r="K62" s="23" t="n">
        <f aca="false">INDEX(QH_V,MATCH(G62,QH_Z,1))+(G62-INDEX(QH_Z,MATCH(G62,QH_Z,1)))*(INDEX(QH_V,MATCH(G62,QH_Z,1)+1)-INDEX(QH_V,MATCH(G62,QH_Z,1)))/(INDEX(QH_Z,MATCH(G62,QH_Z,1)+1)-INDEX(QH_Z,MATCH(G62,QH_Z,1)))</f>
        <v>42.0256750055266</v>
      </c>
      <c r="L62" s="40" t="n">
        <f aca="false">K62*1000000/dt_s+J62/2</f>
        <v>11732.8231581194</v>
      </c>
    </row>
    <row r="63" customFormat="false" ht="15" hidden="false" customHeight="false" outlineLevel="0" collapsed="false">
      <c r="A63" s="14" t="n">
        <v>47</v>
      </c>
      <c r="B63" s="40" t="n">
        <f aca="false">IFERROR(INDEX(Lu_Q,MATCH(A63,Lu_t,0),$C$4),0)</f>
        <v>0</v>
      </c>
      <c r="C63" s="40" t="n">
        <f aca="false">(B62+B63)/2</f>
        <v>0</v>
      </c>
      <c r="D63" s="40" t="n">
        <f aca="false">L62</f>
        <v>11732.8231581194</v>
      </c>
      <c r="E63" s="40" t="n">
        <f aca="false">J62</f>
        <v>118.049090946228</v>
      </c>
      <c r="F63" s="40" t="n">
        <f aca="false">D63+C63-E63</f>
        <v>11614.7740671732</v>
      </c>
      <c r="G63" s="41" t="n">
        <f aca="false">INDEX(QH_Z,MATCH(F63,INDEX(QH_f,0,$F$4),1))+(F63-INDEX(QH_f,MATCH(F63,INDEX(QH_f,0,$F$4),1),$F$4))*(INDEX(QH_Z,MATCH(F63,INDEX(QH_f,0,$F$4),1)+1)-INDEX(QH_Z,MATCH(F63,INDEX(QH_f,0,$F$4),1)))/(INDEX(QH_f,MATCH(F63,INDEX(QH_f,0,$F$4),1)+1,$F$4)-INDEX(QH_f,MATCH(F63,INDEX(QH_f,0,$F$4),1),$F$4))</f>
        <v>75.500707607854</v>
      </c>
      <c r="H63" s="42" t="n">
        <f aca="false">TC_s*(1-0.2*(TC_xmb+(TC_n-1)*TC_xmt)*MAX(G63-TC_Z,0)/(TC_n*TC_b))*TC_m*TC_n*TC_b*SQRT(2*g_)*MAX(G63-TC_Z,0)^1.5</f>
        <v>29.8645434359585</v>
      </c>
      <c r="I63" s="43" t="n">
        <f aca="false">IF($F$4=2,0,SC_s*(1-0.2*(SC_xmb+(SC_n-1)*SC_xmt)*MAX(G63-SC_Z,0)/(SC_n*SC_b))*SC_m*SC_n*SC_b*SQRT(2*g_)*MAX(G63-SC_Z,0)^1.5)</f>
        <v>83.1677220354926</v>
      </c>
      <c r="J63" s="40" t="n">
        <f aca="false">H63+I63</f>
        <v>113.032265471451</v>
      </c>
      <c r="K63" s="23" t="n">
        <f aca="false">INDEX(QH_V,MATCH(G63,QH_Z,1))+(G63-INDEX(QH_Z,MATCH(G63,QH_Z,1)))*(INDEX(QH_V,MATCH(G63,QH_Z,1)+1)-INDEX(QH_V,MATCH(G63,QH_Z,1)))/(INDEX(QH_Z,MATCH(G63,QH_Z,1)+1)-INDEX(QH_Z,MATCH(G63,QH_Z,1)))</f>
        <v>41.6097283772022</v>
      </c>
      <c r="L63" s="40" t="n">
        <f aca="false">K63*1000000/dt_s+J63/2</f>
        <v>11614.7740152919</v>
      </c>
    </row>
    <row r="64" customFormat="false" ht="15" hidden="false" customHeight="false" outlineLevel="0" collapsed="false">
      <c r="A64" s="14" t="n">
        <v>48</v>
      </c>
      <c r="B64" s="40" t="n">
        <f aca="false">IFERROR(INDEX(Lu_Q,MATCH(A64,Lu_t,0),$C$4),0)</f>
        <v>0</v>
      </c>
      <c r="C64" s="40" t="n">
        <f aca="false">(B63+B64)/2</f>
        <v>0</v>
      </c>
      <c r="D64" s="40" t="n">
        <f aca="false">L63</f>
        <v>11614.7740152919</v>
      </c>
      <c r="E64" s="40" t="n">
        <f aca="false">J63</f>
        <v>113.032265471451</v>
      </c>
      <c r="F64" s="40" t="n">
        <f aca="false">D64+C64-E64</f>
        <v>11501.7417498204</v>
      </c>
      <c r="G64" s="41" t="n">
        <f aca="false">INDEX(QH_Z,MATCH(F64,INDEX(QH_f,0,$F$4),1))+(F64-INDEX(QH_f,MATCH(F64,INDEX(QH_f,0,$F$4),1),$F$4))*(INDEX(QH_Z,MATCH(F64,INDEX(QH_f,0,$F$4),1)+1)-INDEX(QH_Z,MATCH(F64,INDEX(QH_f,0,$F$4),1)))/(INDEX(QH_f,MATCH(F64,INDEX(QH_f,0,$F$4),1)+1,$F$4)-INDEX(QH_f,MATCH(F64,INDEX(QH_f,0,$F$4),1),$F$4))</f>
        <v>75.4409461885703</v>
      </c>
      <c r="H64" s="42" t="n">
        <f aca="false">TC_s*(1-0.2*(TC_xmb+(TC_n-1)*TC_xmt)*MAX(G64-TC_Z,0)/(TC_n*TC_b))*TC_m*TC_n*TC_b*SQRT(2*g_)*MAX(G64-TC_Z,0)^1.5</f>
        <v>26.6496202256936</v>
      </c>
      <c r="I64" s="43" t="n">
        <f aca="false">IF($F$4=2,0,SC_s*(1-0.2*(SC_xmb+(SC_n-1)*SC_xmt)*MAX(G64-SC_Z,0)/(SC_n*SC_b))*SC_m*SC_n*SC_b*SQRT(2*g_)*MAX(G64-SC_Z,0)^1.5)</f>
        <v>81.6728248720255</v>
      </c>
      <c r="J64" s="40" t="n">
        <f aca="false">H64+I64</f>
        <v>108.322445097719</v>
      </c>
      <c r="K64" s="23" t="n">
        <f aca="false">INDEX(QH_V,MATCH(G64,QH_Z,1))+(G64-INDEX(QH_Z,MATCH(G64,QH_Z,1)))*(INDEX(QH_V,MATCH(G64,QH_Z,1)+1)-INDEX(QH_V,MATCH(G64,QH_Z,1)))/(INDEX(QH_Z,MATCH(G64,QH_Z,1)+1)-INDEX(QH_Z,MATCH(G64,QH_Z,1)))</f>
        <v>41.2112896418864</v>
      </c>
      <c r="L64" s="40" t="n">
        <f aca="false">K64*1000000/dt_s+J64/2</f>
        <v>11501.7416786284</v>
      </c>
    </row>
  </sheetData>
  <mergeCells count="12">
    <mergeCell ref="A3:B3"/>
    <mergeCell ref="D3:E3"/>
    <mergeCell ref="F3:G3"/>
    <mergeCell ref="A4:B4"/>
    <mergeCell ref="D4:E4"/>
    <mergeCell ref="A6:E6"/>
    <mergeCell ref="A7:E7"/>
    <mergeCell ref="A8:E8"/>
    <mergeCell ref="A9:E9"/>
    <mergeCell ref="A10:E10"/>
    <mergeCell ref="A11:E11"/>
    <mergeCell ref="A12:E12"/>
  </mergeCells>
  <conditionalFormatting sqref="A16:L64">
    <cfRule type="expression" priority="2" aboveAverage="0" equalAverage="0" bottom="0" percent="0" rank="0" text="" dxfId="0">
      <formula>$G16=MAX($G$16:$G$64)</formula>
    </cfRule>
  </conditionalFormatting>
  <dataValidations count="2">
    <dataValidation allowBlank="false" errorStyle="stop" operator="between" showDropDown="false" showErrorMessage="false" showInputMessage="false" sqref="C3" type="list">
      <formula1>"1,0.2"</formula1>
      <formula2>0</formula2>
    </dataValidation>
    <dataValidation allowBlank="false" errorStyle="stop" operator="between" showDropDown="false" showErrorMessage="false" showInputMessage="false" sqref="F3" type="list">
      <formula1>"Hai tràn,Kẹt van"</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10" min="6" style="0" width="12"/>
    <col collapsed="false" customWidth="true" hidden="false" outlineLevel="0" max="11" min="11" style="0" width="11"/>
    <col collapsed="false" customWidth="true" hidden="false" outlineLevel="0" max="12" min="12" style="0" width="12"/>
  </cols>
  <sheetData>
    <row r="1" customFormat="false" ht="17.35" hidden="false" customHeight="false" outlineLevel="0" collapsed="false">
      <c r="A1" s="6" t="s">
        <v>95</v>
      </c>
    </row>
    <row r="3" customFormat="false" ht="15" hidden="false" customHeight="false" outlineLevel="0" collapsed="false">
      <c r="A3" s="10" t="s">
        <v>96</v>
      </c>
      <c r="B3" s="10"/>
      <c r="C3" s="33" t="n">
        <v>0.2</v>
      </c>
      <c r="D3" s="10" t="s">
        <v>97</v>
      </c>
      <c r="E3" s="10"/>
      <c r="F3" s="34" t="s">
        <v>119</v>
      </c>
      <c r="G3" s="34"/>
      <c r="H3" s="7" t="s">
        <v>99</v>
      </c>
    </row>
    <row r="4" customFormat="false" ht="15" hidden="false" customHeight="false" outlineLevel="0" collapsed="false">
      <c r="A4" s="13" t="s">
        <v>100</v>
      </c>
      <c r="B4" s="13"/>
      <c r="C4" s="35" t="n">
        <f aca="false">MATCH(C3,Lu_P,0)</f>
        <v>2</v>
      </c>
      <c r="D4" s="13" t="s">
        <v>101</v>
      </c>
      <c r="E4" s="13"/>
      <c r="F4" s="35" t="n">
        <f aca="false">IF(F3="Kẹt van",2,1)</f>
        <v>2</v>
      </c>
    </row>
    <row r="5" customFormat="false" ht="15" hidden="false" customHeight="false" outlineLevel="0" collapsed="false">
      <c r="H5" s="7" t="s">
        <v>102</v>
      </c>
    </row>
    <row r="6" customFormat="false" ht="15" hidden="false" customHeight="false" outlineLevel="0" collapsed="false">
      <c r="A6" s="10" t="s">
        <v>103</v>
      </c>
      <c r="B6" s="10"/>
      <c r="C6" s="10"/>
      <c r="D6" s="10"/>
      <c r="E6" s="10"/>
      <c r="F6" s="21" t="n">
        <f aca="false">MAX(G16:G64)</f>
        <v>79.1404369065048</v>
      </c>
    </row>
    <row r="7" customFormat="false" ht="15" hidden="false" customHeight="false" outlineLevel="0" collapsed="false">
      <c r="A7" s="10" t="s">
        <v>104</v>
      </c>
      <c r="B7" s="10"/>
      <c r="C7" s="10"/>
      <c r="D7" s="10"/>
      <c r="E7" s="10"/>
      <c r="F7" s="36" t="n">
        <f aca="false">INDEX(A16:A64,MATCH(MAX(G16:G64),G16:G64,0))</f>
        <v>17</v>
      </c>
    </row>
    <row r="8" customFormat="false" ht="15" hidden="false" customHeight="false" outlineLevel="0" collapsed="false">
      <c r="A8" s="10" t="s">
        <v>105</v>
      </c>
      <c r="B8" s="10"/>
      <c r="C8" s="10"/>
      <c r="D8" s="10"/>
      <c r="E8" s="10"/>
      <c r="F8" s="37" t="n">
        <f aca="false">MAX(J16:J64)</f>
        <v>331.63642902326</v>
      </c>
    </row>
    <row r="9" customFormat="false" ht="15" hidden="false" customHeight="false" outlineLevel="0" collapsed="false">
      <c r="A9" s="10" t="s">
        <v>106</v>
      </c>
      <c r="B9" s="10"/>
      <c r="C9" s="10"/>
      <c r="D9" s="10"/>
      <c r="E9" s="10"/>
      <c r="F9" s="37" t="n">
        <f aca="false">INDEX(H16:H64,MATCH(MAX(G16:G64),G16:G64,0))</f>
        <v>331.63642902326</v>
      </c>
      <c r="G9" s="37" t="n">
        <f aca="false">INDEX(I16:I64,MATCH(MAX(G16:G64),G16:G64,0))</f>
        <v>0</v>
      </c>
    </row>
    <row r="10" customFormat="false" ht="15" hidden="false" customHeight="false" outlineLevel="0" collapsed="false">
      <c r="A10" s="10" t="s">
        <v>107</v>
      </c>
      <c r="B10" s="10"/>
      <c r="C10" s="10"/>
      <c r="D10" s="10"/>
      <c r="E10" s="10"/>
      <c r="F10" s="21" t="n">
        <f aca="false">F6-TC_Z</f>
        <v>4.44043690650476</v>
      </c>
      <c r="G10" s="21" t="n">
        <f aca="false">F6-SC_Z</f>
        <v>8.14043690650476</v>
      </c>
    </row>
    <row r="11" customFormat="false" ht="15" hidden="false" customHeight="false" outlineLevel="0" collapsed="false">
      <c r="A11" s="10" t="s">
        <v>108</v>
      </c>
      <c r="B11" s="10"/>
      <c r="C11" s="10"/>
      <c r="D11" s="10"/>
      <c r="E11" s="10"/>
      <c r="F11" s="38" t="n">
        <f aca="false">INDEX(K16:K64,MATCH(MAX(G16:G64),G16:G64,0))-K16</f>
        <v>32.7540874678453</v>
      </c>
    </row>
    <row r="12" customFormat="false" ht="15" hidden="false" customHeight="false" outlineLevel="0" collapsed="false">
      <c r="A12" s="10" t="s">
        <v>109</v>
      </c>
      <c r="B12" s="10"/>
      <c r="C12" s="10"/>
      <c r="D12" s="10"/>
      <c r="E12" s="10"/>
      <c r="F12" s="39" t="n">
        <f aca="false">SUMPRODUCT((B16:B63+B17:B64)/2)*dt_s/1000000-SUMPRODUCT((J16:J63+J17:J64)/2)*dt_s/1000000-(K64-K16)</f>
        <v>1.98923322471956E-005</v>
      </c>
    </row>
    <row r="15" customFormat="false" ht="45" hidden="false" customHeight="true" outlineLevel="0" collapsed="false">
      <c r="A15" s="9" t="s">
        <v>69</v>
      </c>
      <c r="B15" s="9" t="s">
        <v>110</v>
      </c>
      <c r="C15" s="9" t="s">
        <v>111</v>
      </c>
      <c r="D15" s="9" t="s">
        <v>112</v>
      </c>
      <c r="E15" s="9" t="s">
        <v>113</v>
      </c>
      <c r="F15" s="9" t="s">
        <v>114</v>
      </c>
      <c r="G15" s="9" t="s">
        <v>115</v>
      </c>
      <c r="H15" s="9" t="s">
        <v>87</v>
      </c>
      <c r="I15" s="9" t="s">
        <v>90</v>
      </c>
      <c r="J15" s="9" t="s">
        <v>116</v>
      </c>
      <c r="K15" s="9" t="s">
        <v>117</v>
      </c>
      <c r="L15" s="9" t="s">
        <v>118</v>
      </c>
    </row>
    <row r="16" customFormat="false" ht="15" hidden="false" customHeight="false" outlineLevel="0" collapsed="false">
      <c r="A16" s="14" t="n">
        <v>0</v>
      </c>
      <c r="B16" s="40" t="n">
        <f aca="false">IFERROR(INDEX(Lu_Q,MATCH(A16,Lu_t,0),$C$4),0)</f>
        <v>4</v>
      </c>
      <c r="C16" s="40"/>
      <c r="D16" s="40"/>
      <c r="E16" s="40"/>
      <c r="F16" s="40"/>
      <c r="G16" s="41" t="n">
        <f aca="false">Z0</f>
        <v>74.7</v>
      </c>
      <c r="H16" s="42" t="n">
        <f aca="false">TC_s*(1-0.2*(TC_xmb+(TC_n-1)*TC_xmt)*MAX(G16-TC_Z,0)/(TC_n*TC_b))*TC_m*TC_n*TC_b*SQRT(2*g_)*MAX(G16-TC_Z,0)^1.5</f>
        <v>0</v>
      </c>
      <c r="I16" s="43" t="n">
        <f aca="false">IF($F$4=2,0,SC_s*(1-0.2*(SC_xmb+(SC_n-1)*SC_xmt)*MAX(G16-SC_Z,0)/(SC_n*SC_b))*SC_m*SC_n*SC_b*SQRT(2*g_)*MAX(G16-SC_Z,0)^1.5)</f>
        <v>0</v>
      </c>
      <c r="J16" s="40" t="n">
        <f aca="false">H16+I16</f>
        <v>0</v>
      </c>
      <c r="K16" s="23" t="n">
        <f aca="false">INDEX(QH_V,MATCH(G16,QH_Z,1))+(G16-INDEX(QH_Z,MATCH(G16,QH_Z,1)))*(INDEX(QH_V,MATCH(G16,QH_Z,1)+1)-INDEX(QH_V,MATCH(G16,QH_Z,1)))/(INDEX(QH_Z,MATCH(G16,QH_Z,1)+1)-INDEX(QH_Z,MATCH(G16,QH_Z,1)))</f>
        <v>36.4117</v>
      </c>
      <c r="L16" s="40" t="n">
        <f aca="false">K16*1000000/dt_s+J16/2</f>
        <v>10114.3611111111</v>
      </c>
    </row>
    <row r="17" customFormat="false" ht="15" hidden="false" customHeight="false" outlineLevel="0" collapsed="false">
      <c r="A17" s="14" t="n">
        <v>1</v>
      </c>
      <c r="B17" s="40" t="n">
        <f aca="false">IFERROR(INDEX(Lu_Q,MATCH(A17,Lu_t,0),$C$4),0)</f>
        <v>4</v>
      </c>
      <c r="C17" s="40" t="n">
        <f aca="false">(B16+B17)/2</f>
        <v>4</v>
      </c>
      <c r="D17" s="40" t="n">
        <f aca="false">L16</f>
        <v>10114.3611111111</v>
      </c>
      <c r="E17" s="40" t="n">
        <f aca="false">J16</f>
        <v>0</v>
      </c>
      <c r="F17" s="40" t="n">
        <f aca="false">D17+C17-E17</f>
        <v>10118.3611111111</v>
      </c>
      <c r="G17" s="41" t="n">
        <f aca="false">INDEX(QH_Z,MATCH(F17,INDEX(QH_f,0,$F$4),1))+(F17-INDEX(QH_f,MATCH(F17,INDEX(QH_f,0,$F$4),1),$F$4))*(INDEX(QH_Z,MATCH(F17,INDEX(QH_f,0,$F$4),1)+1)-INDEX(QH_Z,MATCH(F17,INDEX(QH_f,0,$F$4),1)))/(INDEX(QH_f,MATCH(F17,INDEX(QH_f,0,$F$4),1)+1,$F$4)-INDEX(QH_f,MATCH(F17,INDEX(QH_f,0,$F$4),1),$F$4))</f>
        <v>74.7022955352872</v>
      </c>
      <c r="H17" s="42" t="n">
        <f aca="false">TC_s*(1-0.2*(TC_xmb+(TC_n-1)*TC_xmt)*MAX(G17-TC_Z,0)/(TC_n*TC_b))*TC_m*TC_n*TC_b*SQRT(2*g_)*MAX(G17-TC_Z,0)^1.5</f>
        <v>0.00473480427948357</v>
      </c>
      <c r="I17" s="43" t="n">
        <f aca="false">IF($F$4=2,0,SC_s*(1-0.2*(SC_xmb+(SC_n-1)*SC_xmt)*MAX(G17-SC_Z,0)/(SC_n*SC_b))*SC_m*SC_n*SC_b*SQRT(2*g_)*MAX(G17-SC_Z,0)^1.5)</f>
        <v>0</v>
      </c>
      <c r="J17" s="40" t="n">
        <f aca="false">H17+I17</f>
        <v>0.00473480427948357</v>
      </c>
      <c r="K17" s="23" t="n">
        <f aca="false">INDEX(QH_V,MATCH(G17,QH_Z,1))+(G17-INDEX(QH_Z,MATCH(G17,QH_Z,1)))*(INDEX(QH_V,MATCH(G17,QH_Z,1)+1)-INDEX(QH_V,MATCH(G17,QH_Z,1)))/(INDEX(QH_Z,MATCH(G17,QH_Z,1)+1)-INDEX(QH_Z,MATCH(G17,QH_Z,1)))</f>
        <v>36.4260822172348</v>
      </c>
      <c r="L17" s="40" t="n">
        <f aca="false">K17*1000000/dt_s+J17/2</f>
        <v>10118.3585388562</v>
      </c>
    </row>
    <row r="18" customFormat="false" ht="15" hidden="false" customHeight="false" outlineLevel="0" collapsed="false">
      <c r="A18" s="14" t="n">
        <v>2</v>
      </c>
      <c r="B18" s="40" t="n">
        <f aca="false">IFERROR(INDEX(Lu_Q,MATCH(A18,Lu_t,0),$C$4),0)</f>
        <v>84</v>
      </c>
      <c r="C18" s="40" t="n">
        <f aca="false">(B17+B18)/2</f>
        <v>44</v>
      </c>
      <c r="D18" s="40" t="n">
        <f aca="false">L17</f>
        <v>10118.3585388562</v>
      </c>
      <c r="E18" s="40" t="n">
        <f aca="false">J17</f>
        <v>0.00473480427948357</v>
      </c>
      <c r="F18" s="40" t="n">
        <f aca="false">D18+C18-E18</f>
        <v>10162.353804052</v>
      </c>
      <c r="G18" s="41" t="n">
        <f aca="false">INDEX(QH_Z,MATCH(F18,INDEX(QH_f,0,$F$4),1))+(F18-INDEX(QH_f,MATCH(F18,INDEX(QH_f,0,$F$4),1),$F$4))*(INDEX(QH_Z,MATCH(F18,INDEX(QH_f,0,$F$4),1)+1)-INDEX(QH_Z,MATCH(F18,INDEX(QH_f,0,$F$4),1)))/(INDEX(QH_f,MATCH(F18,INDEX(QH_f,0,$F$4),1)+1,$F$4)-INDEX(QH_f,MATCH(F18,INDEX(QH_f,0,$F$4),1),$F$4))</f>
        <v>74.727493096969</v>
      </c>
      <c r="H18" s="42" t="n">
        <f aca="false">TC_s*(1-0.2*(TC_xmb+(TC_n-1)*TC_xmt)*MAX(G18-TC_Z,0)/(TC_n*TC_b))*TC_m*TC_n*TC_b*SQRT(2*g_)*MAX(G18-TC_Z,0)^1.5</f>
        <v>0.196053955540898</v>
      </c>
      <c r="I18" s="43" t="n">
        <f aca="false">IF($F$4=2,0,SC_s*(1-0.2*(SC_xmb+(SC_n-1)*SC_xmt)*MAX(G18-SC_Z,0)/(SC_n*SC_b))*SC_m*SC_n*SC_b*SQRT(2*g_)*MAX(G18-SC_Z,0)^1.5)</f>
        <v>0</v>
      </c>
      <c r="J18" s="40" t="n">
        <f aca="false">H18+I18</f>
        <v>0.196053955540898</v>
      </c>
      <c r="K18" s="23" t="n">
        <f aca="false">INDEX(QH_V,MATCH(G18,QH_Z,1))+(G18-INDEX(QH_Z,MATCH(G18,QH_Z,1)))*(INDEX(QH_V,MATCH(G18,QH_Z,1)+1)-INDEX(QH_V,MATCH(G18,QH_Z,1)))/(INDEX(QH_Z,MATCH(G18,QH_Z,1)+1)-INDEX(QH_Z,MATCH(G18,QH_Z,1)))</f>
        <v>36.5841174093201</v>
      </c>
      <c r="L18" s="40" t="n">
        <f aca="false">K18*1000000/dt_s+J18/2</f>
        <v>10162.3528629</v>
      </c>
    </row>
    <row r="19" customFormat="false" ht="15" hidden="false" customHeight="false" outlineLevel="0" collapsed="false">
      <c r="A19" s="14" t="n">
        <v>3</v>
      </c>
      <c r="B19" s="40" t="n">
        <f aca="false">IFERROR(INDEX(Lu_Q,MATCH(A19,Lu_t,0),$C$4),0)</f>
        <v>324</v>
      </c>
      <c r="C19" s="40" t="n">
        <f aca="false">(B18+B19)/2</f>
        <v>204</v>
      </c>
      <c r="D19" s="40" t="n">
        <f aca="false">L18</f>
        <v>10162.3528629</v>
      </c>
      <c r="E19" s="40" t="n">
        <f aca="false">J18</f>
        <v>0.196053955540898</v>
      </c>
      <c r="F19" s="40" t="n">
        <f aca="false">D19+C19-E19</f>
        <v>10366.1568089445</v>
      </c>
      <c r="G19" s="41" t="n">
        <f aca="false">INDEX(QH_Z,MATCH(F19,INDEX(QH_f,0,$F$4),1))+(F19-INDEX(QH_f,MATCH(F19,INDEX(QH_f,0,$F$4),1),$F$4))*(INDEX(QH_Z,MATCH(F19,INDEX(QH_f,0,$F$4),1)+1)-INDEX(QH_Z,MATCH(F19,INDEX(QH_f,0,$F$4),1)))/(INDEX(QH_f,MATCH(F19,INDEX(QH_f,0,$F$4),1)+1,$F$4)-INDEX(QH_f,MATCH(F19,INDEX(QH_f,0,$F$4),1),$F$4))</f>
        <v>74.8430117091295</v>
      </c>
      <c r="H19" s="42" t="n">
        <f aca="false">TC_s*(1-0.2*(TC_xmb+(TC_n-1)*TC_xmt)*MAX(G19-TC_Z,0)/(TC_n*TC_b))*TC_m*TC_n*TC_b*SQRT(2*g_)*MAX(G19-TC_Z,0)^1.5</f>
        <v>2.31522513470054</v>
      </c>
      <c r="I19" s="43" t="n">
        <f aca="false">IF($F$4=2,0,SC_s*(1-0.2*(SC_xmb+(SC_n-1)*SC_xmt)*MAX(G19-SC_Z,0)/(SC_n*SC_b))*SC_m*SC_n*SC_b*SQRT(2*g_)*MAX(G19-SC_Z,0)^1.5)</f>
        <v>0</v>
      </c>
      <c r="J19" s="40" t="n">
        <f aca="false">H19+I19</f>
        <v>2.31522513470054</v>
      </c>
      <c r="K19" s="23" t="n">
        <f aca="false">INDEX(QH_V,MATCH(G19,QH_Z,1))+(G19-INDEX(QH_Z,MATCH(G19,QH_Z,1)))*(INDEX(QH_V,MATCH(G19,QH_Z,1)+1)-INDEX(QH_V,MATCH(G19,QH_Z,1)))/(INDEX(QH_Z,MATCH(G19,QH_Z,1)+1)-INDEX(QH_Z,MATCH(G19,QH_Z,1)))</f>
        <v>37.3139955431328</v>
      </c>
      <c r="L19" s="40" t="n">
        <f aca="false">K19*1000000/dt_s+J19/2</f>
        <v>10366.1563745487</v>
      </c>
    </row>
    <row r="20" customFormat="false" ht="15" hidden="false" customHeight="false" outlineLevel="0" collapsed="false">
      <c r="A20" s="14" t="n">
        <v>4</v>
      </c>
      <c r="B20" s="40" t="n">
        <f aca="false">IFERROR(INDEX(Lu_Q,MATCH(A20,Lu_t,0),$C$4),0)</f>
        <v>652</v>
      </c>
      <c r="C20" s="40" t="n">
        <f aca="false">(B19+B20)/2</f>
        <v>488</v>
      </c>
      <c r="D20" s="40" t="n">
        <f aca="false">L19</f>
        <v>10366.1563745487</v>
      </c>
      <c r="E20" s="40" t="n">
        <f aca="false">J19</f>
        <v>2.31522513470054</v>
      </c>
      <c r="F20" s="40" t="n">
        <f aca="false">D20+C20-E20</f>
        <v>10851.841149414</v>
      </c>
      <c r="G20" s="41" t="n">
        <f aca="false">INDEX(QH_Z,MATCH(F20,INDEX(QH_f,0,$F$4),1))+(F20-INDEX(QH_f,MATCH(F20,INDEX(QH_f,0,$F$4),1),$F$4))*(INDEX(QH_Z,MATCH(F20,INDEX(QH_f,0,$F$4),1)+1)-INDEX(QH_Z,MATCH(F20,INDEX(QH_f,0,$F$4),1)))/(INDEX(QH_f,MATCH(F20,INDEX(QH_f,0,$F$4),1)+1,$F$4)-INDEX(QH_f,MATCH(F20,INDEX(QH_f,0,$F$4),1),$F$4))</f>
        <v>75.112028269559</v>
      </c>
      <c r="H20" s="42" t="n">
        <f aca="false">TC_s*(1-0.2*(TC_xmb+(TC_n-1)*TC_xmt)*MAX(G20-TC_Z,0)/(TC_n*TC_b))*TC_m*TC_n*TC_b*SQRT(2*g_)*MAX(G20-TC_Z,0)^1.5</f>
        <v>11.2001199973145</v>
      </c>
      <c r="I20" s="43" t="n">
        <f aca="false">IF($F$4=2,0,SC_s*(1-0.2*(SC_xmb+(SC_n-1)*SC_xmt)*MAX(G20-SC_Z,0)/(SC_n*SC_b))*SC_m*SC_n*SC_b*SQRT(2*g_)*MAX(G20-SC_Z,0)^1.5)</f>
        <v>0</v>
      </c>
      <c r="J20" s="40" t="n">
        <f aca="false">H20+I20</f>
        <v>11.2001199973145</v>
      </c>
      <c r="K20" s="23" t="n">
        <f aca="false">INDEX(QH_V,MATCH(G20,QH_Z,1))+(G20-INDEX(QH_Z,MATCH(G20,QH_Z,1)))*(INDEX(QH_V,MATCH(G20,QH_Z,1)+1)-INDEX(QH_V,MATCH(G20,QH_Z,1)))/(INDEX(QH_Z,MATCH(G20,QH_Z,1)+1)-INDEX(QH_Z,MATCH(G20,QH_Z,1)))</f>
        <v>39.046467251791</v>
      </c>
      <c r="L20" s="40" t="n">
        <f aca="false">K20*1000000/dt_s+J20/2</f>
        <v>10851.8409632739</v>
      </c>
    </row>
    <row r="21" customFormat="false" ht="15" hidden="false" customHeight="false" outlineLevel="0" collapsed="false">
      <c r="A21" s="14" t="n">
        <v>5</v>
      </c>
      <c r="B21" s="40" t="n">
        <f aca="false">IFERROR(INDEX(Lu_Q,MATCH(A21,Lu_t,0),$C$4),0)</f>
        <v>950</v>
      </c>
      <c r="C21" s="40" t="n">
        <f aca="false">(B20+B21)/2</f>
        <v>801</v>
      </c>
      <c r="D21" s="40" t="n">
        <f aca="false">L20</f>
        <v>10851.8409632739</v>
      </c>
      <c r="E21" s="40" t="n">
        <f aca="false">J20</f>
        <v>11.2001199973145</v>
      </c>
      <c r="F21" s="40" t="n">
        <f aca="false">D21+C21-E21</f>
        <v>11641.6408432766</v>
      </c>
      <c r="G21" s="41" t="n">
        <f aca="false">INDEX(QH_Z,MATCH(F21,INDEX(QH_f,0,$F$4),1))+(F21-INDEX(QH_f,MATCH(F21,INDEX(QH_f,0,$F$4),1),$F$4))*(INDEX(QH_Z,MATCH(F21,INDEX(QH_f,0,$F$4),1)+1)-INDEX(QH_Z,MATCH(F21,INDEX(QH_f,0,$F$4),1)))/(INDEX(QH_f,MATCH(F21,INDEX(QH_f,0,$F$4),1)+1,$F$4)-INDEX(QH_f,MATCH(F21,INDEX(QH_f,0,$F$4),1),$F$4))</f>
        <v>75.5370109429266</v>
      </c>
      <c r="H21" s="42" t="n">
        <f aca="false">TC_s*(1-0.2*(TC_xmb+(TC_n-1)*TC_xmt)*MAX(G21-TC_Z,0)/(TC_n*TC_b))*TC_m*TC_n*TC_b*SQRT(2*g_)*MAX(G21-TC_Z,0)^1.5</f>
        <v>31.8707850790063</v>
      </c>
      <c r="I21" s="43" t="n">
        <f aca="false">IF($F$4=2,0,SC_s*(1-0.2*(SC_xmb+(SC_n-1)*SC_xmt)*MAX(G21-SC_Z,0)/(SC_n*SC_b))*SC_m*SC_n*SC_b*SQRT(2*g_)*MAX(G21-SC_Z,0)^1.5)</f>
        <v>0</v>
      </c>
      <c r="J21" s="40" t="n">
        <f aca="false">H21+I21</f>
        <v>31.8707850790063</v>
      </c>
      <c r="K21" s="23" t="n">
        <f aca="false">INDEX(QH_V,MATCH(G21,QH_Z,1))+(G21-INDEX(QH_Z,MATCH(G21,QH_Z,1)))*(INDEX(QH_V,MATCH(G21,QH_Z,1)+1)-INDEX(QH_V,MATCH(G21,QH_Z,1)))/(INDEX(QH_Z,MATCH(G21,QH_Z,1)+1)-INDEX(QH_Z,MATCH(G21,QH_Z,1)))</f>
        <v>41.8525390672709</v>
      </c>
      <c r="L21" s="40" t="n">
        <f aca="false">K21*1000000/dt_s+J21/2</f>
        <v>11641.6406890037</v>
      </c>
    </row>
    <row r="22" customFormat="false" ht="15" hidden="false" customHeight="false" outlineLevel="0" collapsed="false">
      <c r="A22" s="14" t="n">
        <v>6</v>
      </c>
      <c r="B22" s="40" t="n">
        <f aca="false">IFERROR(INDEX(Lu_Q,MATCH(A22,Lu_t,0),$C$4),0)</f>
        <v>1150</v>
      </c>
      <c r="C22" s="40" t="n">
        <f aca="false">(B21+B22)/2</f>
        <v>1050</v>
      </c>
      <c r="D22" s="40" t="n">
        <f aca="false">L21</f>
        <v>11641.6406890037</v>
      </c>
      <c r="E22" s="40" t="n">
        <f aca="false">J21</f>
        <v>31.8707850790063</v>
      </c>
      <c r="F22" s="40" t="n">
        <f aca="false">D22+C22-E22</f>
        <v>12659.7699039246</v>
      </c>
      <c r="G22" s="41" t="n">
        <f aca="false">INDEX(QH_Z,MATCH(F22,INDEX(QH_f,0,$F$4),1))+(F22-INDEX(QH_f,MATCH(F22,INDEX(QH_f,0,$F$4),1),$F$4))*(INDEX(QH_Z,MATCH(F22,INDEX(QH_f,0,$F$4),1)+1)-INDEX(QH_Z,MATCH(F22,INDEX(QH_f,0,$F$4),1)))/(INDEX(QH_f,MATCH(F22,INDEX(QH_f,0,$F$4),1)+1,$F$4)-INDEX(QH_f,MATCH(F22,INDEX(QH_f,0,$F$4),1),$F$4))</f>
        <v>76.0662378692069</v>
      </c>
      <c r="H22" s="42" t="n">
        <f aca="false">TC_s*(1-0.2*(TC_xmb+(TC_n-1)*TC_xmt)*MAX(G22-TC_Z,0)/(TC_n*TC_b))*TC_m*TC_n*TC_b*SQRT(2*g_)*MAX(G22-TC_Z,0)^1.5</f>
        <v>65.0151115795368</v>
      </c>
      <c r="I22" s="43" t="n">
        <f aca="false">IF($F$4=2,0,SC_s*(1-0.2*(SC_xmb+(SC_n-1)*SC_xmt)*MAX(G22-SC_Z,0)/(SC_n*SC_b))*SC_m*SC_n*SC_b*SQRT(2*g_)*MAX(G22-SC_Z,0)^1.5)</f>
        <v>0</v>
      </c>
      <c r="J22" s="40" t="n">
        <f aca="false">H22+I22</f>
        <v>65.0151115795368</v>
      </c>
      <c r="K22" s="23" t="n">
        <f aca="false">INDEX(QH_V,MATCH(G22,QH_Z,1))+(G22-INDEX(QH_Z,MATCH(G22,QH_Z,1)))*(INDEX(QH_V,MATCH(G22,QH_Z,1)+1)-INDEX(QH_V,MATCH(G22,QH_Z,1)))/(INDEX(QH_Z,MATCH(G22,QH_Z,1)+1)-INDEX(QH_Z,MATCH(G22,QH_Z,1)))</f>
        <v>45.4581440282767</v>
      </c>
      <c r="L22" s="40" t="n">
        <f aca="false">K22*1000000/dt_s+J22/2</f>
        <v>12659.7697858666</v>
      </c>
    </row>
    <row r="23" customFormat="false" ht="15" hidden="false" customHeight="false" outlineLevel="0" collapsed="false">
      <c r="A23" s="14" t="n">
        <v>7</v>
      </c>
      <c r="B23" s="40" t="n">
        <f aca="false">IFERROR(INDEX(Lu_Q,MATCH(A23,Lu_t,0),$C$4),0)</f>
        <v>1239</v>
      </c>
      <c r="C23" s="40" t="n">
        <f aca="false">(B22+B23)/2</f>
        <v>1194.5</v>
      </c>
      <c r="D23" s="40" t="n">
        <f aca="false">L22</f>
        <v>12659.7697858666</v>
      </c>
      <c r="E23" s="40" t="n">
        <f aca="false">J22</f>
        <v>65.0151115795368</v>
      </c>
      <c r="F23" s="40" t="n">
        <f aca="false">D23+C23-E23</f>
        <v>13789.2546742871</v>
      </c>
      <c r="G23" s="41" t="n">
        <f aca="false">INDEX(QH_Z,MATCH(F23,INDEX(QH_f,0,$F$4),1))+(F23-INDEX(QH_f,MATCH(F23,INDEX(QH_f,0,$F$4),1),$F$4))*(INDEX(QH_Z,MATCH(F23,INDEX(QH_f,0,$F$4),1)+1)-INDEX(QH_Z,MATCH(F23,INDEX(QH_f,0,$F$4),1)))/(INDEX(QH_f,MATCH(F23,INDEX(QH_f,0,$F$4),1)+1,$F$4)-INDEX(QH_f,MATCH(F23,INDEX(QH_f,0,$F$4),1),$F$4))</f>
        <v>76.6304442694054</v>
      </c>
      <c r="H23" s="42" t="n">
        <f aca="false">TC_s*(1-0.2*(TC_xmb+(TC_n-1)*TC_xmt)*MAX(G23-TC_Z,0)/(TC_n*TC_b))*TC_m*TC_n*TC_b*SQRT(2*g_)*MAX(G23-TC_Z,0)^1.5</f>
        <v>106.602921346577</v>
      </c>
      <c r="I23" s="43" t="n">
        <f aca="false">IF($F$4=2,0,SC_s*(1-0.2*(SC_xmb+(SC_n-1)*SC_xmt)*MAX(G23-SC_Z,0)/(SC_n*SC_b))*SC_m*SC_n*SC_b*SQRT(2*g_)*MAX(G23-SC_Z,0)^1.5)</f>
        <v>0</v>
      </c>
      <c r="J23" s="40" t="n">
        <f aca="false">H23+I23</f>
        <v>106.602921346577</v>
      </c>
      <c r="K23" s="23" t="n">
        <f aca="false">INDEX(QH_V,MATCH(G23,QH_Z,1))+(G23-INDEX(QH_Z,MATCH(G23,QH_Z,1)))*(INDEX(QH_V,MATCH(G23,QH_Z,1)+1)-INDEX(QH_V,MATCH(G23,QH_Z,1)))/(INDEX(QH_Z,MATCH(G23,QH_Z,1)+1)-INDEX(QH_Z,MATCH(G23,QH_Z,1)))</f>
        <v>49.4494315144337</v>
      </c>
      <c r="L23" s="40" t="n">
        <f aca="false">K23*1000000/dt_s+J23/2</f>
        <v>13789.2546591271</v>
      </c>
    </row>
    <row r="24" customFormat="false" ht="15" hidden="false" customHeight="false" outlineLevel="0" collapsed="false">
      <c r="A24" s="14" t="n">
        <v>8</v>
      </c>
      <c r="B24" s="40" t="n">
        <f aca="false">IFERROR(INDEX(Lu_Q,MATCH(A24,Lu_t,0),$C$4),0)</f>
        <v>1236</v>
      </c>
      <c r="C24" s="40" t="n">
        <f aca="false">(B23+B24)/2</f>
        <v>1237.5</v>
      </c>
      <c r="D24" s="40" t="n">
        <f aca="false">L23</f>
        <v>13789.2546591271</v>
      </c>
      <c r="E24" s="40" t="n">
        <f aca="false">J23</f>
        <v>106.602921346577</v>
      </c>
      <c r="F24" s="40" t="n">
        <f aca="false">D24+C24-E24</f>
        <v>14920.1517377805</v>
      </c>
      <c r="G24" s="41" t="n">
        <f aca="false">INDEX(QH_Z,MATCH(F24,INDEX(QH_f,0,$F$4),1))+(F24-INDEX(QH_f,MATCH(F24,INDEX(QH_f,0,$F$4),1),$F$4))*(INDEX(QH_Z,MATCH(F24,INDEX(QH_f,0,$F$4),1)+1)-INDEX(QH_Z,MATCH(F24,INDEX(QH_f,0,$F$4),1)))/(INDEX(QH_f,MATCH(F24,INDEX(QH_f,0,$F$4),1)+1,$F$4)-INDEX(QH_f,MATCH(F24,INDEX(QH_f,0,$F$4),1),$F$4))</f>
        <v>77.1733921739583</v>
      </c>
      <c r="H24" s="42" t="n">
        <f aca="false">TC_s*(1-0.2*(TC_xmb+(TC_n-1)*TC_xmt)*MAX(G24-TC_Z,0)/(TC_n*TC_b))*TC_m*TC_n*TC_b*SQRT(2*g_)*MAX(G24-TC_Z,0)^1.5</f>
        <v>150.984281707647</v>
      </c>
      <c r="I24" s="43" t="n">
        <f aca="false">IF($F$4=2,0,SC_s*(1-0.2*(SC_xmb+(SC_n-1)*SC_xmt)*MAX(G24-SC_Z,0)/(SC_n*SC_b))*SC_m*SC_n*SC_b*SQRT(2*g_)*MAX(G24-SC_Z,0)^1.5)</f>
        <v>0</v>
      </c>
      <c r="J24" s="40" t="n">
        <f aca="false">H24+I24</f>
        <v>150.984281707647</v>
      </c>
      <c r="K24" s="23" t="n">
        <f aca="false">INDEX(QH_V,MATCH(G24,QH_Z,1))+(G24-INDEX(QH_Z,MATCH(G24,QH_Z,1)))*(INDEX(QH_V,MATCH(G24,QH_Z,1)+1)-INDEX(QH_V,MATCH(G24,QH_Z,1)))/(INDEX(QH_Z,MATCH(G24,QH_Z,1)+1)-INDEX(QH_Z,MATCH(G24,QH_Z,1)))</f>
        <v>53.4407743388172</v>
      </c>
      <c r="L24" s="40" t="n">
        <f aca="false">K24*1000000/dt_s+J24/2</f>
        <v>14920.1516794142</v>
      </c>
    </row>
    <row r="25" customFormat="false" ht="15" hidden="false" customHeight="false" outlineLevel="0" collapsed="false">
      <c r="A25" s="14" t="n">
        <v>9</v>
      </c>
      <c r="B25" s="40" t="n">
        <f aca="false">IFERROR(INDEX(Lu_Q,MATCH(A25,Lu_t,0),$C$4),0)</f>
        <v>1168</v>
      </c>
      <c r="C25" s="40" t="n">
        <f aca="false">(B24+B25)/2</f>
        <v>1202</v>
      </c>
      <c r="D25" s="40" t="n">
        <f aca="false">L24</f>
        <v>14920.1516794142</v>
      </c>
      <c r="E25" s="40" t="n">
        <f aca="false">J24</f>
        <v>150.984281707647</v>
      </c>
      <c r="F25" s="40" t="n">
        <f aca="false">D25+C25-E25</f>
        <v>15971.1673977065</v>
      </c>
      <c r="G25" s="41" t="n">
        <f aca="false">INDEX(QH_Z,MATCH(F25,INDEX(QH_f,0,$F$4),1))+(F25-INDEX(QH_f,MATCH(F25,INDEX(QH_f,0,$F$4),1),$F$4))*(INDEX(QH_Z,MATCH(F25,INDEX(QH_f,0,$F$4),1)+1)-INDEX(QH_Z,MATCH(F25,INDEX(QH_f,0,$F$4),1)))/(INDEX(QH_f,MATCH(F25,INDEX(QH_f,0,$F$4),1)+1,$F$4)-INDEX(QH_f,MATCH(F25,INDEX(QH_f,0,$F$4),1),$F$4))</f>
        <v>77.6603764408665</v>
      </c>
      <c r="H25" s="42" t="n">
        <f aca="false">TC_s*(1-0.2*(TC_xmb+(TC_n-1)*TC_xmt)*MAX(G25-TC_Z,0)/(TC_n*TC_b))*TC_m*TC_n*TC_b*SQRT(2*g_)*MAX(G25-TC_Z,0)^1.5</f>
        <v>193.450707962967</v>
      </c>
      <c r="I25" s="43" t="n">
        <f aca="false">IF($F$4=2,0,SC_s*(1-0.2*(SC_xmb+(SC_n-1)*SC_xmt)*MAX(G25-SC_Z,0)/(SC_n*SC_b))*SC_m*SC_n*SC_b*SQRT(2*g_)*MAX(G25-SC_Z,0)^1.5)</f>
        <v>0</v>
      </c>
      <c r="J25" s="40" t="n">
        <f aca="false">H25+I25</f>
        <v>193.450707962967</v>
      </c>
      <c r="K25" s="23" t="n">
        <f aca="false">INDEX(QH_V,MATCH(G25,QH_Z,1))+(G25-INDEX(QH_Z,MATCH(G25,QH_Z,1)))*(INDEX(QH_V,MATCH(G25,QH_Z,1)+1)-INDEX(QH_V,MATCH(G25,QH_Z,1)))/(INDEX(QH_Z,MATCH(G25,QH_Z,1)+1)-INDEX(QH_Z,MATCH(G25,QH_Z,1)))</f>
        <v>57.1479913323322</v>
      </c>
      <c r="L25" s="40" t="n">
        <f aca="false">K25*1000000/dt_s+J25/2</f>
        <v>15971.1673907404</v>
      </c>
    </row>
    <row r="26" customFormat="false" ht="15" hidden="false" customHeight="false" outlineLevel="0" collapsed="false">
      <c r="A26" s="14" t="n">
        <v>10</v>
      </c>
      <c r="B26" s="40" t="n">
        <f aca="false">IFERROR(INDEX(Lu_Q,MATCH(A26,Lu_t,0),$C$4),0)</f>
        <v>1062</v>
      </c>
      <c r="C26" s="40" t="n">
        <f aca="false">(B25+B26)/2</f>
        <v>1115</v>
      </c>
      <c r="D26" s="40" t="n">
        <f aca="false">L25</f>
        <v>15971.1673907404</v>
      </c>
      <c r="E26" s="40" t="n">
        <f aca="false">J25</f>
        <v>193.450707962967</v>
      </c>
      <c r="F26" s="40" t="n">
        <f aca="false">D26+C26-E26</f>
        <v>16892.7166827775</v>
      </c>
      <c r="G26" s="41" t="n">
        <f aca="false">INDEX(QH_Z,MATCH(F26,INDEX(QH_f,0,$F$4),1))+(F26-INDEX(QH_f,MATCH(F26,INDEX(QH_f,0,$F$4),1),$F$4))*(INDEX(QH_Z,MATCH(F26,INDEX(QH_f,0,$F$4),1)+1)-INDEX(QH_Z,MATCH(F26,INDEX(QH_f,0,$F$4),1)))/(INDEX(QH_f,MATCH(F26,INDEX(QH_f,0,$F$4),1)+1,$F$4)-INDEX(QH_f,MATCH(F26,INDEX(QH_f,0,$F$4),1),$F$4))</f>
        <v>78.0747686681965</v>
      </c>
      <c r="H26" s="42" t="n">
        <f aca="false">TC_s*(1-0.2*(TC_xmb+(TC_n-1)*TC_xmt)*MAX(G26-TC_Z,0)/(TC_n*TC_b))*TC_m*TC_n*TC_b*SQRT(2*g_)*MAX(G26-TC_Z,0)^1.5</f>
        <v>231.05543611617</v>
      </c>
      <c r="I26" s="43" t="n">
        <f aca="false">IF($F$4=2,0,SC_s*(1-0.2*(SC_xmb+(SC_n-1)*SC_xmt)*MAX(G26-SC_Z,0)/(SC_n*SC_b))*SC_m*SC_n*SC_b*SQRT(2*g_)*MAX(G26-SC_Z,0)^1.5)</f>
        <v>0</v>
      </c>
      <c r="J26" s="40" t="n">
        <f aca="false">H26+I26</f>
        <v>231.05543611617</v>
      </c>
      <c r="K26" s="23" t="n">
        <f aca="false">INDEX(QH_V,MATCH(G26,QH_Z,1))+(G26-INDEX(QH_Z,MATCH(G26,QH_Z,1)))*(INDEX(QH_V,MATCH(G26,QH_Z,1)+1)-INDEX(QH_V,MATCH(G26,QH_Z,1)))/(INDEX(QH_Z,MATCH(G26,QH_Z,1)+1)-INDEX(QH_Z,MATCH(G26,QH_Z,1)))</f>
        <v>60.3978801434936</v>
      </c>
      <c r="L26" s="40" t="n">
        <f aca="false">K26*1000000/dt_s+J26/2</f>
        <v>16892.7166468063</v>
      </c>
    </row>
    <row r="27" customFormat="false" ht="15" hidden="false" customHeight="false" outlineLevel="0" collapsed="false">
      <c r="A27" s="14" t="n">
        <v>11</v>
      </c>
      <c r="B27" s="40" t="n">
        <f aca="false">IFERROR(INDEX(Lu_Q,MATCH(A27,Lu_t,0),$C$4),0)</f>
        <v>937</v>
      </c>
      <c r="C27" s="40" t="n">
        <f aca="false">(B26+B27)/2</f>
        <v>999.5</v>
      </c>
      <c r="D27" s="40" t="n">
        <f aca="false">L26</f>
        <v>16892.7166468063</v>
      </c>
      <c r="E27" s="40" t="n">
        <f aca="false">J26</f>
        <v>231.05543611617</v>
      </c>
      <c r="F27" s="40" t="n">
        <f aca="false">D27+C27-E27</f>
        <v>17661.1612106901</v>
      </c>
      <c r="G27" s="41" t="n">
        <f aca="false">INDEX(QH_Z,MATCH(F27,INDEX(QH_f,0,$F$4),1))+(F27-INDEX(QH_f,MATCH(F27,INDEX(QH_f,0,$F$4),1),$F$4))*(INDEX(QH_Z,MATCH(F27,INDEX(QH_f,0,$F$4),1)+1)-INDEX(QH_Z,MATCH(F27,INDEX(QH_f,0,$F$4),1)))/(INDEX(QH_f,MATCH(F27,INDEX(QH_f,0,$F$4),1)+1,$F$4)-INDEX(QH_f,MATCH(F27,INDEX(QH_f,0,$F$4),1),$F$4))</f>
        <v>78.4119750077644</v>
      </c>
      <c r="H27" s="42" t="n">
        <f aca="false">TC_s*(1-0.2*(TC_xmb+(TC_n-1)*TC_xmt)*MAX(G27-TC_Z,0)/(TC_n*TC_b))*TC_m*TC_n*TC_b*SQRT(2*g_)*MAX(G27-TC_Z,0)^1.5</f>
        <v>262.403210054031</v>
      </c>
      <c r="I27" s="43" t="n">
        <f aca="false">IF($F$4=2,0,SC_s*(1-0.2*(SC_xmb+(SC_n-1)*SC_xmt)*MAX(G27-SC_Z,0)/(SC_n*SC_b))*SC_m*SC_n*SC_b*SQRT(2*g_)*MAX(G27-SC_Z,0)^1.5)</f>
        <v>0</v>
      </c>
      <c r="J27" s="40" t="n">
        <f aca="false">H27+I27</f>
        <v>262.403210054031</v>
      </c>
      <c r="K27" s="23" t="n">
        <f aca="false">INDEX(QH_V,MATCH(G27,QH_Z,1))+(G27-INDEX(QH_Z,MATCH(G27,QH_Z,1)))*(INDEX(QH_V,MATCH(G27,QH_Z,1)+1)-INDEX(QH_V,MATCH(G27,QH_Z,1)))/(INDEX(QH_Z,MATCH(G27,QH_Z,1)+1)-INDEX(QH_Z,MATCH(G27,QH_Z,1)))</f>
        <v>63.1078545180921</v>
      </c>
      <c r="L27" s="40" t="n">
        <f aca="false">K27*1000000/dt_s+J27/2</f>
        <v>17661.1611933859</v>
      </c>
    </row>
    <row r="28" customFormat="false" ht="15" hidden="false" customHeight="false" outlineLevel="0" collapsed="false">
      <c r="A28" s="14" t="n">
        <v>12</v>
      </c>
      <c r="B28" s="40" t="n">
        <f aca="false">IFERROR(INDEX(Lu_Q,MATCH(A28,Lu_t,0),$C$4),0)</f>
        <v>808</v>
      </c>
      <c r="C28" s="40" t="n">
        <f aca="false">(B27+B28)/2</f>
        <v>872.5</v>
      </c>
      <c r="D28" s="40" t="n">
        <f aca="false">L27</f>
        <v>17661.1611933859</v>
      </c>
      <c r="E28" s="40" t="n">
        <f aca="false">J27</f>
        <v>262.403210054031</v>
      </c>
      <c r="F28" s="40" t="n">
        <f aca="false">D28+C28-E28</f>
        <v>18271.2579833319</v>
      </c>
      <c r="G28" s="41" t="n">
        <f aca="false">INDEX(QH_Z,MATCH(F28,INDEX(QH_f,0,$F$4),1))+(F28-INDEX(QH_f,MATCH(F28,INDEX(QH_f,0,$F$4),1),$F$4))*(INDEX(QH_Z,MATCH(F28,INDEX(QH_f,0,$F$4),1)+1)-INDEX(QH_Z,MATCH(F28,INDEX(QH_f,0,$F$4),1)))/(INDEX(QH_f,MATCH(F28,INDEX(QH_f,0,$F$4),1)+1,$F$4)-INDEX(QH_f,MATCH(F28,INDEX(QH_f,0,$F$4),1),$F$4))</f>
        <v>78.6746245331413</v>
      </c>
      <c r="H28" s="42" t="n">
        <f aca="false">TC_s*(1-0.2*(TC_xmb+(TC_n-1)*TC_xmt)*MAX(G28-TC_Z,0)/(TC_n*TC_b))*TC_m*TC_n*TC_b*SQRT(2*g_)*MAX(G28-TC_Z,0)^1.5</f>
        <v>287.172997826266</v>
      </c>
      <c r="I28" s="43" t="n">
        <f aca="false">IF($F$4=2,0,SC_s*(1-0.2*(SC_xmb+(SC_n-1)*SC_xmt)*MAX(G28-SC_Z,0)/(SC_n*SC_b))*SC_m*SC_n*SC_b*SQRT(2*g_)*MAX(G28-SC_Z,0)^1.5)</f>
        <v>0</v>
      </c>
      <c r="J28" s="40" t="n">
        <f aca="false">H28+I28</f>
        <v>287.172997826266</v>
      </c>
      <c r="K28" s="23" t="n">
        <f aca="false">INDEX(QH_V,MATCH(G28,QH_Z,1))+(G28-INDEX(QH_Z,MATCH(G28,QH_Z,1)))*(INDEX(QH_V,MATCH(G28,QH_Z,1)+1)-INDEX(QH_V,MATCH(G28,QH_Z,1)))/(INDEX(QH_Z,MATCH(G28,QH_Z,1)+1)-INDEX(QH_Z,MATCH(G28,QH_Z,1)))</f>
        <v>65.2596172682806</v>
      </c>
      <c r="L28" s="40" t="n">
        <f aca="false">K28*1000000/dt_s+J28/2</f>
        <v>18271.2579623244</v>
      </c>
    </row>
    <row r="29" customFormat="false" ht="15" hidden="false" customHeight="false" outlineLevel="0" collapsed="false">
      <c r="A29" s="14" t="n">
        <v>13</v>
      </c>
      <c r="B29" s="40" t="n">
        <f aca="false">IFERROR(INDEX(Lu_Q,MATCH(A29,Lu_t,0),$C$4),0)</f>
        <v>685</v>
      </c>
      <c r="C29" s="40" t="n">
        <f aca="false">(B28+B29)/2</f>
        <v>746.5</v>
      </c>
      <c r="D29" s="40" t="n">
        <f aca="false">L28</f>
        <v>18271.2579623244</v>
      </c>
      <c r="E29" s="40" t="n">
        <f aca="false">J28</f>
        <v>287.172997826266</v>
      </c>
      <c r="F29" s="40" t="n">
        <f aca="false">D29+C29-E29</f>
        <v>18730.5849644981</v>
      </c>
      <c r="G29" s="41" t="n">
        <f aca="false">INDEX(QH_Z,MATCH(F29,INDEX(QH_f,0,$F$4),1))+(F29-INDEX(QH_f,MATCH(F29,INDEX(QH_f,0,$F$4),1),$F$4))*(INDEX(QH_Z,MATCH(F29,INDEX(QH_f,0,$F$4),1)+1)-INDEX(QH_Z,MATCH(F29,INDEX(QH_f,0,$F$4),1)))/(INDEX(QH_f,MATCH(F29,INDEX(QH_f,0,$F$4),1)+1,$F$4)-INDEX(QH_f,MATCH(F29,INDEX(QH_f,0,$F$4),1),$F$4))</f>
        <v>78.8695611044896</v>
      </c>
      <c r="H29" s="42" t="n">
        <f aca="false">TC_s*(1-0.2*(TC_xmb+(TC_n-1)*TC_xmt)*MAX(G29-TC_Z,0)/(TC_n*TC_b))*TC_m*TC_n*TC_b*SQRT(2*g_)*MAX(G29-TC_Z,0)^1.5</f>
        <v>305.711633717645</v>
      </c>
      <c r="I29" s="43" t="n">
        <f aca="false">IF($F$4=2,0,SC_s*(1-0.2*(SC_xmb+(SC_n-1)*SC_xmt)*MAX(G29-SC_Z,0)/(SC_n*SC_b))*SC_m*SC_n*SC_b*SQRT(2*g_)*MAX(G29-SC_Z,0)^1.5)</f>
        <v>0</v>
      </c>
      <c r="J29" s="40" t="n">
        <f aca="false">H29+I29</f>
        <v>305.711633717645</v>
      </c>
      <c r="K29" s="23" t="n">
        <f aca="false">INDEX(QH_V,MATCH(G29,QH_Z,1))+(G29-INDEX(QH_Z,MATCH(G29,QH_Z,1)))*(INDEX(QH_V,MATCH(G29,QH_Z,1)+1)-INDEX(QH_V,MATCH(G29,QH_Z,1)))/(INDEX(QH_Z,MATCH(G29,QH_Z,1)+1)-INDEX(QH_Z,MATCH(G29,QH_Z,1)))</f>
        <v>66.8798249213119</v>
      </c>
      <c r="L29" s="40" t="n">
        <f aca="false">K29*1000000/dt_s+J29/2</f>
        <v>18730.5849616677</v>
      </c>
    </row>
    <row r="30" customFormat="false" ht="15" hidden="false" customHeight="false" outlineLevel="0" collapsed="false">
      <c r="A30" s="14" t="n">
        <v>14</v>
      </c>
      <c r="B30" s="40" t="n">
        <f aca="false">IFERROR(INDEX(Lu_Q,MATCH(A30,Lu_t,0),$C$4),0)</f>
        <v>572</v>
      </c>
      <c r="C30" s="40" t="n">
        <f aca="false">(B29+B30)/2</f>
        <v>628.5</v>
      </c>
      <c r="D30" s="40" t="n">
        <f aca="false">L29</f>
        <v>18730.5849616677</v>
      </c>
      <c r="E30" s="40" t="n">
        <f aca="false">J29</f>
        <v>305.711633717645</v>
      </c>
      <c r="F30" s="40" t="n">
        <f aca="false">D30+C30-E30</f>
        <v>19053.37332795</v>
      </c>
      <c r="G30" s="41" t="n">
        <f aca="false">INDEX(QH_Z,MATCH(F30,INDEX(QH_f,0,$F$4),1))+(F30-INDEX(QH_f,MATCH(F30,INDEX(QH_f,0,$F$4),1),$F$4))*(INDEX(QH_Z,MATCH(F30,INDEX(QH_f,0,$F$4),1)+1)-INDEX(QH_Z,MATCH(F30,INDEX(QH_f,0,$F$4),1)))/(INDEX(QH_f,MATCH(F30,INDEX(QH_f,0,$F$4),1)+1,$F$4)-INDEX(QH_f,MATCH(F30,INDEX(QH_f,0,$F$4),1),$F$4))</f>
        <v>79.0051626533151</v>
      </c>
      <c r="H30" s="42" t="n">
        <f aca="false">TC_s*(1-0.2*(TC_xmb+(TC_n-1)*TC_xmt)*MAX(G30-TC_Z,0)/(TC_n*TC_b))*TC_m*TC_n*TC_b*SQRT(2*g_)*MAX(G30-TC_Z,0)^1.5</f>
        <v>318.669274375405</v>
      </c>
      <c r="I30" s="43" t="n">
        <f aca="false">IF($F$4=2,0,SC_s*(1-0.2*(SC_xmb+(SC_n-1)*SC_xmt)*MAX(G30-SC_Z,0)/(SC_n*SC_b))*SC_m*SC_n*SC_b*SQRT(2*g_)*MAX(G30-SC_Z,0)^1.5)</f>
        <v>0</v>
      </c>
      <c r="J30" s="40" t="n">
        <f aca="false">H30+I30</f>
        <v>318.669274375405</v>
      </c>
      <c r="K30" s="23" t="n">
        <f aca="false">INDEX(QH_V,MATCH(G30,QH_Z,1))+(G30-INDEX(QH_Z,MATCH(G30,QH_Z,1)))*(INDEX(QH_V,MATCH(G30,QH_Z,1)+1)-INDEX(QH_V,MATCH(G30,QH_Z,1)))/(INDEX(QH_Z,MATCH(G30,QH_Z,1)+1)-INDEX(QH_Z,MATCH(G30,QH_Z,1)))</f>
        <v>68.0185392367326</v>
      </c>
      <c r="L30" s="40" t="n">
        <f aca="false">K30*1000000/dt_s+J30/2</f>
        <v>19053.3733140579</v>
      </c>
    </row>
    <row r="31" customFormat="false" ht="15" hidden="false" customHeight="false" outlineLevel="0" collapsed="false">
      <c r="A31" s="14" t="n">
        <v>15</v>
      </c>
      <c r="B31" s="40" t="n">
        <f aca="false">IFERROR(INDEX(Lu_Q,MATCH(A31,Lu_t,0),$C$4),0)</f>
        <v>472</v>
      </c>
      <c r="C31" s="40" t="n">
        <f aca="false">(B30+B31)/2</f>
        <v>522</v>
      </c>
      <c r="D31" s="40" t="n">
        <f aca="false">L30</f>
        <v>19053.3733140579</v>
      </c>
      <c r="E31" s="40" t="n">
        <f aca="false">J30</f>
        <v>318.669274375405</v>
      </c>
      <c r="F31" s="40" t="n">
        <f aca="false">D31+C31-E31</f>
        <v>19256.7040396825</v>
      </c>
      <c r="G31" s="41" t="n">
        <f aca="false">INDEX(QH_Z,MATCH(F31,INDEX(QH_f,0,$F$4),1))+(F31-INDEX(QH_f,MATCH(F31,INDEX(QH_f,0,$F$4),1),$F$4))*(INDEX(QH_Z,MATCH(F31,INDEX(QH_f,0,$F$4),1)+1)-INDEX(QH_Z,MATCH(F31,INDEX(QH_f,0,$F$4),1)))/(INDEX(QH_f,MATCH(F31,INDEX(QH_f,0,$F$4),1)+1,$F$4)-INDEX(QH_f,MATCH(F31,INDEX(QH_f,0,$F$4),1),$F$4))</f>
        <v>79.0899266030344</v>
      </c>
      <c r="H31" s="42" t="n">
        <f aca="false">TC_s*(1-0.2*(TC_xmb+(TC_n-1)*TC_xmt)*MAX(G31-TC_Z,0)/(TC_n*TC_b))*TC_m*TC_n*TC_b*SQRT(2*g_)*MAX(G31-TC_Z,0)^1.5</f>
        <v>326.790358397496</v>
      </c>
      <c r="I31" s="43" t="n">
        <f aca="false">IF($F$4=2,0,SC_s*(1-0.2*(SC_xmb+(SC_n-1)*SC_xmt)*MAX(G31-SC_Z,0)/(SC_n*SC_b))*SC_m*SC_n*SC_b*SQRT(2*g_)*MAX(G31-SC_Z,0)^1.5)</f>
        <v>0</v>
      </c>
      <c r="J31" s="40" t="n">
        <f aca="false">H31+I31</f>
        <v>326.790358397496</v>
      </c>
      <c r="K31" s="23" t="n">
        <f aca="false">INDEX(QH_V,MATCH(G31,QH_Z,1))+(G31-INDEX(QH_Z,MATCH(G31,QH_Z,1)))*(INDEX(QH_V,MATCH(G31,QH_Z,1)+1)-INDEX(QH_V,MATCH(G31,QH_Z,1)))/(INDEX(QH_Z,MATCH(G31,QH_Z,1)+1)-INDEX(QH_Z,MATCH(G31,QH_Z,1)))</f>
        <v>68.7359118964602</v>
      </c>
      <c r="L31" s="40" t="n">
        <f aca="false">K31*1000000/dt_s+J31/2</f>
        <v>19256.7040393266</v>
      </c>
    </row>
    <row r="32" customFormat="false" ht="15" hidden="false" customHeight="false" outlineLevel="0" collapsed="false">
      <c r="A32" s="14" t="n">
        <v>16</v>
      </c>
      <c r="B32" s="40" t="n">
        <f aca="false">IFERROR(INDEX(Lu_Q,MATCH(A32,Lu_t,0),$C$4),0)</f>
        <v>387</v>
      </c>
      <c r="C32" s="40" t="n">
        <f aca="false">(B31+B32)/2</f>
        <v>429.5</v>
      </c>
      <c r="D32" s="40" t="n">
        <f aca="false">L31</f>
        <v>19256.7040393266</v>
      </c>
      <c r="E32" s="40" t="n">
        <f aca="false">J31</f>
        <v>326.790358397496</v>
      </c>
      <c r="F32" s="40" t="n">
        <f aca="false">D32+C32-E32</f>
        <v>19359.4136809291</v>
      </c>
      <c r="G32" s="41" t="n">
        <f aca="false">INDEX(QH_Z,MATCH(F32,INDEX(QH_f,0,$F$4),1))+(F32-INDEX(QH_f,MATCH(F32,INDEX(QH_f,0,$F$4),1),$F$4))*(INDEX(QH_Z,MATCH(F32,INDEX(QH_f,0,$F$4),1)+1)-INDEX(QH_Z,MATCH(F32,INDEX(QH_f,0,$F$4),1)))/(INDEX(QH_f,MATCH(F32,INDEX(QH_f,0,$F$4),1)+1,$F$4)-INDEX(QH_f,MATCH(F32,INDEX(QH_f,0,$F$4),1),$F$4))</f>
        <v>79.1325216885189</v>
      </c>
      <c r="H32" s="42" t="n">
        <f aca="false">TC_s*(1-0.2*(TC_xmb+(TC_n-1)*TC_xmt)*MAX(G32-TC_Z,0)/(TC_n*TC_b))*TC_m*TC_n*TC_b*SQRT(2*g_)*MAX(G32-TC_Z,0)^1.5</f>
        <v>330.876715024444</v>
      </c>
      <c r="I32" s="43" t="n">
        <f aca="false">IF($F$4=2,0,SC_s*(1-0.2*(SC_xmb+(SC_n-1)*SC_xmt)*MAX(G32-SC_Z,0)/(SC_n*SC_b))*SC_m*SC_n*SC_b*SQRT(2*g_)*MAX(G32-SC_Z,0)^1.5)</f>
        <v>0</v>
      </c>
      <c r="J32" s="40" t="n">
        <f aca="false">H32+I32</f>
        <v>330.876715024444</v>
      </c>
      <c r="K32" s="23" t="n">
        <f aca="false">INDEX(QH_V,MATCH(G32,QH_Z,1))+(G32-INDEX(QH_Z,MATCH(G32,QH_Z,1)))*(INDEX(QH_V,MATCH(G32,QH_Z,1)+1)-INDEX(QH_V,MATCH(G32,QH_Z,1)))/(INDEX(QH_Z,MATCH(G32,QH_Z,1)+1)-INDEX(QH_Z,MATCH(G32,QH_Z,1)))</f>
        <v>69.0983111337797</v>
      </c>
      <c r="L32" s="40" t="n">
        <f aca="false">K32*1000000/dt_s+J32/2</f>
        <v>19359.413672451</v>
      </c>
    </row>
    <row r="33" customFormat="false" ht="15" hidden="false" customHeight="false" outlineLevel="0" collapsed="false">
      <c r="A33" s="14" t="n">
        <v>17</v>
      </c>
      <c r="B33" s="40" t="n">
        <f aca="false">IFERROR(INDEX(Lu_Q,MATCH(A33,Lu_t,0),$C$4),0)</f>
        <v>313</v>
      </c>
      <c r="C33" s="40" t="n">
        <f aca="false">(B32+B33)/2</f>
        <v>350</v>
      </c>
      <c r="D33" s="40" t="n">
        <f aca="false">L32</f>
        <v>19359.413672451</v>
      </c>
      <c r="E33" s="40" t="n">
        <f aca="false">J32</f>
        <v>330.876715024444</v>
      </c>
      <c r="F33" s="40" t="n">
        <f aca="false">D33+C33-E33</f>
        <v>19378.5369574266</v>
      </c>
      <c r="G33" s="41" t="n">
        <f aca="false">INDEX(QH_Z,MATCH(F33,INDEX(QH_f,0,$F$4),1))+(F33-INDEX(QH_f,MATCH(F33,INDEX(QH_f,0,$F$4),1),$F$4))*(INDEX(QH_Z,MATCH(F33,INDEX(QH_f,0,$F$4),1)+1)-INDEX(QH_Z,MATCH(F33,INDEX(QH_f,0,$F$4),1)))/(INDEX(QH_f,MATCH(F33,INDEX(QH_f,0,$F$4),1)+1,$F$4)-INDEX(QH_f,MATCH(F33,INDEX(QH_f,0,$F$4),1),$F$4))</f>
        <v>79.1404369065048</v>
      </c>
      <c r="H33" s="42" t="n">
        <f aca="false">TC_s*(1-0.2*(TC_xmb+(TC_n-1)*TC_xmt)*MAX(G33-TC_Z,0)/(TC_n*TC_b))*TC_m*TC_n*TC_b*SQRT(2*g_)*MAX(G33-TC_Z,0)^1.5</f>
        <v>331.63642902326</v>
      </c>
      <c r="I33" s="43" t="n">
        <f aca="false">IF($F$4=2,0,SC_s*(1-0.2*(SC_xmb+(SC_n-1)*SC_xmt)*MAX(G33-SC_Z,0)/(SC_n*SC_b))*SC_m*SC_n*SC_b*SQRT(2*g_)*MAX(G33-SC_Z,0)^1.5)</f>
        <v>0</v>
      </c>
      <c r="J33" s="40" t="n">
        <f aca="false">H33+I33</f>
        <v>331.63642902326</v>
      </c>
      <c r="K33" s="23" t="n">
        <f aca="false">INDEX(QH_V,MATCH(G33,QH_Z,1))+(G33-INDEX(QH_Z,MATCH(G33,QH_Z,1)))*(INDEX(QH_V,MATCH(G33,QH_Z,1)+1)-INDEX(QH_V,MATCH(G33,QH_Z,1)))/(INDEX(QH_Z,MATCH(G33,QH_Z,1)+1)-INDEX(QH_Z,MATCH(G33,QH_Z,1)))</f>
        <v>69.1657874678454</v>
      </c>
      <c r="L33" s="40" t="n">
        <f aca="false">K33*1000000/dt_s+J33/2</f>
        <v>19378.5369555798</v>
      </c>
    </row>
    <row r="34" customFormat="false" ht="15" hidden="false" customHeight="false" outlineLevel="0" collapsed="false">
      <c r="A34" s="14" t="n">
        <v>18</v>
      </c>
      <c r="B34" s="40" t="n">
        <f aca="false">IFERROR(INDEX(Lu_Q,MATCH(A34,Lu_t,0),$C$4),0)</f>
        <v>253</v>
      </c>
      <c r="C34" s="40" t="n">
        <f aca="false">(B33+B34)/2</f>
        <v>283</v>
      </c>
      <c r="D34" s="40" t="n">
        <f aca="false">L33</f>
        <v>19378.5369555798</v>
      </c>
      <c r="E34" s="40" t="n">
        <f aca="false">J33</f>
        <v>331.63642902326</v>
      </c>
      <c r="F34" s="40" t="n">
        <f aca="false">D34+C34-E34</f>
        <v>19329.9005265565</v>
      </c>
      <c r="G34" s="41" t="n">
        <f aca="false">INDEX(QH_Z,MATCH(F34,INDEX(QH_f,0,$F$4),1))+(F34-INDEX(QH_f,MATCH(F34,INDEX(QH_f,0,$F$4),1),$F$4))*(INDEX(QH_Z,MATCH(F34,INDEX(QH_f,0,$F$4),1)+1)-INDEX(QH_Z,MATCH(F34,INDEX(QH_f,0,$F$4),1)))/(INDEX(QH_f,MATCH(F34,INDEX(QH_f,0,$F$4),1)+1,$F$4)-INDEX(QH_f,MATCH(F34,INDEX(QH_f,0,$F$4),1),$F$4))</f>
        <v>79.120297658592</v>
      </c>
      <c r="H34" s="42" t="n">
        <f aca="false">TC_s*(1-0.2*(TC_xmb+(TC_n-1)*TC_xmt)*MAX(G34-TC_Z,0)/(TC_n*TC_b))*TC_m*TC_n*TC_b*SQRT(2*g_)*MAX(G34-TC_Z,0)^1.5</f>
        <v>329.703657656026</v>
      </c>
      <c r="I34" s="43" t="n">
        <f aca="false">IF($F$4=2,0,SC_s*(1-0.2*(SC_xmb+(SC_n-1)*SC_xmt)*MAX(G34-SC_Z,0)/(SC_n*SC_b))*SC_m*SC_n*SC_b*SQRT(2*g_)*MAX(G34-SC_Z,0)^1.5)</f>
        <v>0</v>
      </c>
      <c r="J34" s="40" t="n">
        <f aca="false">H34+I34</f>
        <v>329.703657656026</v>
      </c>
      <c r="K34" s="23" t="n">
        <f aca="false">INDEX(QH_V,MATCH(G34,QH_Z,1))+(G34-INDEX(QH_Z,MATCH(G34,QH_Z,1)))*(INDEX(QH_V,MATCH(G34,QH_Z,1)+1)-INDEX(QH_V,MATCH(G34,QH_Z,1)))/(INDEX(QH_Z,MATCH(G34,QH_Z,1)+1)-INDEX(QH_Z,MATCH(G34,QH_Z,1)))</f>
        <v>68.9941753070576</v>
      </c>
      <c r="L34" s="40" t="n">
        <f aca="false">K34*1000000/dt_s+J34/2</f>
        <v>19329.9005252329</v>
      </c>
    </row>
    <row r="35" customFormat="false" ht="15" hidden="false" customHeight="false" outlineLevel="0" collapsed="false">
      <c r="A35" s="14" t="n">
        <v>19</v>
      </c>
      <c r="B35" s="40" t="n">
        <f aca="false">IFERROR(INDEX(Lu_Q,MATCH(A35,Lu_t,0),$C$4),0)</f>
        <v>203</v>
      </c>
      <c r="C35" s="40" t="n">
        <f aca="false">(B34+B35)/2</f>
        <v>228</v>
      </c>
      <c r="D35" s="40" t="n">
        <f aca="false">L34</f>
        <v>19329.9005252329</v>
      </c>
      <c r="E35" s="40" t="n">
        <f aca="false">J34</f>
        <v>329.703657656026</v>
      </c>
      <c r="F35" s="40" t="n">
        <f aca="false">D35+C35-E35</f>
        <v>19228.1968675769</v>
      </c>
      <c r="G35" s="41" t="n">
        <f aca="false">INDEX(QH_Z,MATCH(F35,INDEX(QH_f,0,$F$4),1))+(F35-INDEX(QH_f,MATCH(F35,INDEX(QH_f,0,$F$4),1),$F$4))*(INDEX(QH_Z,MATCH(F35,INDEX(QH_f,0,$F$4),1)+1)-INDEX(QH_Z,MATCH(F35,INDEX(QH_f,0,$F$4),1)))/(INDEX(QH_f,MATCH(F35,INDEX(QH_f,0,$F$4),1)+1,$F$4)-INDEX(QH_f,MATCH(F35,INDEX(QH_f,0,$F$4),1),$F$4))</f>
        <v>79.0780773480862</v>
      </c>
      <c r="H35" s="42" t="n">
        <f aca="false">TC_s*(1-0.2*(TC_xmb+(TC_n-1)*TC_xmt)*MAX(G35-TC_Z,0)/(TC_n*TC_b))*TC_m*TC_n*TC_b*SQRT(2*g_)*MAX(G35-TC_Z,0)^1.5</f>
        <v>325.654216853936</v>
      </c>
      <c r="I35" s="43" t="n">
        <f aca="false">IF($F$4=2,0,SC_s*(1-0.2*(SC_xmb+(SC_n-1)*SC_xmt)*MAX(G35-SC_Z,0)/(SC_n*SC_b))*SC_m*SC_n*SC_b*SQRT(2*g_)*MAX(G35-SC_Z,0)^1.5)</f>
        <v>0</v>
      </c>
      <c r="J35" s="40" t="n">
        <f aca="false">H35+I35</f>
        <v>325.654216853936</v>
      </c>
      <c r="K35" s="23" t="n">
        <f aca="false">INDEX(QH_V,MATCH(G35,QH_Z,1))+(G35-INDEX(QH_Z,MATCH(G35,QH_Z,1)))*(INDEX(QH_V,MATCH(G35,QH_Z,1)+1)-INDEX(QH_V,MATCH(G35,QH_Z,1)))/(INDEX(QH_Z,MATCH(G35,QH_Z,1)+1)-INDEX(QH_Z,MATCH(G35,QH_Z,1)))</f>
        <v>68.6353311051411</v>
      </c>
      <c r="L35" s="40" t="n">
        <f aca="false">K35*1000000/dt_s+J35/2</f>
        <v>19228.196859855</v>
      </c>
    </row>
    <row r="36" customFormat="false" ht="15" hidden="false" customHeight="false" outlineLevel="0" collapsed="false">
      <c r="A36" s="14" t="n">
        <v>20</v>
      </c>
      <c r="B36" s="40" t="n">
        <f aca="false">IFERROR(INDEX(Lu_Q,MATCH(A36,Lu_t,0),$C$4),0)</f>
        <v>161</v>
      </c>
      <c r="C36" s="40" t="n">
        <f aca="false">(B35+B36)/2</f>
        <v>182</v>
      </c>
      <c r="D36" s="40" t="n">
        <f aca="false">L35</f>
        <v>19228.196859855</v>
      </c>
      <c r="E36" s="40" t="n">
        <f aca="false">J35</f>
        <v>325.654216853936</v>
      </c>
      <c r="F36" s="40" t="n">
        <f aca="false">D36+C36-E36</f>
        <v>19084.5426430011</v>
      </c>
      <c r="G36" s="41" t="n">
        <f aca="false">INDEX(QH_Z,MATCH(F36,INDEX(QH_f,0,$F$4),1))+(F36-INDEX(QH_f,MATCH(F36,INDEX(QH_f,0,$F$4),1),$F$4))*(INDEX(QH_Z,MATCH(F36,INDEX(QH_f,0,$F$4),1)+1)-INDEX(QH_Z,MATCH(F36,INDEX(QH_f,0,$F$4),1)))/(INDEX(QH_f,MATCH(F36,INDEX(QH_f,0,$F$4),1)+1,$F$4)-INDEX(QH_f,MATCH(F36,INDEX(QH_f,0,$F$4),1),$F$4))</f>
        <v>79.0181947891004</v>
      </c>
      <c r="H36" s="42" t="n">
        <f aca="false">TC_s*(1-0.2*(TC_xmb+(TC_n-1)*TC_xmt)*MAX(G36-TC_Z,0)/(TC_n*TC_b))*TC_m*TC_n*TC_b*SQRT(2*g_)*MAX(G36-TC_Z,0)^1.5</f>
        <v>319.916871260524</v>
      </c>
      <c r="I36" s="43" t="n">
        <f aca="false">IF($F$4=2,0,SC_s*(1-0.2*(SC_xmb+(SC_n-1)*SC_xmt)*MAX(G36-SC_Z,0)/(SC_n*SC_b))*SC_m*SC_n*SC_b*SQRT(2*g_)*MAX(G36-SC_Z,0)^1.5)</f>
        <v>0</v>
      </c>
      <c r="J36" s="40" t="n">
        <f aca="false">H36+I36</f>
        <v>319.916871260524</v>
      </c>
      <c r="K36" s="23" t="n">
        <f aca="false">INDEX(QH_V,MATCH(G36,QH_Z,1))+(G36-INDEX(QH_Z,MATCH(G36,QH_Z,1)))*(INDEX(QH_V,MATCH(G36,QH_Z,1)+1)-INDEX(QH_V,MATCH(G36,QH_Z,1)))/(INDEX(QH_Z,MATCH(G36,QH_Z,1)+1)-INDEX(QH_Z,MATCH(G36,QH_Z,1)))</f>
        <v>68.1285031174015</v>
      </c>
      <c r="L36" s="40" t="n">
        <f aca="false">K36*1000000/dt_s+J36/2</f>
        <v>19084.5426349085</v>
      </c>
    </row>
    <row r="37" customFormat="false" ht="15" hidden="false" customHeight="false" outlineLevel="0" collapsed="false">
      <c r="A37" s="14" t="n">
        <v>21</v>
      </c>
      <c r="B37" s="40" t="n">
        <f aca="false">IFERROR(INDEX(Lu_Q,MATCH(A37,Lu_t,0),$C$4),0)</f>
        <v>128</v>
      </c>
      <c r="C37" s="40" t="n">
        <f aca="false">(B36+B37)/2</f>
        <v>144.5</v>
      </c>
      <c r="D37" s="40" t="n">
        <f aca="false">L36</f>
        <v>19084.5426349085</v>
      </c>
      <c r="E37" s="40" t="n">
        <f aca="false">J36</f>
        <v>319.916871260524</v>
      </c>
      <c r="F37" s="40" t="n">
        <f aca="false">D37+C37-E37</f>
        <v>18909.1257636479</v>
      </c>
      <c r="G37" s="41" t="n">
        <f aca="false">INDEX(QH_Z,MATCH(F37,INDEX(QH_f,0,$F$4),1))+(F37-INDEX(QH_f,MATCH(F37,INDEX(QH_f,0,$F$4),1),$F$4))*(INDEX(QH_Z,MATCH(F37,INDEX(QH_f,0,$F$4),1)+1)-INDEX(QH_Z,MATCH(F37,INDEX(QH_f,0,$F$4),1)))/(INDEX(QH_f,MATCH(F37,INDEX(QH_f,0,$F$4),1)+1,$F$4)-INDEX(QH_f,MATCH(F37,INDEX(QH_f,0,$F$4),1),$F$4))</f>
        <v>78.944704097178</v>
      </c>
      <c r="H37" s="42" t="n">
        <f aca="false">TC_s*(1-0.2*(TC_xmb+(TC_n-1)*TC_xmt)*MAX(G37-TC_Z,0)/(TC_n*TC_b))*TC_m*TC_n*TC_b*SQRT(2*g_)*MAX(G37-TC_Z,0)^1.5</f>
        <v>312.886495917603</v>
      </c>
      <c r="I37" s="43" t="n">
        <f aca="false">IF($F$4=2,0,SC_s*(1-0.2*(SC_xmb+(SC_n-1)*SC_xmt)*MAX(G37-SC_Z,0)/(SC_n*SC_b))*SC_m*SC_n*SC_b*SQRT(2*g_)*MAX(G37-SC_Z,0)^1.5)</f>
        <v>0</v>
      </c>
      <c r="J37" s="40" t="n">
        <f aca="false">H37+I37</f>
        <v>312.886495917603</v>
      </c>
      <c r="K37" s="23" t="n">
        <f aca="false">INDEX(QH_V,MATCH(G37,QH_Z,1))+(G37-INDEX(QH_Z,MATCH(G37,QH_Z,1)))*(INDEX(QH_V,MATCH(G37,QH_Z,1)+1)-INDEX(QH_V,MATCH(G37,QH_Z,1)))/(INDEX(QH_Z,MATCH(G37,QH_Z,1)+1)-INDEX(QH_Z,MATCH(G37,QH_Z,1)))</f>
        <v>67.5096570020313</v>
      </c>
      <c r="L37" s="40" t="n">
        <f aca="false">K37*1000000/dt_s+J37/2</f>
        <v>18909.1257485231</v>
      </c>
    </row>
    <row r="38" customFormat="false" ht="15" hidden="false" customHeight="false" outlineLevel="0" collapsed="false">
      <c r="A38" s="14" t="n">
        <v>22</v>
      </c>
      <c r="B38" s="40" t="n">
        <f aca="false">IFERROR(INDEX(Lu_Q,MATCH(A38,Lu_t,0),$C$4),0)</f>
        <v>101</v>
      </c>
      <c r="C38" s="40" t="n">
        <f aca="false">(B37+B38)/2</f>
        <v>114.5</v>
      </c>
      <c r="D38" s="40" t="n">
        <f aca="false">L37</f>
        <v>18909.1257485231</v>
      </c>
      <c r="E38" s="40" t="n">
        <f aca="false">J37</f>
        <v>312.886495917603</v>
      </c>
      <c r="F38" s="40" t="n">
        <f aca="false">D38+C38-E38</f>
        <v>18710.7392526054</v>
      </c>
      <c r="G38" s="41" t="n">
        <f aca="false">INDEX(QH_Z,MATCH(F38,INDEX(QH_f,0,$F$4),1))+(F38-INDEX(QH_f,MATCH(F38,INDEX(QH_f,0,$F$4),1),$F$4))*(INDEX(QH_Z,MATCH(F38,INDEX(QH_f,0,$F$4),1)+1)-INDEX(QH_Z,MATCH(F38,INDEX(QH_f,0,$F$4),1)))/(INDEX(QH_f,MATCH(F38,INDEX(QH_f,0,$F$4),1)+1,$F$4)-INDEX(QH_f,MATCH(F38,INDEX(QH_f,0,$F$4),1),$F$4))</f>
        <v>78.8611868671297</v>
      </c>
      <c r="H38" s="42" t="n">
        <f aca="false">TC_s*(1-0.2*(TC_xmb+(TC_n-1)*TC_xmt)*MAX(G38-TC_Z,0)/(TC_n*TC_b))*TC_m*TC_n*TC_b*SQRT(2*g_)*MAX(G38-TC_Z,0)^1.5</f>
        <v>304.912951143389</v>
      </c>
      <c r="I38" s="43" t="n">
        <f aca="false">IF($F$4=2,0,SC_s*(1-0.2*(SC_xmb+(SC_n-1)*SC_xmt)*MAX(G38-SC_Z,0)/(SC_n*SC_b))*SC_m*SC_n*SC_b*SQRT(2*g_)*MAX(G38-SC_Z,0)^1.5)</f>
        <v>0</v>
      </c>
      <c r="J38" s="40" t="n">
        <f aca="false">H38+I38</f>
        <v>304.912951143389</v>
      </c>
      <c r="K38" s="23" t="n">
        <f aca="false">INDEX(QH_V,MATCH(G38,QH_Z,1))+(G38-INDEX(QH_Z,MATCH(G38,QH_Z,1)))*(INDEX(QH_V,MATCH(G38,QH_Z,1)+1)-INDEX(QH_V,MATCH(G38,QH_Z,1)))/(INDEX(QH_Z,MATCH(G38,QH_Z,1)+1)-INDEX(QH_Z,MATCH(G38,QH_Z,1)))</f>
        <v>66.8098179718307</v>
      </c>
      <c r="L38" s="40" t="n">
        <f aca="false">K38*1000000/dt_s+J38/2</f>
        <v>18710.7392455247</v>
      </c>
    </row>
    <row r="39" customFormat="false" ht="15" hidden="false" customHeight="false" outlineLevel="0" collapsed="false">
      <c r="A39" s="14" t="n">
        <v>23</v>
      </c>
      <c r="B39" s="40" t="n">
        <f aca="false">IFERROR(INDEX(Lu_Q,MATCH(A39,Lu_t,0),$C$4),0)</f>
        <v>81</v>
      </c>
      <c r="C39" s="40" t="n">
        <f aca="false">(B38+B39)/2</f>
        <v>91</v>
      </c>
      <c r="D39" s="40" t="n">
        <f aca="false">L38</f>
        <v>18710.7392455247</v>
      </c>
      <c r="E39" s="40" t="n">
        <f aca="false">J38</f>
        <v>304.912951143389</v>
      </c>
      <c r="F39" s="40" t="n">
        <f aca="false">D39+C39-E39</f>
        <v>18496.8262943813</v>
      </c>
      <c r="G39" s="41" t="n">
        <f aca="false">INDEX(QH_Z,MATCH(F39,INDEX(QH_f,0,$F$4),1))+(F39-INDEX(QH_f,MATCH(F39,INDEX(QH_f,0,$F$4),1),$F$4))*(INDEX(QH_Z,MATCH(F39,INDEX(QH_f,0,$F$4),1)+1)-INDEX(QH_Z,MATCH(F39,INDEX(QH_f,0,$F$4),1)))/(INDEX(QH_f,MATCH(F39,INDEX(QH_f,0,$F$4),1)+1,$F$4)-INDEX(QH_f,MATCH(F39,INDEX(QH_f,0,$F$4),1),$F$4))</f>
        <v>78.7706492845968</v>
      </c>
      <c r="H39" s="42" t="n">
        <f aca="false">TC_s*(1-0.2*(TC_xmb+(TC_n-1)*TC_xmt)*MAX(G39-TC_Z,0)/(TC_n*TC_b))*TC_m*TC_n*TC_b*SQRT(2*g_)*MAX(G39-TC_Z,0)^1.5</f>
        <v>296.29063355072</v>
      </c>
      <c r="I39" s="43" t="n">
        <f aca="false">IF($F$4=2,0,SC_s*(1-0.2*(SC_xmb+(SC_n-1)*SC_xmt)*MAX(G39-SC_Z,0)/(SC_n*SC_b))*SC_m*SC_n*SC_b*SQRT(2*g_)*MAX(G39-SC_Z,0)^1.5)</f>
        <v>0</v>
      </c>
      <c r="J39" s="40" t="n">
        <f aca="false">H39+I39</f>
        <v>296.29063355072</v>
      </c>
      <c r="K39" s="23" t="n">
        <f aca="false">INDEX(QH_V,MATCH(G39,QH_Z,1))+(G39-INDEX(QH_Z,MATCH(G39,QH_Z,1)))*(INDEX(QH_V,MATCH(G39,QH_Z,1)+1)-INDEX(QH_V,MATCH(G39,QH_Z,1)))/(INDEX(QH_Z,MATCH(G39,QH_Z,1)+1)-INDEX(QH_Z,MATCH(G39,QH_Z,1)))</f>
        <v>66.0552515028533</v>
      </c>
      <c r="L39" s="40" t="n">
        <f aca="false">K39*1000000/dt_s+J39/2</f>
        <v>18496.8262897902</v>
      </c>
    </row>
    <row r="40" customFormat="false" ht="15" hidden="false" customHeight="false" outlineLevel="0" collapsed="false">
      <c r="A40" s="14" t="n">
        <v>24</v>
      </c>
      <c r="B40" s="40" t="n">
        <f aca="false">IFERROR(INDEX(Lu_Q,MATCH(A40,Lu_t,0),$C$4),0)</f>
        <v>63</v>
      </c>
      <c r="C40" s="40" t="n">
        <f aca="false">(B39+B40)/2</f>
        <v>72</v>
      </c>
      <c r="D40" s="40" t="n">
        <f aca="false">L39</f>
        <v>18496.8262897902</v>
      </c>
      <c r="E40" s="40" t="n">
        <f aca="false">J39</f>
        <v>296.29063355072</v>
      </c>
      <c r="F40" s="40" t="n">
        <f aca="false">D40+C40-E40</f>
        <v>18272.5356562395</v>
      </c>
      <c r="G40" s="41" t="n">
        <f aca="false">INDEX(QH_Z,MATCH(F40,INDEX(QH_f,0,$F$4),1))+(F40-INDEX(QH_f,MATCH(F40,INDEX(QH_f,0,$F$4),1),$F$4))*(INDEX(QH_Z,MATCH(F40,INDEX(QH_f,0,$F$4),1)+1)-INDEX(QH_Z,MATCH(F40,INDEX(QH_f,0,$F$4),1)))/(INDEX(QH_f,MATCH(F40,INDEX(QH_f,0,$F$4),1)+1,$F$4)-INDEX(QH_f,MATCH(F40,INDEX(QH_f,0,$F$4),1),$F$4))</f>
        <v>78.6751700529931</v>
      </c>
      <c r="H40" s="42" t="n">
        <f aca="false">TC_s*(1-0.2*(TC_xmb+(TC_n-1)*TC_xmt)*MAX(G40-TC_Z,0)/(TC_n*TC_b))*TC_m*TC_n*TC_b*SQRT(2*g_)*MAX(G40-TC_Z,0)^1.5</f>
        <v>287.224710407236</v>
      </c>
      <c r="I40" s="43" t="n">
        <f aca="false">IF($F$4=2,0,SC_s*(1-0.2*(SC_xmb+(SC_n-1)*SC_xmt)*MAX(G40-SC_Z,0)/(SC_n*SC_b))*SC_m*SC_n*SC_b*SQRT(2*g_)*MAX(G40-SC_Z,0)^1.5)</f>
        <v>0</v>
      </c>
      <c r="J40" s="40" t="n">
        <f aca="false">H40+I40</f>
        <v>287.224710407236</v>
      </c>
      <c r="K40" s="23" t="n">
        <f aca="false">INDEX(QH_V,MATCH(G40,QH_Z,1))+(G40-INDEX(QH_Z,MATCH(G40,QH_Z,1)))*(INDEX(QH_V,MATCH(G40,QH_Z,1)+1)-INDEX(QH_V,MATCH(G40,QH_Z,1)))/(INDEX(QH_Z,MATCH(G40,QH_Z,1)+1)-INDEX(QH_Z,MATCH(G40,QH_Z,1)))</f>
        <v>65.2641238077762</v>
      </c>
      <c r="L40" s="40" t="n">
        <f aca="false">K40*1000000/dt_s+J40/2</f>
        <v>18272.5356351415</v>
      </c>
    </row>
    <row r="41" customFormat="false" ht="15" hidden="false" customHeight="false" outlineLevel="0" collapsed="false">
      <c r="A41" s="14" t="n">
        <v>25</v>
      </c>
      <c r="B41" s="40" t="n">
        <f aca="false">IFERROR(INDEX(Lu_Q,MATCH(A41,Lu_t,0),$C$4),0)</f>
        <v>50</v>
      </c>
      <c r="C41" s="40" t="n">
        <f aca="false">(B40+B41)/2</f>
        <v>56.5</v>
      </c>
      <c r="D41" s="40" t="n">
        <f aca="false">L40</f>
        <v>18272.5356351415</v>
      </c>
      <c r="E41" s="40" t="n">
        <f aca="false">J40</f>
        <v>287.224710407236</v>
      </c>
      <c r="F41" s="40" t="n">
        <f aca="false">D41+C41-E41</f>
        <v>18041.8109247342</v>
      </c>
      <c r="G41" s="41" t="n">
        <f aca="false">INDEX(QH_Z,MATCH(F41,INDEX(QH_f,0,$F$4),1))+(F41-INDEX(QH_f,MATCH(F41,INDEX(QH_f,0,$F$4),1),$F$4))*(INDEX(QH_Z,MATCH(F41,INDEX(QH_f,0,$F$4),1)+1)-INDEX(QH_Z,MATCH(F41,INDEX(QH_f,0,$F$4),1)))/(INDEX(QH_f,MATCH(F41,INDEX(QH_f,0,$F$4),1)+1,$F$4)-INDEX(QH_f,MATCH(F41,INDEX(QH_f,0,$F$4),1),$F$4))</f>
        <v>78.5763553463079</v>
      </c>
      <c r="H41" s="42" t="n">
        <f aca="false">TC_s*(1-0.2*(TC_xmb+(TC_n-1)*TC_xmt)*MAX(G41-TC_Z,0)/(TC_n*TC_b))*TC_m*TC_n*TC_b*SQRT(2*g_)*MAX(G41-TC_Z,0)^1.5</f>
        <v>277.874562815556</v>
      </c>
      <c r="I41" s="43" t="n">
        <f aca="false">IF($F$4=2,0,SC_s*(1-0.2*(SC_xmb+(SC_n-1)*SC_xmt)*MAX(G41-SC_Z,0)/(SC_n*SC_b))*SC_m*SC_n*SC_b*SQRT(2*g_)*MAX(G41-SC_Z,0)^1.5)</f>
        <v>0</v>
      </c>
      <c r="J41" s="40" t="n">
        <f aca="false">H41+I41</f>
        <v>277.874562815556</v>
      </c>
      <c r="K41" s="23" t="n">
        <f aca="false">INDEX(QH_V,MATCH(G41,QH_Z,1))+(G41-INDEX(QH_Z,MATCH(G41,QH_Z,1)))*(INDEX(QH_V,MATCH(G41,QH_Z,1)+1)-INDEX(QH_V,MATCH(G41,QH_Z,1)))/(INDEX(QH_Z,MATCH(G41,QH_Z,1)+1)-INDEX(QH_Z,MATCH(G41,QH_Z,1)))</f>
        <v>64.4503450378418</v>
      </c>
      <c r="L41" s="40" t="n">
        <f aca="false">K41*1000000/dt_s+J41/2</f>
        <v>18041.8109030305</v>
      </c>
    </row>
    <row r="42" customFormat="false" ht="15" hidden="false" customHeight="false" outlineLevel="0" collapsed="false">
      <c r="A42" s="14" t="n">
        <v>26</v>
      </c>
      <c r="B42" s="40" t="n">
        <f aca="false">IFERROR(INDEX(Lu_Q,MATCH(A42,Lu_t,0),$C$4),0)</f>
        <v>39</v>
      </c>
      <c r="C42" s="40" t="n">
        <f aca="false">(B41+B42)/2</f>
        <v>44.5</v>
      </c>
      <c r="D42" s="40" t="n">
        <f aca="false">L41</f>
        <v>18041.8109030305</v>
      </c>
      <c r="E42" s="40" t="n">
        <f aca="false">J41</f>
        <v>277.874562815556</v>
      </c>
      <c r="F42" s="40" t="n">
        <f aca="false">D42+C42-E42</f>
        <v>17808.436340215</v>
      </c>
      <c r="G42" s="41" t="n">
        <f aca="false">INDEX(QH_Z,MATCH(F42,INDEX(QH_f,0,$F$4),1))+(F42-INDEX(QH_f,MATCH(F42,INDEX(QH_f,0,$F$4),1),$F$4))*(INDEX(QH_Z,MATCH(F42,INDEX(QH_f,0,$F$4),1)+1)-INDEX(QH_Z,MATCH(F42,INDEX(QH_f,0,$F$4),1)))/(INDEX(QH_f,MATCH(F42,INDEX(QH_f,0,$F$4),1)+1,$F$4)-INDEX(QH_f,MATCH(F42,INDEX(QH_f,0,$F$4),1),$F$4))</f>
        <v>78.475777305215</v>
      </c>
      <c r="H42" s="42" t="n">
        <f aca="false">TC_s*(1-0.2*(TC_xmb+(TC_n-1)*TC_xmt)*MAX(G42-TC_Z,0)/(TC_n*TC_b))*TC_m*TC_n*TC_b*SQRT(2*g_)*MAX(G42-TC_Z,0)^1.5</f>
        <v>268.395141933628</v>
      </c>
      <c r="I42" s="43" t="n">
        <f aca="false">IF($F$4=2,0,SC_s*(1-0.2*(SC_xmb+(SC_n-1)*SC_xmt)*MAX(G42-SC_Z,0)/(SC_n*SC_b))*SC_m*SC_n*SC_b*SQRT(2*g_)*MAX(G42-SC_Z,0)^1.5)</f>
        <v>0</v>
      </c>
      <c r="J42" s="40" t="n">
        <f aca="false">H42+I42</f>
        <v>268.395141933628</v>
      </c>
      <c r="K42" s="23" t="n">
        <f aca="false">INDEX(QH_V,MATCH(G42,QH_Z,1))+(G42-INDEX(QH_Z,MATCH(G42,QH_Z,1)))*(INDEX(QH_V,MATCH(G42,QH_Z,1)+1)-INDEX(QH_V,MATCH(G42,QH_Z,1)))/(INDEX(QH_Z,MATCH(G42,QH_Z,1)+1)-INDEX(QH_Z,MATCH(G42,QH_Z,1)))</f>
        <v>63.6272594786388</v>
      </c>
      <c r="L42" s="40" t="n">
        <f aca="false">K42*1000000/dt_s+J42/2</f>
        <v>17808.4363150331</v>
      </c>
    </row>
    <row r="43" customFormat="false" ht="15" hidden="false" customHeight="false" outlineLevel="0" collapsed="false">
      <c r="A43" s="14" t="n">
        <v>27</v>
      </c>
      <c r="B43" s="40" t="n">
        <f aca="false">IFERROR(INDEX(Lu_Q,MATCH(A43,Lu_t,0),$C$4),0)</f>
        <v>30</v>
      </c>
      <c r="C43" s="40" t="n">
        <f aca="false">(B42+B43)/2</f>
        <v>34.5</v>
      </c>
      <c r="D43" s="40" t="n">
        <f aca="false">L42</f>
        <v>17808.4363150331</v>
      </c>
      <c r="E43" s="40" t="n">
        <f aca="false">J42</f>
        <v>268.395141933628</v>
      </c>
      <c r="F43" s="40" t="n">
        <f aca="false">D43+C43-E43</f>
        <v>17574.5411730995</v>
      </c>
      <c r="G43" s="41" t="n">
        <f aca="false">INDEX(QH_Z,MATCH(F43,INDEX(QH_f,0,$F$4),1))+(F43-INDEX(QH_f,MATCH(F43,INDEX(QH_f,0,$F$4),1),$F$4))*(INDEX(QH_Z,MATCH(F43,INDEX(QH_f,0,$F$4),1)+1)-INDEX(QH_Z,MATCH(F43,INDEX(QH_f,0,$F$4),1)))/(INDEX(QH_f,MATCH(F43,INDEX(QH_f,0,$F$4),1)+1,$F$4)-INDEX(QH_f,MATCH(F43,INDEX(QH_f,0,$F$4),1),$F$4))</f>
        <v>78.3743278830334</v>
      </c>
      <c r="H43" s="42" t="n">
        <f aca="false">TC_s*(1-0.2*(TC_xmb+(TC_n-1)*TC_xmt)*MAX(G43-TC_Z,0)/(TC_n*TC_b))*TC_m*TC_n*TC_b*SQRT(2*g_)*MAX(G43-TC_Z,0)^1.5</f>
        <v>258.87590626038</v>
      </c>
      <c r="I43" s="43" t="n">
        <f aca="false">IF($F$4=2,0,SC_s*(1-0.2*(SC_xmb+(SC_n-1)*SC_xmt)*MAX(G43-SC_Z,0)/(SC_n*SC_b))*SC_m*SC_n*SC_b*SQRT(2*g_)*MAX(G43-SC_Z,0)^1.5)</f>
        <v>0</v>
      </c>
      <c r="J43" s="40" t="n">
        <f aca="false">H43+I43</f>
        <v>258.87590626038</v>
      </c>
      <c r="K43" s="23" t="n">
        <f aca="false">INDEX(QH_V,MATCH(G43,QH_Z,1))+(G43-INDEX(QH_Z,MATCH(G43,QH_Z,1)))*(INDEX(QH_V,MATCH(G43,QH_Z,1)+1)-INDEX(QH_V,MATCH(G43,QH_Z,1)))/(INDEX(QH_Z,MATCH(G43,QH_Z,1)+1)-INDEX(QH_Z,MATCH(G43,QH_Z,1)))</f>
        <v>62.8023714919853</v>
      </c>
      <c r="L43" s="40" t="n">
        <f aca="false">K43*1000000/dt_s+J43/2</f>
        <v>17574.5411453483</v>
      </c>
    </row>
    <row r="44" customFormat="false" ht="15" hidden="false" customHeight="false" outlineLevel="0" collapsed="false">
      <c r="A44" s="14" t="n">
        <v>28</v>
      </c>
      <c r="B44" s="40" t="n">
        <f aca="false">IFERROR(INDEX(Lu_Q,MATCH(A44,Lu_t,0),$C$4),0)</f>
        <v>24</v>
      </c>
      <c r="C44" s="40" t="n">
        <f aca="false">(B43+B44)/2</f>
        <v>27</v>
      </c>
      <c r="D44" s="40" t="n">
        <f aca="false">L43</f>
        <v>17574.5411453483</v>
      </c>
      <c r="E44" s="40" t="n">
        <f aca="false">J43</f>
        <v>258.87590626038</v>
      </c>
      <c r="F44" s="40" t="n">
        <f aca="false">D44+C44-E44</f>
        <v>17342.6652390879</v>
      </c>
      <c r="G44" s="41" t="n">
        <f aca="false">INDEX(QH_Z,MATCH(F44,INDEX(QH_f,0,$F$4),1))+(F44-INDEX(QH_f,MATCH(F44,INDEX(QH_f,0,$F$4),1),$F$4))*(INDEX(QH_Z,MATCH(F44,INDEX(QH_f,0,$F$4),1)+1)-INDEX(QH_Z,MATCH(F44,INDEX(QH_f,0,$F$4),1)))/(INDEX(QH_f,MATCH(F44,INDEX(QH_f,0,$F$4),1)+1,$F$4)-INDEX(QH_f,MATCH(F44,INDEX(QH_f,0,$F$4),1),$F$4))</f>
        <v>78.2731016420697</v>
      </c>
      <c r="H44" s="42" t="n">
        <f aca="false">TC_s*(1-0.2*(TC_xmb+(TC_n-1)*TC_xmt)*MAX(G44-TC_Z,0)/(TC_n*TC_b))*TC_m*TC_n*TC_b*SQRT(2*g_)*MAX(G44-TC_Z,0)^1.5</f>
        <v>249.424023479897</v>
      </c>
      <c r="I44" s="43" t="n">
        <f aca="false">IF($F$4=2,0,SC_s*(1-0.2*(SC_xmb+(SC_n-1)*SC_xmt)*MAX(G44-SC_Z,0)/(SC_n*SC_b))*SC_m*SC_n*SC_b*SQRT(2*g_)*MAX(G44-SC_Z,0)^1.5)</f>
        <v>0</v>
      </c>
      <c r="J44" s="40" t="n">
        <f aca="false">H44+I44</f>
        <v>249.424023479897</v>
      </c>
      <c r="K44" s="23" t="n">
        <f aca="false">INDEX(QH_V,MATCH(G44,QH_Z,1))+(G44-INDEX(QH_Z,MATCH(G44,QH_Z,1)))*(INDEX(QH_V,MATCH(G44,QH_Z,1)+1)-INDEX(QH_V,MATCH(G44,QH_Z,1)))/(INDEX(QH_Z,MATCH(G44,QH_Z,1)+1)-INDEX(QH_Z,MATCH(G44,QH_Z,1)))</f>
        <v>61.9846315235874</v>
      </c>
      <c r="L44" s="40" t="n">
        <f aca="false">K44*1000000/dt_s+J44/2</f>
        <v>17342.6652127365</v>
      </c>
    </row>
    <row r="45" customFormat="false" ht="15" hidden="false" customHeight="false" outlineLevel="0" collapsed="false">
      <c r="A45" s="14" t="n">
        <v>29</v>
      </c>
      <c r="B45" s="40" t="n">
        <f aca="false">IFERROR(INDEX(Lu_Q,MATCH(A45,Lu_t,0),$C$4),0)</f>
        <v>18</v>
      </c>
      <c r="C45" s="40" t="n">
        <f aca="false">(B44+B45)/2</f>
        <v>21</v>
      </c>
      <c r="D45" s="40" t="n">
        <f aca="false">L44</f>
        <v>17342.6652127365</v>
      </c>
      <c r="E45" s="40" t="n">
        <f aca="false">J44</f>
        <v>249.424023479897</v>
      </c>
      <c r="F45" s="40" t="n">
        <f aca="false">D45+C45-E45</f>
        <v>17114.2411892566</v>
      </c>
      <c r="G45" s="41" t="n">
        <f aca="false">INDEX(QH_Z,MATCH(F45,INDEX(QH_f,0,$F$4),1))+(F45-INDEX(QH_f,MATCH(F45,INDEX(QH_f,0,$F$4),1),$F$4))*(INDEX(QH_Z,MATCH(F45,INDEX(QH_f,0,$F$4),1)+1)-INDEX(QH_Z,MATCH(F45,INDEX(QH_f,0,$F$4),1)))/(INDEX(QH_f,MATCH(F45,INDEX(QH_f,0,$F$4),1)+1,$F$4)-INDEX(QH_f,MATCH(F45,INDEX(QH_f,0,$F$4),1),$F$4))</f>
        <v>78.1727334477393</v>
      </c>
      <c r="H45" s="42" t="n">
        <f aca="false">TC_s*(1-0.2*(TC_xmb+(TC_n-1)*TC_xmt)*MAX(G45-TC_Z,0)/(TC_n*TC_b))*TC_m*TC_n*TC_b*SQRT(2*g_)*MAX(G45-TC_Z,0)^1.5</f>
        <v>240.102150256897</v>
      </c>
      <c r="I45" s="43" t="n">
        <f aca="false">IF($F$4=2,0,SC_s*(1-0.2*(SC_xmb+(SC_n-1)*SC_xmt)*MAX(G45-SC_Z,0)/(SC_n*SC_b))*SC_m*SC_n*SC_b*SQRT(2*g_)*MAX(G45-SC_Z,0)^1.5)</f>
        <v>0</v>
      </c>
      <c r="J45" s="40" t="n">
        <f aca="false">H45+I45</f>
        <v>240.102150256897</v>
      </c>
      <c r="K45" s="23" t="n">
        <f aca="false">INDEX(QH_V,MATCH(G45,QH_Z,1))+(G45-INDEX(QH_Z,MATCH(G45,QH_Z,1)))*(INDEX(QH_V,MATCH(G45,QH_Z,1)+1)-INDEX(QH_V,MATCH(G45,QH_Z,1)))/(INDEX(QH_Z,MATCH(G45,QH_Z,1)+1)-INDEX(QH_Z,MATCH(G45,QH_Z,1)))</f>
        <v>61.1790843153624</v>
      </c>
      <c r="L45" s="40" t="n">
        <f aca="false">K45*1000000/dt_s+J45/2</f>
        <v>17114.2411627291</v>
      </c>
    </row>
    <row r="46" customFormat="false" ht="15" hidden="false" customHeight="false" outlineLevel="0" collapsed="false">
      <c r="A46" s="14" t="n">
        <v>30</v>
      </c>
      <c r="B46" s="40" t="n">
        <f aca="false">IFERROR(INDEX(Lu_Q,MATCH(A46,Lu_t,0),$C$4),0)</f>
        <v>14</v>
      </c>
      <c r="C46" s="40" t="n">
        <f aca="false">(B45+B46)/2</f>
        <v>16</v>
      </c>
      <c r="D46" s="40" t="n">
        <f aca="false">L45</f>
        <v>17114.2411627291</v>
      </c>
      <c r="E46" s="40" t="n">
        <f aca="false">J45</f>
        <v>240.102150256897</v>
      </c>
      <c r="F46" s="40" t="n">
        <f aca="false">D46+C46-E46</f>
        <v>16890.1390124722</v>
      </c>
      <c r="G46" s="41" t="n">
        <f aca="false">INDEX(QH_Z,MATCH(F46,INDEX(QH_f,0,$F$4),1))+(F46-INDEX(QH_f,MATCH(F46,INDEX(QH_f,0,$F$4),1),$F$4))*(INDEX(QH_Z,MATCH(F46,INDEX(QH_f,0,$F$4),1)+1)-INDEX(QH_Z,MATCH(F46,INDEX(QH_f,0,$F$4),1)))/(INDEX(QH_f,MATCH(F46,INDEX(QH_f,0,$F$4),1)+1,$F$4)-INDEX(QH_f,MATCH(F46,INDEX(QH_f,0,$F$4),1),$F$4))</f>
        <v>78.0736251165326</v>
      </c>
      <c r="H46" s="42" t="n">
        <f aca="false">TC_s*(1-0.2*(TC_xmb+(TC_n-1)*TC_xmt)*MAX(G46-TC_Z,0)/(TC_n*TC_b))*TC_m*TC_n*TC_b*SQRT(2*g_)*MAX(G46-TC_Z,0)^1.5</f>
        <v>230.950151992227</v>
      </c>
      <c r="I46" s="43" t="n">
        <f aca="false">IF($F$4=2,0,SC_s*(1-0.2*(SC_xmb+(SC_n-1)*SC_xmt)*MAX(G46-SC_Z,0)/(SC_n*SC_b))*SC_m*SC_n*SC_b*SQRT(2*g_)*MAX(G46-SC_Z,0)^1.5)</f>
        <v>0</v>
      </c>
      <c r="J46" s="40" t="n">
        <f aca="false">H46+I46</f>
        <v>230.950151992227</v>
      </c>
      <c r="K46" s="23" t="n">
        <f aca="false">INDEX(QH_V,MATCH(G46,QH_Z,1))+(G46-INDEX(QH_Z,MATCH(G46,QH_Z,1)))*(INDEX(QH_V,MATCH(G46,QH_Z,1)+1)-INDEX(QH_V,MATCH(G46,QH_Z,1)))/(INDEX(QH_Z,MATCH(G46,QH_Z,1)+1)-INDEX(QH_Z,MATCH(G46,QH_Z,1)))</f>
        <v>60.388790051318</v>
      </c>
      <c r="L46" s="40" t="n">
        <f aca="false">K46*1000000/dt_s+J46/2</f>
        <v>16890.13897914</v>
      </c>
    </row>
    <row r="47" customFormat="false" ht="15" hidden="false" customHeight="false" outlineLevel="0" collapsed="false">
      <c r="A47" s="14" t="n">
        <v>31</v>
      </c>
      <c r="B47" s="40" t="n">
        <f aca="false">IFERROR(INDEX(Lu_Q,MATCH(A47,Lu_t,0),$C$4),0)</f>
        <v>11</v>
      </c>
      <c r="C47" s="40" t="n">
        <f aca="false">(B46+B47)/2</f>
        <v>12.5</v>
      </c>
      <c r="D47" s="40" t="n">
        <f aca="false">L46</f>
        <v>16890.13897914</v>
      </c>
      <c r="E47" s="40" t="n">
        <f aca="false">J46</f>
        <v>230.950151992227</v>
      </c>
      <c r="F47" s="40" t="n">
        <f aca="false">D47+C47-E47</f>
        <v>16671.6888271478</v>
      </c>
      <c r="G47" s="41" t="n">
        <f aca="false">INDEX(QH_Z,MATCH(F47,INDEX(QH_f,0,$F$4),1))+(F47-INDEX(QH_f,MATCH(F47,INDEX(QH_f,0,$F$4),1),$F$4))*(INDEX(QH_Z,MATCH(F47,INDEX(QH_f,0,$F$4),1)+1)-INDEX(QH_Z,MATCH(F47,INDEX(QH_f,0,$F$4),1)))/(INDEX(QH_f,MATCH(F47,INDEX(QH_f,0,$F$4),1)+1,$F$4)-INDEX(QH_f,MATCH(F47,INDEX(QH_f,0,$F$4),1),$F$4))</f>
        <v>77.9763949007723</v>
      </c>
      <c r="H47" s="42" t="n">
        <f aca="false">TC_s*(1-0.2*(TC_xmb+(TC_n-1)*TC_xmt)*MAX(G47-TC_Z,0)/(TC_n*TC_b))*TC_m*TC_n*TC_b*SQRT(2*g_)*MAX(G47-TC_Z,0)^1.5</f>
        <v>222.026677111663</v>
      </c>
      <c r="I47" s="43" t="n">
        <f aca="false">IF($F$4=2,0,SC_s*(1-0.2*(SC_xmb+(SC_n-1)*SC_xmt)*MAX(G47-SC_Z,0)/(SC_n*SC_b))*SC_m*SC_n*SC_b*SQRT(2*g_)*MAX(G47-SC_Z,0)^1.5)</f>
        <v>0</v>
      </c>
      <c r="J47" s="40" t="n">
        <f aca="false">H47+I47</f>
        <v>222.026677111663</v>
      </c>
      <c r="K47" s="23" t="n">
        <f aca="false">INDEX(QH_V,MATCH(G47,QH_Z,1))+(G47-INDEX(QH_Z,MATCH(G47,QH_Z,1)))*(INDEX(QH_V,MATCH(G47,QH_Z,1)+1)-INDEX(QH_V,MATCH(G47,QH_Z,1)))/(INDEX(QH_Z,MATCH(G47,QH_Z,1)+1)-INDEX(QH_Z,MATCH(G47,QH_Z,1)))</f>
        <v>59.6184316301242</v>
      </c>
      <c r="L47" s="40" t="n">
        <f aca="false">K47*1000000/dt_s+J47/2</f>
        <v>16671.6887913681</v>
      </c>
    </row>
    <row r="48" customFormat="false" ht="15" hidden="false" customHeight="false" outlineLevel="0" collapsed="false">
      <c r="A48" s="14" t="n">
        <v>32</v>
      </c>
      <c r="B48" s="40" t="n">
        <f aca="false">IFERROR(INDEX(Lu_Q,MATCH(A48,Lu_t,0),$C$4),0)</f>
        <v>9</v>
      </c>
      <c r="C48" s="40" t="n">
        <f aca="false">(B47+B48)/2</f>
        <v>10</v>
      </c>
      <c r="D48" s="40" t="n">
        <f aca="false">L47</f>
        <v>16671.6887913681</v>
      </c>
      <c r="E48" s="40" t="n">
        <f aca="false">J47</f>
        <v>222.026677111663</v>
      </c>
      <c r="F48" s="40" t="n">
        <f aca="false">D48+C48-E48</f>
        <v>16459.6621142565</v>
      </c>
      <c r="G48" s="41" t="n">
        <f aca="false">INDEX(QH_Z,MATCH(F48,INDEX(QH_f,0,$F$4),1))+(F48-INDEX(QH_f,MATCH(F48,INDEX(QH_f,0,$F$4),1),$F$4))*(INDEX(QH_Z,MATCH(F48,INDEX(QH_f,0,$F$4),1)+1)-INDEX(QH_Z,MATCH(F48,INDEX(QH_f,0,$F$4),1)))/(INDEX(QH_f,MATCH(F48,INDEX(QH_f,0,$F$4),1)+1,$F$4)-INDEX(QH_f,MATCH(F48,INDEX(QH_f,0,$F$4),1),$F$4))</f>
        <v>77.8814327758549</v>
      </c>
      <c r="H48" s="42" t="n">
        <f aca="false">TC_s*(1-0.2*(TC_xmb+(TC_n-1)*TC_xmt)*MAX(G48-TC_Z,0)/(TC_n*TC_b))*TC_m*TC_n*TC_b*SQRT(2*g_)*MAX(G48-TC_Z,0)^1.5</f>
        <v>213.36795189217</v>
      </c>
      <c r="I48" s="43" t="n">
        <f aca="false">IF($F$4=2,0,SC_s*(1-0.2*(SC_xmb+(SC_n-1)*SC_xmt)*MAX(G48-SC_Z,0)/(SC_n*SC_b))*SC_m*SC_n*SC_b*SQRT(2*g_)*MAX(G48-SC_Z,0)^1.5)</f>
        <v>0</v>
      </c>
      <c r="J48" s="40" t="n">
        <f aca="false">H48+I48</f>
        <v>213.36795189217</v>
      </c>
      <c r="K48" s="23" t="n">
        <f aca="false">INDEX(QH_V,MATCH(G48,QH_Z,1))+(G48-INDEX(QH_Z,MATCH(G48,QH_Z,1)))*(INDEX(QH_V,MATCH(G48,QH_Z,1)+1)-INDEX(QH_V,MATCH(G48,QH_Z,1)))/(INDEX(QH_Z,MATCH(G48,QH_Z,1)+1)-INDEX(QH_Z,MATCH(G48,QH_Z,1)))</f>
        <v>58.8707212247081</v>
      </c>
      <c r="L48" s="40" t="n">
        <f aca="false">K48*1000000/dt_s+J48/2</f>
        <v>16459.6620939205</v>
      </c>
    </row>
    <row r="49" customFormat="false" ht="15" hidden="false" customHeight="false" outlineLevel="0" collapsed="false">
      <c r="A49" s="14" t="n">
        <v>33</v>
      </c>
      <c r="B49" s="40" t="n">
        <f aca="false">IFERROR(INDEX(Lu_Q,MATCH(A49,Lu_t,0),$C$4),0)</f>
        <v>7</v>
      </c>
      <c r="C49" s="40" t="n">
        <f aca="false">(B48+B49)/2</f>
        <v>8</v>
      </c>
      <c r="D49" s="40" t="n">
        <f aca="false">L48</f>
        <v>16459.6620939205</v>
      </c>
      <c r="E49" s="40" t="n">
        <f aca="false">J48</f>
        <v>213.36795189217</v>
      </c>
      <c r="F49" s="40" t="n">
        <f aca="false">D49+C49-E49</f>
        <v>16254.2941420284</v>
      </c>
      <c r="G49" s="41" t="n">
        <f aca="false">INDEX(QH_Z,MATCH(F49,INDEX(QH_f,0,$F$4),1))+(F49-INDEX(QH_f,MATCH(F49,INDEX(QH_f,0,$F$4),1),$F$4))*(INDEX(QH_Z,MATCH(F49,INDEX(QH_f,0,$F$4),1)+1)-INDEX(QH_Z,MATCH(F49,INDEX(QH_f,0,$F$4),1)))/(INDEX(QH_f,MATCH(F49,INDEX(QH_f,0,$F$4),1)+1,$F$4)-INDEX(QH_f,MATCH(F49,INDEX(QH_f,0,$F$4),1),$F$4))</f>
        <v>77.7888893002933</v>
      </c>
      <c r="H49" s="42" t="n">
        <f aca="false">TC_s*(1-0.2*(TC_xmb+(TC_n-1)*TC_xmt)*MAX(G49-TC_Z,0)/(TC_n*TC_b))*TC_m*TC_n*TC_b*SQRT(2*g_)*MAX(G49-TC_Z,0)^1.5</f>
        <v>204.98733043298</v>
      </c>
      <c r="I49" s="43" t="n">
        <f aca="false">IF($F$4=2,0,SC_s*(1-0.2*(SC_xmb+(SC_n-1)*SC_xmt)*MAX(G49-SC_Z,0)/(SC_n*SC_b))*SC_m*SC_n*SC_b*SQRT(2*g_)*MAX(G49-SC_Z,0)^1.5)</f>
        <v>0</v>
      </c>
      <c r="J49" s="40" t="n">
        <f aca="false">H49+I49</f>
        <v>204.98733043298</v>
      </c>
      <c r="K49" s="23" t="n">
        <f aca="false">INDEX(QH_V,MATCH(G49,QH_Z,1))+(G49-INDEX(QH_Z,MATCH(G49,QH_Z,1)))*(INDEX(QH_V,MATCH(G49,QH_Z,1)+1)-INDEX(QH_V,MATCH(G49,QH_Z,1)))/(INDEX(QH_Z,MATCH(G49,QH_Z,1)+1)-INDEX(QH_Z,MATCH(G49,QH_Z,1)))</f>
        <v>58.1464816535431</v>
      </c>
      <c r="L49" s="40" t="n">
        <f aca="false">K49*1000000/dt_s+J49/2</f>
        <v>16254.294124534</v>
      </c>
    </row>
    <row r="50" customFormat="false" ht="15" hidden="false" customHeight="false" outlineLevel="0" collapsed="false">
      <c r="A50" s="14" t="n">
        <v>34</v>
      </c>
      <c r="B50" s="40" t="n">
        <f aca="false">IFERROR(INDEX(Lu_Q,MATCH(A50,Lu_t,0),$C$4),0)</f>
        <v>5</v>
      </c>
      <c r="C50" s="40" t="n">
        <f aca="false">(B49+B50)/2</f>
        <v>6</v>
      </c>
      <c r="D50" s="40" t="n">
        <f aca="false">L49</f>
        <v>16254.294124534</v>
      </c>
      <c r="E50" s="40" t="n">
        <f aca="false">J49</f>
        <v>204.98733043298</v>
      </c>
      <c r="F50" s="40" t="n">
        <f aca="false">D50+C50-E50</f>
        <v>16055.306794101</v>
      </c>
      <c r="G50" s="41" t="n">
        <f aca="false">INDEX(QH_Z,MATCH(F50,INDEX(QH_f,0,$F$4),1))+(F50-INDEX(QH_f,MATCH(F50,INDEX(QH_f,0,$F$4),1),$F$4))*(INDEX(QH_Z,MATCH(F50,INDEX(QH_f,0,$F$4),1)+1)-INDEX(QH_Z,MATCH(F50,INDEX(QH_f,0,$F$4),1)))/(INDEX(QH_f,MATCH(F50,INDEX(QH_f,0,$F$4),1)+1,$F$4)-INDEX(QH_f,MATCH(F50,INDEX(QH_f,0,$F$4),1),$F$4))</f>
        <v>77.6986816116405</v>
      </c>
      <c r="H50" s="42" t="n">
        <f aca="false">TC_s*(1-0.2*(TC_xmb+(TC_n-1)*TC_xmt)*MAX(G50-TC_Z,0)/(TC_n*TC_b))*TC_m*TC_n*TC_b*SQRT(2*g_)*MAX(G50-TC_Z,0)^1.5</f>
        <v>196.876532129958</v>
      </c>
      <c r="I50" s="43" t="n">
        <f aca="false">IF($F$4=2,0,SC_s*(1-0.2*(SC_xmb+(SC_n-1)*SC_xmt)*MAX(G50-SC_Z,0)/(SC_n*SC_b))*SC_m*SC_n*SC_b*SQRT(2*g_)*MAX(G50-SC_Z,0)^1.5)</f>
        <v>0</v>
      </c>
      <c r="J50" s="40" t="n">
        <f aca="false">H50+I50</f>
        <v>196.876532129958</v>
      </c>
      <c r="K50" s="23" t="n">
        <f aca="false">INDEX(QH_V,MATCH(G50,QH_Z,1))+(G50-INDEX(QH_Z,MATCH(G50,QH_Z,1)))*(INDEX(QH_V,MATCH(G50,QH_Z,1)+1)-INDEX(QH_V,MATCH(G50,QH_Z,1)))/(INDEX(QH_Z,MATCH(G50,QH_Z,1)+1)-INDEX(QH_Z,MATCH(G50,QH_Z,1)))</f>
        <v>57.4447266233854</v>
      </c>
      <c r="L50" s="40" t="n">
        <f aca="false">K50*1000000/dt_s+J50/2</f>
        <v>16055.3067725609</v>
      </c>
    </row>
    <row r="51" customFormat="false" ht="15" hidden="false" customHeight="false" outlineLevel="0" collapsed="false">
      <c r="A51" s="14" t="n">
        <v>35</v>
      </c>
      <c r="B51" s="40" t="n">
        <f aca="false">IFERROR(INDEX(Lu_Q,MATCH(A51,Lu_t,0),$C$4),0)</f>
        <v>4</v>
      </c>
      <c r="C51" s="40" t="n">
        <f aca="false">(B50+B51)/2</f>
        <v>4.5</v>
      </c>
      <c r="D51" s="40" t="n">
        <f aca="false">L50</f>
        <v>16055.3067725609</v>
      </c>
      <c r="E51" s="40" t="n">
        <f aca="false">J50</f>
        <v>196.876532129958</v>
      </c>
      <c r="F51" s="40" t="n">
        <f aca="false">D51+C51-E51</f>
        <v>15862.930240431</v>
      </c>
      <c r="G51" s="41" t="n">
        <f aca="false">INDEX(QH_Z,MATCH(F51,INDEX(QH_f,0,$F$4),1))+(F51-INDEX(QH_f,MATCH(F51,INDEX(QH_f,0,$F$4),1),$F$4))*(INDEX(QH_Z,MATCH(F51,INDEX(QH_f,0,$F$4),1)+1)-INDEX(QH_Z,MATCH(F51,INDEX(QH_f,0,$F$4),1)))/(INDEX(QH_f,MATCH(F51,INDEX(QH_f,0,$F$4),1)+1,$F$4)-INDEX(QH_f,MATCH(F51,INDEX(QH_f,0,$F$4),1),$F$4))</f>
        <v>77.61095644289</v>
      </c>
      <c r="H51" s="42" t="n">
        <f aca="false">TC_s*(1-0.2*(TC_xmb+(TC_n-1)*TC_xmt)*MAX(G51-TC_Z,0)/(TC_n*TC_b))*TC_m*TC_n*TC_b*SQRT(2*g_)*MAX(G51-TC_Z,0)^1.5</f>
        <v>189.047576670403</v>
      </c>
      <c r="I51" s="43" t="n">
        <f aca="false">IF($F$4=2,0,SC_s*(1-0.2*(SC_xmb+(SC_n-1)*SC_xmt)*MAX(G51-SC_Z,0)/(SC_n*SC_b))*SC_m*SC_n*SC_b*SQRT(2*g_)*MAX(G51-SC_Z,0)^1.5)</f>
        <v>0</v>
      </c>
      <c r="J51" s="40" t="n">
        <f aca="false">H51+I51</f>
        <v>189.047576670403</v>
      </c>
      <c r="K51" s="23" t="n">
        <f aca="false">INDEX(QH_V,MATCH(G51,QH_Z,1))+(G51-INDEX(QH_Z,MATCH(G51,QH_Z,1)))*(INDEX(QH_V,MATCH(G51,QH_Z,1)+1)-INDEX(QH_V,MATCH(G51,QH_Z,1)))/(INDEX(QH_Z,MATCH(G51,QH_Z,1)+1)-INDEX(QH_Z,MATCH(G51,QH_Z,1)))</f>
        <v>56.7662631656983</v>
      </c>
      <c r="L51" s="40" t="n">
        <f aca="false">K51*1000000/dt_s+J51/2</f>
        <v>15862.9302232514</v>
      </c>
    </row>
    <row r="52" customFormat="false" ht="15" hidden="false" customHeight="false" outlineLevel="0" collapsed="false">
      <c r="A52" s="14" t="n">
        <v>36</v>
      </c>
      <c r="B52" s="40" t="n">
        <f aca="false">IFERROR(INDEX(Lu_Q,MATCH(A52,Lu_t,0),$C$4),0)</f>
        <v>3</v>
      </c>
      <c r="C52" s="40" t="n">
        <f aca="false">(B51+B52)/2</f>
        <v>3.5</v>
      </c>
      <c r="D52" s="40" t="n">
        <f aca="false">L51</f>
        <v>15862.9302232514</v>
      </c>
      <c r="E52" s="40" t="n">
        <f aca="false">J51</f>
        <v>189.047576670403</v>
      </c>
      <c r="F52" s="40" t="n">
        <f aca="false">D52+C52-E52</f>
        <v>15677.382646581</v>
      </c>
      <c r="G52" s="41" t="n">
        <f aca="false">INDEX(QH_Z,MATCH(F52,INDEX(QH_f,0,$F$4),1))+(F52-INDEX(QH_f,MATCH(F52,INDEX(QH_f,0,$F$4),1),$F$4))*(INDEX(QH_Z,MATCH(F52,INDEX(QH_f,0,$F$4),1)+1)-INDEX(QH_Z,MATCH(F52,INDEX(QH_f,0,$F$4),1)))/(INDEX(QH_f,MATCH(F52,INDEX(QH_f,0,$F$4),1)+1,$F$4)-INDEX(QH_f,MATCH(F52,INDEX(QH_f,0,$F$4),1),$F$4))</f>
        <v>77.5258563253068</v>
      </c>
      <c r="H52" s="42" t="n">
        <f aca="false">TC_s*(1-0.2*(TC_xmb+(TC_n-1)*TC_xmt)*MAX(G52-TC_Z,0)/(TC_n*TC_b))*TC_m*TC_n*TC_b*SQRT(2*g_)*MAX(G52-TC_Z,0)^1.5</f>
        <v>181.511392075553</v>
      </c>
      <c r="I52" s="43" t="n">
        <f aca="false">IF($F$4=2,0,SC_s*(1-0.2*(SC_xmb+(SC_n-1)*SC_xmt)*MAX(G52-SC_Z,0)/(SC_n*SC_b))*SC_m*SC_n*SC_b*SQRT(2*g_)*MAX(G52-SC_Z,0)^1.5)</f>
        <v>0</v>
      </c>
      <c r="J52" s="40" t="n">
        <f aca="false">H52+I52</f>
        <v>181.511392075553</v>
      </c>
      <c r="K52" s="23" t="n">
        <f aca="false">INDEX(QH_V,MATCH(G52,QH_Z,1))+(G52-INDEX(QH_Z,MATCH(G52,QH_Z,1)))*(INDEX(QH_V,MATCH(G52,QH_Z,1)+1)-INDEX(QH_V,MATCH(G52,QH_Z,1)))/(INDEX(QH_Z,MATCH(G52,QH_Z,1)+1)-INDEX(QH_Z,MATCH(G52,QH_Z,1)))</f>
        <v>56.1118568383711</v>
      </c>
      <c r="L52" s="40" t="n">
        <f aca="false">K52*1000000/dt_s+J52/2</f>
        <v>15677.3825955853</v>
      </c>
    </row>
    <row r="53" customFormat="false" ht="15" hidden="false" customHeight="false" outlineLevel="0" collapsed="false">
      <c r="A53" s="14" t="n">
        <v>37</v>
      </c>
      <c r="B53" s="40" t="n">
        <f aca="false">IFERROR(INDEX(Lu_Q,MATCH(A53,Lu_t,0),$C$4),0)</f>
        <v>0</v>
      </c>
      <c r="C53" s="40" t="n">
        <f aca="false">(B52+B53)/2</f>
        <v>1.5</v>
      </c>
      <c r="D53" s="40" t="n">
        <f aca="false">L52</f>
        <v>15677.3825955853</v>
      </c>
      <c r="E53" s="40" t="n">
        <f aca="false">J52</f>
        <v>181.511392075553</v>
      </c>
      <c r="F53" s="40" t="n">
        <f aca="false">D53+C53-E53</f>
        <v>15497.3712035098</v>
      </c>
      <c r="G53" s="41" t="n">
        <f aca="false">INDEX(QH_Z,MATCH(F53,INDEX(QH_f,0,$F$4),1))+(F53-INDEX(QH_f,MATCH(F53,INDEX(QH_f,0,$F$4),1),$F$4))*(INDEX(QH_Z,MATCH(F53,INDEX(QH_f,0,$F$4),1)+1)-INDEX(QH_Z,MATCH(F53,INDEX(QH_f,0,$F$4),1)))/(INDEX(QH_f,MATCH(F53,INDEX(QH_f,0,$F$4),1)+1,$F$4)-INDEX(QH_f,MATCH(F53,INDEX(QH_f,0,$F$4),1),$F$4))</f>
        <v>77.4428290272547</v>
      </c>
      <c r="H53" s="42" t="n">
        <f aca="false">TC_s*(1-0.2*(TC_xmb+(TC_n-1)*TC_xmt)*MAX(G53-TC_Z,0)/(TC_n*TC_b))*TC_m*TC_n*TC_b*SQRT(2*g_)*MAX(G53-TC_Z,0)^1.5</f>
        <v>174.217400972802</v>
      </c>
      <c r="I53" s="43" t="n">
        <f aca="false">IF($F$4=2,0,SC_s*(1-0.2*(SC_xmb+(SC_n-1)*SC_xmt)*MAX(G53-SC_Z,0)/(SC_n*SC_b))*SC_m*SC_n*SC_b*SQRT(2*g_)*MAX(G53-SC_Z,0)^1.5)</f>
        <v>0</v>
      </c>
      <c r="J53" s="40" t="n">
        <f aca="false">H53+I53</f>
        <v>174.217400972802</v>
      </c>
      <c r="K53" s="23" t="n">
        <f aca="false">INDEX(QH_V,MATCH(G53,QH_Z,1))+(G53-INDEX(QH_Z,MATCH(G53,QH_Z,1)))*(INDEX(QH_V,MATCH(G53,QH_Z,1)+1)-INDEX(QH_V,MATCH(G53,QH_Z,1)))/(INDEX(QH_Z,MATCH(G53,QH_Z,1)+1)-INDEX(QH_Z,MATCH(G53,QH_Z,1)))</f>
        <v>55.4769448494199</v>
      </c>
      <c r="L53" s="40" t="n">
        <f aca="false">K53*1000000/dt_s+J53/2</f>
        <v>15497.3711586586</v>
      </c>
    </row>
    <row r="54" customFormat="false" ht="15" hidden="false" customHeight="false" outlineLevel="0" collapsed="false">
      <c r="A54" s="14" t="n">
        <v>38</v>
      </c>
      <c r="B54" s="40" t="n">
        <f aca="false">IFERROR(INDEX(Lu_Q,MATCH(A54,Lu_t,0),$C$4),0)</f>
        <v>0</v>
      </c>
      <c r="C54" s="40" t="n">
        <f aca="false">(B53+B54)/2</f>
        <v>0</v>
      </c>
      <c r="D54" s="40" t="n">
        <f aca="false">L53</f>
        <v>15497.3711586586</v>
      </c>
      <c r="E54" s="40" t="n">
        <f aca="false">J53</f>
        <v>174.217400972802</v>
      </c>
      <c r="F54" s="40" t="n">
        <f aca="false">D54+C54-E54</f>
        <v>15323.1537576858</v>
      </c>
      <c r="G54" s="41" t="n">
        <f aca="false">INDEX(QH_Z,MATCH(F54,INDEX(QH_f,0,$F$4),1))+(F54-INDEX(QH_f,MATCH(F54,INDEX(QH_f,0,$F$4),1),$F$4))*(INDEX(QH_Z,MATCH(F54,INDEX(QH_f,0,$F$4),1)+1)-INDEX(QH_Z,MATCH(F54,INDEX(QH_f,0,$F$4),1)))/(INDEX(QH_f,MATCH(F54,INDEX(QH_f,0,$F$4),1)+1,$F$4)-INDEX(QH_f,MATCH(F54,INDEX(QH_f,0,$F$4),1),$F$4))</f>
        <v>77.3620281396219</v>
      </c>
      <c r="H54" s="42" t="n">
        <f aca="false">TC_s*(1-0.2*(TC_xmb+(TC_n-1)*TC_xmt)*MAX(G54-TC_Z,0)/(TC_n*TC_b))*TC_m*TC_n*TC_b*SQRT(2*g_)*MAX(G54-TC_Z,0)^1.5</f>
        <v>167.177567260978</v>
      </c>
      <c r="I54" s="43" t="n">
        <f aca="false">IF($F$4=2,0,SC_s*(1-0.2*(SC_xmb+(SC_n-1)*SC_xmt)*MAX(G54-SC_Z,0)/(SC_n*SC_b))*SC_m*SC_n*SC_b*SQRT(2*g_)*MAX(G54-SC_Z,0)^1.5)</f>
        <v>0</v>
      </c>
      <c r="J54" s="40" t="n">
        <f aca="false">H54+I54</f>
        <v>167.177567260978</v>
      </c>
      <c r="K54" s="23" t="n">
        <f aca="false">INDEX(QH_V,MATCH(G54,QH_Z,1))+(G54-INDEX(QH_Z,MATCH(G54,QH_Z,1)))*(INDEX(QH_V,MATCH(G54,QH_Z,1)+1)-INDEX(QH_V,MATCH(G54,QH_Z,1)))/(INDEX(QH_Z,MATCH(G54,QH_Z,1)+1)-INDEX(QH_Z,MATCH(G54,QH_Z,1)))</f>
        <v>54.8624337713927</v>
      </c>
      <c r="L54" s="40" t="n">
        <f aca="false">K54*1000000/dt_s+J54/2</f>
        <v>15323.1537201285</v>
      </c>
    </row>
    <row r="55" customFormat="false" ht="15" hidden="false" customHeight="false" outlineLevel="0" collapsed="false">
      <c r="A55" s="14" t="n">
        <v>39</v>
      </c>
      <c r="B55" s="40" t="n">
        <f aca="false">IFERROR(INDEX(Lu_Q,MATCH(A55,Lu_t,0),$C$4),0)</f>
        <v>0</v>
      </c>
      <c r="C55" s="40" t="n">
        <f aca="false">(B54+B55)/2</f>
        <v>0</v>
      </c>
      <c r="D55" s="40" t="n">
        <f aca="false">L54</f>
        <v>15323.1537201285</v>
      </c>
      <c r="E55" s="40" t="n">
        <f aca="false">J54</f>
        <v>167.177567260978</v>
      </c>
      <c r="F55" s="40" t="n">
        <f aca="false">D55+C55-E55</f>
        <v>15155.9761528675</v>
      </c>
      <c r="G55" s="41" t="n">
        <f aca="false">INDEX(QH_Z,MATCH(F55,INDEX(QH_f,0,$F$4),1))+(F55-INDEX(QH_f,MATCH(F55,INDEX(QH_f,0,$F$4),1),$F$4))*(INDEX(QH_Z,MATCH(F55,INDEX(QH_f,0,$F$4),1)+1)-INDEX(QH_Z,MATCH(F55,INDEX(QH_f,0,$F$4),1)))/(INDEX(QH_f,MATCH(F55,INDEX(QH_f,0,$F$4),1)+1,$F$4)-INDEX(QH_f,MATCH(F55,INDEX(QH_f,0,$F$4),1),$F$4))</f>
        <v>77.2840719540365</v>
      </c>
      <c r="H55" s="42" t="n">
        <f aca="false">TC_s*(1-0.2*(TC_xmb+(TC_n-1)*TC_xmt)*MAX(G55-TC_Z,0)/(TC_n*TC_b))*TC_m*TC_n*TC_b*SQRT(2*g_)*MAX(G55-TC_Z,0)^1.5</f>
        <v>160.443122282315</v>
      </c>
      <c r="I55" s="43" t="n">
        <f aca="false">IF($F$4=2,0,SC_s*(1-0.2*(SC_xmb+(SC_n-1)*SC_xmt)*MAX(G55-SC_Z,0)/(SC_n*SC_b))*SC_m*SC_n*SC_b*SQRT(2*g_)*MAX(G55-SC_Z,0)^1.5)</f>
        <v>0</v>
      </c>
      <c r="J55" s="40" t="n">
        <f aca="false">H55+I55</f>
        <v>160.443122282315</v>
      </c>
      <c r="K55" s="23" t="n">
        <f aca="false">INDEX(QH_V,MATCH(G55,QH_Z,1))+(G55-INDEX(QH_Z,MATCH(G55,QH_Z,1)))*(INDEX(QH_V,MATCH(G55,QH_Z,1)+1)-INDEX(QH_V,MATCH(G55,QH_Z,1)))/(INDEX(QH_Z,MATCH(G55,QH_Z,1)+1)-INDEX(QH_Z,MATCH(G55,QH_Z,1)))</f>
        <v>54.2727163183889</v>
      </c>
      <c r="L55" s="40" t="n">
        <f aca="false">K55*1000000/dt_s+J55/2</f>
        <v>15155.976094027</v>
      </c>
    </row>
    <row r="56" customFormat="false" ht="15" hidden="false" customHeight="false" outlineLevel="0" collapsed="false">
      <c r="A56" s="14" t="n">
        <v>40</v>
      </c>
      <c r="B56" s="40" t="n">
        <f aca="false">IFERROR(INDEX(Lu_Q,MATCH(A56,Lu_t,0),$C$4),0)</f>
        <v>0</v>
      </c>
      <c r="C56" s="40" t="n">
        <f aca="false">(B55+B56)/2</f>
        <v>0</v>
      </c>
      <c r="D56" s="40" t="n">
        <f aca="false">L55</f>
        <v>15155.976094027</v>
      </c>
      <c r="E56" s="40" t="n">
        <f aca="false">J55</f>
        <v>160.443122282315</v>
      </c>
      <c r="F56" s="40" t="n">
        <f aca="false">D56+C56-E56</f>
        <v>14995.5329717447</v>
      </c>
      <c r="G56" s="41" t="n">
        <f aca="false">INDEX(QH_Z,MATCH(F56,INDEX(QH_f,0,$F$4),1))+(F56-INDEX(QH_f,MATCH(F56,INDEX(QH_f,0,$F$4),1),$F$4))*(INDEX(QH_Z,MATCH(F56,INDEX(QH_f,0,$F$4),1)+1)-INDEX(QH_Z,MATCH(F56,INDEX(QH_f,0,$F$4),1)))/(INDEX(QH_f,MATCH(F56,INDEX(QH_f,0,$F$4),1)+1,$F$4)-INDEX(QH_f,MATCH(F56,INDEX(QH_f,0,$F$4),1),$F$4))</f>
        <v>77.2088632467926</v>
      </c>
      <c r="H56" s="42" t="n">
        <f aca="false">TC_s*(1-0.2*(TC_xmb+(TC_n-1)*TC_xmt)*MAX(G56-TC_Z,0)/(TC_n*TC_b))*TC_m*TC_n*TC_b*SQRT(2*g_)*MAX(G56-TC_Z,0)^1.5</f>
        <v>154.002181605305</v>
      </c>
      <c r="I56" s="43" t="n">
        <f aca="false">IF($F$4=2,0,SC_s*(1-0.2*(SC_xmb+(SC_n-1)*SC_xmt)*MAX(G56-SC_Z,0)/(SC_n*SC_b))*SC_m*SC_n*SC_b*SQRT(2*g_)*MAX(G56-SC_Z,0)^1.5)</f>
        <v>0</v>
      </c>
      <c r="J56" s="40" t="n">
        <f aca="false">H56+I56</f>
        <v>154.002181605305</v>
      </c>
      <c r="K56" s="23" t="n">
        <f aca="false">INDEX(QH_V,MATCH(G56,QH_Z,1))+(G56-INDEX(QH_Z,MATCH(G56,QH_Z,1)))*(INDEX(QH_V,MATCH(G56,QH_Z,1)+1)-INDEX(QH_V,MATCH(G56,QH_Z,1)))/(INDEX(QH_Z,MATCH(G56,QH_Z,1)+1)-INDEX(QH_Z,MATCH(G56,QH_Z,1)))</f>
        <v>53.7067146787176</v>
      </c>
      <c r="L56" s="40" t="n">
        <f aca="false">K56*1000000/dt_s+J56/2</f>
        <v>14995.532946002</v>
      </c>
    </row>
    <row r="57" customFormat="false" ht="15" hidden="false" customHeight="false" outlineLevel="0" collapsed="false">
      <c r="A57" s="14" t="n">
        <v>41</v>
      </c>
      <c r="B57" s="40" t="n">
        <f aca="false">IFERROR(INDEX(Lu_Q,MATCH(A57,Lu_t,0),$C$4),0)</f>
        <v>0</v>
      </c>
      <c r="C57" s="40" t="n">
        <f aca="false">(B56+B57)/2</f>
        <v>0</v>
      </c>
      <c r="D57" s="40" t="n">
        <f aca="false">L56</f>
        <v>14995.532946002</v>
      </c>
      <c r="E57" s="40" t="n">
        <f aca="false">J56</f>
        <v>154.002181605305</v>
      </c>
      <c r="F57" s="40" t="n">
        <f aca="false">D57+C57-E57</f>
        <v>14841.5307643967</v>
      </c>
      <c r="G57" s="41" t="n">
        <f aca="false">INDEX(QH_Z,MATCH(F57,INDEX(QH_f,0,$F$4),1))+(F57-INDEX(QH_f,MATCH(F57,INDEX(QH_f,0,$F$4),1),$F$4))*(INDEX(QH_Z,MATCH(F57,INDEX(QH_f,0,$F$4),1)+1)-INDEX(QH_Z,MATCH(F57,INDEX(QH_f,0,$F$4),1)))/(INDEX(QH_f,MATCH(F57,INDEX(QH_f,0,$F$4),1)+1,$F$4)-INDEX(QH_f,MATCH(F57,INDEX(QH_f,0,$F$4),1),$F$4))</f>
        <v>77.1363040407173</v>
      </c>
      <c r="H57" s="42" t="n">
        <f aca="false">TC_s*(1-0.2*(TC_xmb+(TC_n-1)*TC_xmt)*MAX(G57-TC_Z,0)/(TC_n*TC_b))*TC_m*TC_n*TC_b*SQRT(2*g_)*MAX(G57-TC_Z,0)^1.5</f>
        <v>147.842829884178</v>
      </c>
      <c r="I57" s="43" t="n">
        <f aca="false">IF($F$4=2,0,SC_s*(1-0.2*(SC_xmb+(SC_n-1)*SC_xmt)*MAX(G57-SC_Z,0)/(SC_n*SC_b))*SC_m*SC_n*SC_b*SQRT(2*g_)*MAX(G57-SC_Z,0)^1.5)</f>
        <v>0</v>
      </c>
      <c r="J57" s="40" t="n">
        <f aca="false">H57+I57</f>
        <v>147.842829884178</v>
      </c>
      <c r="K57" s="23" t="n">
        <f aca="false">INDEX(QH_V,MATCH(G57,QH_Z,1))+(G57-INDEX(QH_Z,MATCH(G57,QH_Z,1)))*(INDEX(QH_V,MATCH(G57,QH_Z,1)+1)-INDEX(QH_V,MATCH(G57,QH_Z,1)))/(INDEX(QH_Z,MATCH(G57,QH_Z,1)+1)-INDEX(QH_Z,MATCH(G57,QH_Z,1)))</f>
        <v>53.1633934345112</v>
      </c>
      <c r="L57" s="40" t="n">
        <f aca="false">K57*1000000/dt_s+J57/2</f>
        <v>14841.5307023063</v>
      </c>
    </row>
    <row r="58" customFormat="false" ht="15" hidden="false" customHeight="false" outlineLevel="0" collapsed="false">
      <c r="A58" s="14" t="n">
        <v>42</v>
      </c>
      <c r="B58" s="40" t="n">
        <f aca="false">IFERROR(INDEX(Lu_Q,MATCH(A58,Lu_t,0),$C$4),0)</f>
        <v>0</v>
      </c>
      <c r="C58" s="40" t="n">
        <f aca="false">(B57+B58)/2</f>
        <v>0</v>
      </c>
      <c r="D58" s="40" t="n">
        <f aca="false">L57</f>
        <v>14841.5307023063</v>
      </c>
      <c r="E58" s="40" t="n">
        <f aca="false">J57</f>
        <v>147.842829884178</v>
      </c>
      <c r="F58" s="40" t="n">
        <f aca="false">D58+C58-E58</f>
        <v>14693.6878724221</v>
      </c>
      <c r="G58" s="41" t="n">
        <f aca="false">INDEX(QH_Z,MATCH(F58,INDEX(QH_f,0,$F$4),1))+(F58-INDEX(QH_f,MATCH(F58,INDEX(QH_f,0,$F$4),1),$F$4))*(INDEX(QH_Z,MATCH(F58,INDEX(QH_f,0,$F$4),1)+1)-INDEX(QH_Z,MATCH(F58,INDEX(QH_f,0,$F$4),1)))/(INDEX(QH_f,MATCH(F58,INDEX(QH_f,0,$F$4),1)+1,$F$4)-INDEX(QH_f,MATCH(F58,INDEX(QH_f,0,$F$4),1),$F$4))</f>
        <v>77.0663017039195</v>
      </c>
      <c r="H58" s="42" t="n">
        <f aca="false">TC_s*(1-0.2*(TC_xmb+(TC_n-1)*TC_xmt)*MAX(G58-TC_Z,0)/(TC_n*TC_b))*TC_m*TC_n*TC_b*SQRT(2*g_)*MAX(G58-TC_Z,0)^1.5</f>
        <v>141.953665125369</v>
      </c>
      <c r="I58" s="43" t="n">
        <f aca="false">IF($F$4=2,0,SC_s*(1-0.2*(SC_xmb+(SC_n-1)*SC_xmt)*MAX(G58-SC_Z,0)/(SC_n*SC_b))*SC_m*SC_n*SC_b*SQRT(2*g_)*MAX(G58-SC_Z,0)^1.5)</f>
        <v>0</v>
      </c>
      <c r="J58" s="40" t="n">
        <f aca="false">H58+I58</f>
        <v>141.953665125369</v>
      </c>
      <c r="K58" s="23" t="n">
        <f aca="false">INDEX(QH_V,MATCH(G58,QH_Z,1))+(G58-INDEX(QH_Z,MATCH(G58,QH_Z,1)))*(INDEX(QH_V,MATCH(G58,QH_Z,1)+1)-INDEX(QH_V,MATCH(G58,QH_Z,1)))/(INDEX(QH_Z,MATCH(G58,QH_Z,1)+1)-INDEX(QH_Z,MATCH(G58,QH_Z,1)))</f>
        <v>52.6417595104894</v>
      </c>
      <c r="L58" s="40" t="n">
        <f aca="false">K58*1000000/dt_s+J58/2</f>
        <v>14693.6878076986</v>
      </c>
    </row>
    <row r="59" customFormat="false" ht="15" hidden="false" customHeight="false" outlineLevel="0" collapsed="false">
      <c r="A59" s="14" t="n">
        <v>43</v>
      </c>
      <c r="B59" s="40" t="n">
        <f aca="false">IFERROR(INDEX(Lu_Q,MATCH(A59,Lu_t,0),$C$4),0)</f>
        <v>0</v>
      </c>
      <c r="C59" s="40" t="n">
        <f aca="false">(B58+B59)/2</f>
        <v>0</v>
      </c>
      <c r="D59" s="40" t="n">
        <f aca="false">L58</f>
        <v>14693.6878076986</v>
      </c>
      <c r="E59" s="40" t="n">
        <f aca="false">J58</f>
        <v>141.953665125369</v>
      </c>
      <c r="F59" s="40" t="n">
        <f aca="false">D59+C59-E59</f>
        <v>14551.7341425733</v>
      </c>
      <c r="G59" s="41" t="n">
        <f aca="false">INDEX(QH_Z,MATCH(F59,INDEX(QH_f,0,$F$4),1))+(F59-INDEX(QH_f,MATCH(F59,INDEX(QH_f,0,$F$4),1),$F$4))*(INDEX(QH_Z,MATCH(F59,INDEX(QH_f,0,$F$4),1)+1)-INDEX(QH_Z,MATCH(F59,INDEX(QH_f,0,$F$4),1)))/(INDEX(QH_f,MATCH(F59,INDEX(QH_f,0,$F$4),1)+1,$F$4)-INDEX(QH_f,MATCH(F59,INDEX(QH_f,0,$F$4),1),$F$4))</f>
        <v>76.9987645299475</v>
      </c>
      <c r="H59" s="42" t="n">
        <f aca="false">TC_s*(1-0.2*(TC_xmb+(TC_n-1)*TC_xmt)*MAX(G59-TC_Z,0)/(TC_n*TC_b))*TC_m*TC_n*TC_b*SQRT(2*g_)*MAX(G59-TC_Z,0)^1.5</f>
        <v>136.32343902161</v>
      </c>
      <c r="I59" s="43" t="n">
        <f aca="false">IF($F$4=2,0,SC_s*(1-0.2*(SC_xmb+(SC_n-1)*SC_xmt)*MAX(G59-SC_Z,0)/(SC_n*SC_b))*SC_m*SC_n*SC_b*SQRT(2*g_)*MAX(G59-SC_Z,0)^1.5)</f>
        <v>0</v>
      </c>
      <c r="J59" s="40" t="n">
        <f aca="false">H59+I59</f>
        <v>136.32343902161</v>
      </c>
      <c r="K59" s="23" t="n">
        <f aca="false">INDEX(QH_V,MATCH(G59,QH_Z,1))+(G59-INDEX(QH_Z,MATCH(G59,QH_Z,1)))*(INDEX(QH_V,MATCH(G59,QH_Z,1)+1)-INDEX(QH_V,MATCH(G59,QH_Z,1)))/(INDEX(QH_Z,MATCH(G59,QH_Z,1)+1)-INDEX(QH_Z,MATCH(G59,QH_Z,1)))</f>
        <v>52.1408606102867</v>
      </c>
      <c r="L59" s="40" t="n">
        <f aca="false">K59*1000000/dt_s+J59/2</f>
        <v>14551.7341112571</v>
      </c>
    </row>
    <row r="60" customFormat="false" ht="15" hidden="false" customHeight="false" outlineLevel="0" collapsed="false">
      <c r="A60" s="14" t="n">
        <v>44</v>
      </c>
      <c r="B60" s="40" t="n">
        <f aca="false">IFERROR(INDEX(Lu_Q,MATCH(A60,Lu_t,0),$C$4),0)</f>
        <v>0</v>
      </c>
      <c r="C60" s="40" t="n">
        <f aca="false">(B59+B60)/2</f>
        <v>0</v>
      </c>
      <c r="D60" s="40" t="n">
        <f aca="false">L59</f>
        <v>14551.7341112571</v>
      </c>
      <c r="E60" s="40" t="n">
        <f aca="false">J59</f>
        <v>136.32343902161</v>
      </c>
      <c r="F60" s="40" t="n">
        <f aca="false">D60+C60-E60</f>
        <v>14415.4106722355</v>
      </c>
      <c r="G60" s="41" t="n">
        <f aca="false">INDEX(QH_Z,MATCH(F60,INDEX(QH_f,0,$F$4),1))+(F60-INDEX(QH_f,MATCH(F60,INDEX(QH_f,0,$F$4),1),$F$4))*(INDEX(QH_Z,MATCH(F60,INDEX(QH_f,0,$F$4),1)+1)-INDEX(QH_Z,MATCH(F60,INDEX(QH_f,0,$F$4),1)))/(INDEX(QH_f,MATCH(F60,INDEX(QH_f,0,$F$4),1)+1,$F$4)-INDEX(QH_f,MATCH(F60,INDEX(QH_f,0,$F$4),1),$F$4))</f>
        <v>76.9336048550839</v>
      </c>
      <c r="H60" s="42" t="n">
        <f aca="false">TC_s*(1-0.2*(TC_xmb+(TC_n-1)*TC_xmt)*MAX(G60-TC_Z,0)/(TC_n*TC_b))*TC_m*TC_n*TC_b*SQRT(2*g_)*MAX(G60-TC_Z,0)^1.5</f>
        <v>130.941334110016</v>
      </c>
      <c r="I60" s="43" t="n">
        <f aca="false">IF($F$4=2,0,SC_s*(1-0.2*(SC_xmb+(SC_n-1)*SC_xmt)*MAX(G60-SC_Z,0)/(SC_n*SC_b))*SC_m*SC_n*SC_b*SQRT(2*g_)*MAX(G60-SC_Z,0)^1.5)</f>
        <v>0</v>
      </c>
      <c r="J60" s="40" t="n">
        <f aca="false">H60+I60</f>
        <v>130.941334110016</v>
      </c>
      <c r="K60" s="23" t="n">
        <f aca="false">INDEX(QH_V,MATCH(G60,QH_Z,1))+(G60-INDEX(QH_Z,MATCH(G60,QH_Z,1)))*(INDEX(QH_V,MATCH(G60,QH_Z,1)+1)-INDEX(QH_V,MATCH(G60,QH_Z,1)))/(INDEX(QH_Z,MATCH(G60,QH_Z,1)+1)-INDEX(QH_Z,MATCH(G60,QH_Z,1)))</f>
        <v>51.6597837698304</v>
      </c>
      <c r="L60" s="40" t="n">
        <f aca="false">K60*1000000/dt_s+J60/2</f>
        <v>14415.410603119</v>
      </c>
    </row>
    <row r="61" customFormat="false" ht="15" hidden="false" customHeight="false" outlineLevel="0" collapsed="false">
      <c r="A61" s="14" t="n">
        <v>45</v>
      </c>
      <c r="B61" s="40" t="n">
        <f aca="false">IFERROR(INDEX(Lu_Q,MATCH(A61,Lu_t,0),$C$4),0)</f>
        <v>0</v>
      </c>
      <c r="C61" s="40" t="n">
        <f aca="false">(B60+B61)/2</f>
        <v>0</v>
      </c>
      <c r="D61" s="40" t="n">
        <f aca="false">L60</f>
        <v>14415.410603119</v>
      </c>
      <c r="E61" s="40" t="n">
        <f aca="false">J60</f>
        <v>130.941334110016</v>
      </c>
      <c r="F61" s="40" t="n">
        <f aca="false">D61+C61-E61</f>
        <v>14284.469269009</v>
      </c>
      <c r="G61" s="41" t="n">
        <f aca="false">INDEX(QH_Z,MATCH(F61,INDEX(QH_f,0,$F$4),1))+(F61-INDEX(QH_f,MATCH(F61,INDEX(QH_f,0,$F$4),1),$F$4))*(INDEX(QH_Z,MATCH(F61,INDEX(QH_f,0,$F$4),1)+1)-INDEX(QH_Z,MATCH(F61,INDEX(QH_f,0,$F$4),1)))/(INDEX(QH_f,MATCH(F61,INDEX(QH_f,0,$F$4),1)+1,$F$4)-INDEX(QH_f,MATCH(F61,INDEX(QH_f,0,$F$4),1),$F$4))</f>
        <v>76.8707399810012</v>
      </c>
      <c r="H61" s="42" t="n">
        <f aca="false">TC_s*(1-0.2*(TC_xmb+(TC_n-1)*TC_xmt)*MAX(G61-TC_Z,0)/(TC_n*TC_b))*TC_m*TC_n*TC_b*SQRT(2*g_)*MAX(G61-TC_Z,0)^1.5</f>
        <v>125.797045116688</v>
      </c>
      <c r="I61" s="43" t="n">
        <f aca="false">IF($F$4=2,0,SC_s*(1-0.2*(SC_xmb+(SC_n-1)*SC_xmt)*MAX(G61-SC_Z,0)/(SC_n*SC_b))*SC_m*SC_n*SC_b*SQRT(2*g_)*MAX(G61-SC_Z,0)^1.5)</f>
        <v>0</v>
      </c>
      <c r="J61" s="40" t="n">
        <f aca="false">H61+I61</f>
        <v>125.797045116688</v>
      </c>
      <c r="K61" s="23" t="n">
        <f aca="false">INDEX(QH_V,MATCH(G61,QH_Z,1))+(G61-INDEX(QH_Z,MATCH(G61,QH_Z,1)))*(INDEX(QH_V,MATCH(G61,QH_Z,1)+1)-INDEX(QH_V,MATCH(G61,QH_Z,1)))/(INDEX(QH_Z,MATCH(G61,QH_Z,1)+1)-INDEX(QH_Z,MATCH(G61,QH_Z,1)))</f>
        <v>51.1976546105966</v>
      </c>
      <c r="L61" s="40" t="n">
        <f aca="false">K61*1000000/dt_s+J61/2</f>
        <v>14284.4692477241</v>
      </c>
    </row>
    <row r="62" customFormat="false" ht="15" hidden="false" customHeight="false" outlineLevel="0" collapsed="false">
      <c r="A62" s="14" t="n">
        <v>46</v>
      </c>
      <c r="B62" s="40" t="n">
        <f aca="false">IFERROR(INDEX(Lu_Q,MATCH(A62,Lu_t,0),$C$4),0)</f>
        <v>0</v>
      </c>
      <c r="C62" s="40" t="n">
        <f aca="false">(B61+B62)/2</f>
        <v>0</v>
      </c>
      <c r="D62" s="40" t="n">
        <f aca="false">L61</f>
        <v>14284.4692477241</v>
      </c>
      <c r="E62" s="40" t="n">
        <f aca="false">J61</f>
        <v>125.797045116688</v>
      </c>
      <c r="F62" s="40" t="n">
        <f aca="false">D62+C62-E62</f>
        <v>14158.6722026074</v>
      </c>
      <c r="G62" s="41" t="n">
        <f aca="false">INDEX(QH_Z,MATCH(F62,INDEX(QH_f,0,$F$4),1))+(F62-INDEX(QH_f,MATCH(F62,INDEX(QH_f,0,$F$4),1),$F$4))*(INDEX(QH_Z,MATCH(F62,INDEX(QH_f,0,$F$4),1)+1)-INDEX(QH_Z,MATCH(F62,INDEX(QH_f,0,$F$4),1)))/(INDEX(QH_f,MATCH(F62,INDEX(QH_f,0,$F$4),1)+1,$F$4)-INDEX(QH_f,MATCH(F62,INDEX(QH_f,0,$F$4),1),$F$4))</f>
        <v>76.8100835806255</v>
      </c>
      <c r="H62" s="42" t="n">
        <f aca="false">TC_s*(1-0.2*(TC_xmb+(TC_n-1)*TC_xmt)*MAX(G62-TC_Z,0)/(TC_n*TC_b))*TC_m*TC_n*TC_b*SQRT(2*g_)*MAX(G62-TC_Z,0)^1.5</f>
        <v>120.880085759816</v>
      </c>
      <c r="I62" s="43" t="n">
        <f aca="false">IF($F$4=2,0,SC_s*(1-0.2*(SC_xmb+(SC_n-1)*SC_xmt)*MAX(G62-SC_Z,0)/(SC_n*SC_b))*SC_m*SC_n*SC_b*SQRT(2*g_)*MAX(G62-SC_Z,0)^1.5)</f>
        <v>0</v>
      </c>
      <c r="J62" s="40" t="n">
        <f aca="false">H62+I62</f>
        <v>120.880085759816</v>
      </c>
      <c r="K62" s="23" t="n">
        <f aca="false">INDEX(QH_V,MATCH(G62,QH_Z,1))+(G62-INDEX(QH_Z,MATCH(G62,QH_Z,1)))*(INDEX(QH_V,MATCH(G62,QH_Z,1)+1)-INDEX(QH_V,MATCH(G62,QH_Z,1)))/(INDEX(QH_Z,MATCH(G62,QH_Z,1)+1)-INDEX(QH_Z,MATCH(G62,QH_Z,1)))</f>
        <v>50.7536357654208</v>
      </c>
      <c r="L62" s="40" t="n">
        <f aca="false">K62*1000000/dt_s+J62/2</f>
        <v>14158.6721999412</v>
      </c>
    </row>
    <row r="63" customFormat="false" ht="15" hidden="false" customHeight="false" outlineLevel="0" collapsed="false">
      <c r="A63" s="14" t="n">
        <v>47</v>
      </c>
      <c r="B63" s="40" t="n">
        <f aca="false">IFERROR(INDEX(Lu_Q,MATCH(A63,Lu_t,0),$C$4),0)</f>
        <v>0</v>
      </c>
      <c r="C63" s="40" t="n">
        <f aca="false">(B62+B63)/2</f>
        <v>0</v>
      </c>
      <c r="D63" s="40" t="n">
        <f aca="false">L62</f>
        <v>14158.6721999412</v>
      </c>
      <c r="E63" s="40" t="n">
        <f aca="false">J62</f>
        <v>120.880085759816</v>
      </c>
      <c r="F63" s="40" t="n">
        <f aca="false">D63+C63-E63</f>
        <v>14037.7921141814</v>
      </c>
      <c r="G63" s="41" t="n">
        <f aca="false">INDEX(QH_Z,MATCH(F63,INDEX(QH_f,0,$F$4),1))+(F63-INDEX(QH_f,MATCH(F63,INDEX(QH_f,0,$F$4),1),$F$4))*(INDEX(QH_Z,MATCH(F63,INDEX(QH_f,0,$F$4),1)+1)-INDEX(QH_Z,MATCH(F63,INDEX(QH_f,0,$F$4),1)))/(INDEX(QH_f,MATCH(F63,INDEX(QH_f,0,$F$4),1)+1,$F$4)-INDEX(QH_f,MATCH(F63,INDEX(QH_f,0,$F$4),1),$F$4))</f>
        <v>76.7515529690942</v>
      </c>
      <c r="H63" s="42" t="n">
        <f aca="false">TC_s*(1-0.2*(TC_xmb+(TC_n-1)*TC_xmt)*MAX(G63-TC_Z,0)/(TC_n*TC_b))*TC_m*TC_n*TC_b*SQRT(2*g_)*MAX(G63-TC_Z,0)^1.5</f>
        <v>116.180400678802</v>
      </c>
      <c r="I63" s="43" t="n">
        <f aca="false">IF($F$4=2,0,SC_s*(1-0.2*(SC_xmb+(SC_n-1)*SC_xmt)*MAX(G63-SC_Z,0)/(SC_n*SC_b))*SC_m*SC_n*SC_b*SQRT(2*g_)*MAX(G63-SC_Z,0)^1.5)</f>
        <v>0</v>
      </c>
      <c r="J63" s="40" t="n">
        <f aca="false">H63+I63</f>
        <v>116.180400678802</v>
      </c>
      <c r="K63" s="23" t="n">
        <f aca="false">INDEX(QH_V,MATCH(G63,QH_Z,1))+(G63-INDEX(QH_Z,MATCH(G63,QH_Z,1)))*(INDEX(QH_V,MATCH(G63,QH_Z,1)+1)-INDEX(QH_V,MATCH(G63,QH_Z,1)))/(INDEX(QH_Z,MATCH(G63,QH_Z,1)+1)-INDEX(QH_Z,MATCH(G63,QH_Z,1)))</f>
        <v>50.3269267325828</v>
      </c>
      <c r="L63" s="40" t="n">
        <f aca="false">K63*1000000/dt_s+J63/2</f>
        <v>14037.7920705013</v>
      </c>
    </row>
    <row r="64" customFormat="false" ht="15" hidden="false" customHeight="false" outlineLevel="0" collapsed="false">
      <c r="A64" s="14" t="n">
        <v>48</v>
      </c>
      <c r="B64" s="40" t="n">
        <f aca="false">IFERROR(INDEX(Lu_Q,MATCH(A64,Lu_t,0),$C$4),0)</f>
        <v>0</v>
      </c>
      <c r="C64" s="40" t="n">
        <f aca="false">(B63+B64)/2</f>
        <v>0</v>
      </c>
      <c r="D64" s="40" t="n">
        <f aca="false">L63</f>
        <v>14037.7920705013</v>
      </c>
      <c r="E64" s="40" t="n">
        <f aca="false">J63</f>
        <v>116.180400678802</v>
      </c>
      <c r="F64" s="40" t="n">
        <f aca="false">D64+C64-E64</f>
        <v>13921.6116698225</v>
      </c>
      <c r="G64" s="41" t="n">
        <f aca="false">INDEX(QH_Z,MATCH(F64,INDEX(QH_f,0,$F$4),1))+(F64-INDEX(QH_f,MATCH(F64,INDEX(QH_f,0,$F$4),1),$F$4))*(INDEX(QH_Z,MATCH(F64,INDEX(QH_f,0,$F$4),1)+1)-INDEX(QH_Z,MATCH(F64,INDEX(QH_f,0,$F$4),1)))/(INDEX(QH_f,MATCH(F64,INDEX(QH_f,0,$F$4),1)+1,$F$4)-INDEX(QH_f,MATCH(F64,INDEX(QH_f,0,$F$4),1),$F$4))</f>
        <v>76.6950690107078</v>
      </c>
      <c r="H64" s="42" t="n">
        <f aca="false">TC_s*(1-0.2*(TC_xmb+(TC_n-1)*TC_xmt)*MAX(G64-TC_Z,0)/(TC_n*TC_b))*TC_m*TC_n*TC_b*SQRT(2*g_)*MAX(G64-TC_Z,0)^1.5</f>
        <v>111.688359013236</v>
      </c>
      <c r="I64" s="43" t="n">
        <f aca="false">IF($F$4=2,0,SC_s*(1-0.2*(SC_xmb+(SC_n-1)*SC_xmt)*MAX(G64-SC_Z,0)/(SC_n*SC_b))*SC_m*SC_n*SC_b*SQRT(2*g_)*MAX(G64-SC_Z,0)^1.5)</f>
        <v>0</v>
      </c>
      <c r="J64" s="40" t="n">
        <f aca="false">H64+I64</f>
        <v>111.688359013236</v>
      </c>
      <c r="K64" s="23" t="n">
        <f aca="false">INDEX(QH_V,MATCH(G64,QH_Z,1))+(G64-INDEX(QH_Z,MATCH(G64,QH_Z,1)))*(INDEX(QH_V,MATCH(G64,QH_Z,1)+1)-INDEX(QH_V,MATCH(G64,QH_Z,1)))/(INDEX(QH_Z,MATCH(G64,QH_Z,1)+1)-INDEX(QH_Z,MATCH(G64,QH_Z,1)))</f>
        <v>49.9167626551047</v>
      </c>
      <c r="L64" s="40" t="n">
        <f aca="false">K64*1000000/dt_s+J64/2</f>
        <v>13921.6115837024</v>
      </c>
    </row>
  </sheetData>
  <mergeCells count="12">
    <mergeCell ref="A3:B3"/>
    <mergeCell ref="D3:E3"/>
    <mergeCell ref="F3:G3"/>
    <mergeCell ref="A4:B4"/>
    <mergeCell ref="D4:E4"/>
    <mergeCell ref="A6:E6"/>
    <mergeCell ref="A7:E7"/>
    <mergeCell ref="A8:E8"/>
    <mergeCell ref="A9:E9"/>
    <mergeCell ref="A10:E10"/>
    <mergeCell ref="A11:E11"/>
    <mergeCell ref="A12:E12"/>
  </mergeCells>
  <conditionalFormatting sqref="A16:L64">
    <cfRule type="expression" priority="2" aboveAverage="0" equalAverage="0" bottom="0" percent="0" rank="0" text="" dxfId="0">
      <formula>$G16=MAX($G$16:$G$64)</formula>
    </cfRule>
  </conditionalFormatting>
  <dataValidations count="2">
    <dataValidation allowBlank="false" errorStyle="stop" operator="between" showDropDown="false" showErrorMessage="false" showInputMessage="false" sqref="C3" type="list">
      <formula1>"1,0.2"</formula1>
      <formula2>0</formula2>
    </dataValidation>
    <dataValidation allowBlank="false" errorStyle="stop" operator="between" showDropDown="false" showErrorMessage="false" showInputMessage="false" sqref="F3" type="list">
      <formula1>"Hai tràn,Kẹt van"</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AF7A"/>
    <pageSetUpPr fitToPage="true"/>
  </sheetPr>
  <dimension ref="A1:J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1"/>
    <col collapsed="false" customWidth="true" hidden="false" outlineLevel="0" max="4" min="4" style="0" width="9"/>
    <col collapsed="false" customWidth="true" hidden="false" outlineLevel="0" max="5" min="5" style="0" width="11"/>
    <col collapsed="false" customWidth="true" hidden="false" outlineLevel="0" max="8" min="6" style="0" width="12"/>
    <col collapsed="false" customWidth="true" hidden="false" outlineLevel="0" max="9" min="9" style="0" width="14"/>
    <col collapsed="false" customWidth="true" hidden="false" outlineLevel="0" max="10" min="10" style="0" width="30"/>
  </cols>
  <sheetData>
    <row r="1" customFormat="false" ht="17.35" hidden="false" customHeight="false" outlineLevel="0" collapsed="false">
      <c r="A1" s="6" t="s">
        <v>120</v>
      </c>
    </row>
    <row r="3" customFormat="false" ht="45" hidden="false" customHeight="true" outlineLevel="0" collapsed="false">
      <c r="A3" s="9" t="s">
        <v>121</v>
      </c>
      <c r="B3" s="9" t="s">
        <v>122</v>
      </c>
      <c r="C3" s="9" t="s">
        <v>123</v>
      </c>
      <c r="D3" s="9" t="s">
        <v>69</v>
      </c>
      <c r="E3" s="9" t="s">
        <v>124</v>
      </c>
      <c r="F3" s="9" t="s">
        <v>125</v>
      </c>
      <c r="G3" s="9" t="s">
        <v>126</v>
      </c>
      <c r="H3" s="9" t="s">
        <v>127</v>
      </c>
      <c r="I3" s="9" t="s">
        <v>128</v>
      </c>
      <c r="J3" s="9" t="s">
        <v>129</v>
      </c>
    </row>
    <row r="4" customFormat="false" ht="15" hidden="false" customHeight="false" outlineLevel="0" collapsed="false">
      <c r="A4" s="10" t="s">
        <v>130</v>
      </c>
      <c r="B4" s="12" t="str">
        <f aca="false">P1_HaiTran!C3&amp;" – "&amp;P1_HaiTran!F3</f>
        <v>1 – Hai tràn</v>
      </c>
      <c r="C4" s="21" t="n">
        <f aca="false">P1_HaiTran!F6</f>
        <v>77.6080001550135</v>
      </c>
      <c r="D4" s="44" t="n">
        <f aca="false">P1_HaiTran!F7</f>
        <v>16</v>
      </c>
      <c r="E4" s="45" t="n">
        <f aca="false">P1_HaiTran!F8</f>
        <v>326.753915791357</v>
      </c>
      <c r="F4" s="45" t="n">
        <f aca="false">P1_HaiTran!F9</f>
        <v>188.7847928325</v>
      </c>
      <c r="G4" s="45" t="n">
        <f aca="false">P1_HaiTran!G9</f>
        <v>137.969122958858</v>
      </c>
      <c r="H4" s="46" t="n">
        <f aca="false">P1_HaiTran!F11</f>
        <v>20.3317695949294</v>
      </c>
      <c r="I4" s="22" t="n">
        <v>77.63</v>
      </c>
      <c r="J4" s="13" t="s">
        <v>131</v>
      </c>
    </row>
    <row r="5" customFormat="false" ht="15" hidden="false" customHeight="false" outlineLevel="0" collapsed="false">
      <c r="A5" s="10" t="s">
        <v>132</v>
      </c>
      <c r="B5" s="12" t="str">
        <f aca="false">P1_KetVan!C3&amp;" – "&amp;P1_KetVan!F3</f>
        <v>1 – Kẹt van</v>
      </c>
      <c r="C5" s="21" t="n">
        <f aca="false">P1_KetVan!F6</f>
        <v>78.2049176030153</v>
      </c>
      <c r="D5" s="44" t="n">
        <f aca="false">P1_KetVan!F7</f>
        <v>17</v>
      </c>
      <c r="E5" s="45" t="n">
        <f aca="false">P1_KetVan!F8</f>
        <v>243.085644816096</v>
      </c>
      <c r="F5" s="45" t="n">
        <f aca="false">P1_KetVan!F9</f>
        <v>243.085644816096</v>
      </c>
      <c r="G5" s="45" t="n">
        <f aca="false">P1_KetVan!G9</f>
        <v>0</v>
      </c>
      <c r="H5" s="46" t="n">
        <f aca="false">P1_KetVan!F11</f>
        <v>25.0251224563321</v>
      </c>
      <c r="I5" s="22" t="n">
        <v>78.21</v>
      </c>
      <c r="J5" s="13" t="s">
        <v>133</v>
      </c>
    </row>
    <row r="6" customFormat="false" ht="15" hidden="false" customHeight="false" outlineLevel="0" collapsed="false">
      <c r="A6" s="10" t="s">
        <v>134</v>
      </c>
      <c r="B6" s="12" t="str">
        <f aca="false">P02_HaiTran!C3&amp;" – "&amp;P02_HaiTran!F3</f>
        <v>0.2 – Hai tràn</v>
      </c>
      <c r="C6" s="21" t="n">
        <f aca="false">P02_HaiTran!F6</f>
        <v>78.5144728723692</v>
      </c>
      <c r="D6" s="44" t="n">
        <f aca="false">P02_HaiTran!F7</f>
        <v>15</v>
      </c>
      <c r="E6" s="45" t="n">
        <f aca="false">P02_HaiTran!F8</f>
        <v>434.137837277021</v>
      </c>
      <c r="F6" s="45" t="n">
        <f aca="false">P02_HaiTran!F9</f>
        <v>272.037447771629</v>
      </c>
      <c r="G6" s="45" t="n">
        <f aca="false">P02_HaiTran!G9</f>
        <v>162.100389505393</v>
      </c>
      <c r="H6" s="46" t="n">
        <f aca="false">P02_HaiTran!F11</f>
        <v>27.5316042556606</v>
      </c>
      <c r="I6" s="22" t="n">
        <v>78.54</v>
      </c>
      <c r="J6" s="13" t="s">
        <v>135</v>
      </c>
    </row>
    <row r="7" customFormat="false" ht="15" hidden="false" customHeight="false" outlineLevel="0" collapsed="false">
      <c r="A7" s="10" t="s">
        <v>136</v>
      </c>
      <c r="B7" s="12" t="str">
        <f aca="false">P02_KetVan!C3&amp;" – "&amp;P02_KetVan!F3</f>
        <v>0.2 – Kẹt van</v>
      </c>
      <c r="C7" s="21" t="n">
        <f aca="false">P02_KetVan!F6</f>
        <v>79.1404369065048</v>
      </c>
      <c r="D7" s="44" t="n">
        <f aca="false">P02_KetVan!F7</f>
        <v>17</v>
      </c>
      <c r="E7" s="45" t="n">
        <f aca="false">P02_KetVan!F8</f>
        <v>331.63642902326</v>
      </c>
      <c r="F7" s="45" t="n">
        <f aca="false">P02_KetVan!F9</f>
        <v>331.63642902326</v>
      </c>
      <c r="G7" s="45" t="n">
        <f aca="false">P02_KetVan!G9</f>
        <v>0</v>
      </c>
      <c r="H7" s="46" t="n">
        <f aca="false">P02_KetVan!F11</f>
        <v>32.7540874678453</v>
      </c>
      <c r="I7" s="22" t="n">
        <v>79.14</v>
      </c>
      <c r="J7" s="13" t="s">
        <v>137</v>
      </c>
    </row>
    <row r="9" customFormat="false" ht="15" hidden="false" customHeight="false" outlineLevel="0" collapsed="false">
      <c r="A9" s="7" t="s">
        <v>138</v>
      </c>
    </row>
    <row r="11" customFormat="false" ht="15" hidden="false" customHeight="false" outlineLevel="0" collapsed="false">
      <c r="A11" s="8" t="s">
        <v>139</v>
      </c>
    </row>
    <row r="12" customFormat="false" ht="30" hidden="false" customHeight="true" outlineLevel="0" collapsed="false">
      <c r="A12" s="9" t="s">
        <v>140</v>
      </c>
      <c r="B12" s="9" t="s">
        <v>141</v>
      </c>
      <c r="C12" s="9" t="s">
        <v>142</v>
      </c>
      <c r="D12" s="9"/>
      <c r="E12" s="9"/>
      <c r="F12" s="9" t="s">
        <v>143</v>
      </c>
      <c r="G12" s="9"/>
      <c r="H12" s="9"/>
      <c r="I12" s="9"/>
      <c r="J12" s="9"/>
    </row>
    <row r="13" customFormat="false" ht="15" hidden="false" customHeight="false" outlineLevel="0" collapsed="false">
      <c r="A13" s="10" t="s">
        <v>144</v>
      </c>
      <c r="B13" s="22" t="n">
        <v>78.28</v>
      </c>
      <c r="C13" s="22" t="n">
        <v>79.15</v>
      </c>
      <c r="F13" s="13" t="s">
        <v>145</v>
      </c>
      <c r="G13" s="13"/>
      <c r="H13" s="13"/>
      <c r="I13" s="13"/>
      <c r="J13" s="13"/>
    </row>
    <row r="14" customFormat="false" ht="15" hidden="false" customHeight="false" outlineLevel="0" collapsed="false">
      <c r="A14" s="10" t="s">
        <v>146</v>
      </c>
      <c r="B14" s="22" t="n">
        <v>78.37</v>
      </c>
      <c r="C14" s="22" t="n">
        <v>79.39</v>
      </c>
      <c r="F14" s="13" t="s">
        <v>147</v>
      </c>
      <c r="G14" s="13"/>
      <c r="H14" s="13"/>
      <c r="I14" s="13"/>
      <c r="J14" s="13"/>
    </row>
    <row r="15" customFormat="false" ht="15" hidden="false" customHeight="false" outlineLevel="0" collapsed="false">
      <c r="A15" s="10" t="s">
        <v>148</v>
      </c>
      <c r="B15" s="21" t="n">
        <f aca="false">C5</f>
        <v>78.2049176030153</v>
      </c>
      <c r="C15" s="21" t="n">
        <f aca="false">C7</f>
        <v>79.1404369065048</v>
      </c>
      <c r="F15" s="13" t="s">
        <v>149</v>
      </c>
      <c r="G15" s="13"/>
      <c r="H15" s="13"/>
      <c r="I15" s="13"/>
      <c r="J15" s="13"/>
    </row>
    <row r="16" customFormat="false" ht="15" hidden="false" customHeight="false" outlineLevel="0" collapsed="false">
      <c r="A16" s="10" t="s">
        <v>150</v>
      </c>
      <c r="B16" s="21" t="n">
        <f aca="false">C4</f>
        <v>77.6080001550135</v>
      </c>
      <c r="C16" s="21" t="n">
        <f aca="false">C6</f>
        <v>78.5144728723692</v>
      </c>
      <c r="F16" s="13" t="s">
        <v>151</v>
      </c>
      <c r="G16" s="13"/>
      <c r="H16" s="13"/>
      <c r="I16" s="13"/>
      <c r="J16" s="13"/>
    </row>
    <row r="18" customFormat="false" ht="15" hidden="false" customHeight="false" outlineLevel="0" collapsed="false">
      <c r="A18" s="20" t="s">
        <v>152</v>
      </c>
      <c r="D18" s="21" t="n">
        <f aca="false">C4</f>
        <v>77.6080001550135</v>
      </c>
    </row>
    <row r="19" customFormat="false" ht="15" hidden="false" customHeight="false" outlineLevel="0" collapsed="false">
      <c r="A19" s="20" t="s">
        <v>153</v>
      </c>
      <c r="D19" s="21" t="n">
        <f aca="false">C6</f>
        <v>78.5144728723692</v>
      </c>
    </row>
    <row r="21" customFormat="false" ht="15" hidden="false" customHeight="false" outlineLevel="0" collapsed="false">
      <c r="A21" s="8" t="s">
        <v>154</v>
      </c>
    </row>
    <row r="22" customFormat="false" ht="45" hidden="false" customHeight="true" outlineLevel="0" collapsed="false">
      <c r="A22" s="9" t="s">
        <v>69</v>
      </c>
      <c r="B22" s="9" t="s">
        <v>155</v>
      </c>
      <c r="C22" s="9" t="s">
        <v>156</v>
      </c>
      <c r="D22" s="9" t="s">
        <v>157</v>
      </c>
      <c r="E22" s="9" t="s">
        <v>158</v>
      </c>
      <c r="F22" s="9" t="s">
        <v>159</v>
      </c>
      <c r="G22" s="9" t="s">
        <v>160</v>
      </c>
      <c r="H22" s="9" t="s">
        <v>161</v>
      </c>
    </row>
    <row r="23" customFormat="false" ht="15" hidden="false" customHeight="false" outlineLevel="0" collapsed="false">
      <c r="A23" s="35" t="n">
        <f aca="false">P1_HaiTran!A16</f>
        <v>0</v>
      </c>
      <c r="B23" s="40" t="n">
        <f aca="false">P1_HaiTran!B16</f>
        <v>2</v>
      </c>
      <c r="C23" s="40" t="n">
        <f aca="false">P1_HaiTran!J16</f>
        <v>63.5823321712985</v>
      </c>
      <c r="D23" s="40" t="n">
        <f aca="false">P1_KetVan!J16</f>
        <v>0</v>
      </c>
      <c r="E23" s="47" t="n">
        <f aca="false">P1_HaiTran!G16</f>
        <v>74.7</v>
      </c>
      <c r="F23" s="47" t="n">
        <f aca="false">P1_KetVan!G16</f>
        <v>74.7</v>
      </c>
      <c r="G23" s="47" t="n">
        <f aca="false">P02_HaiTran!G16</f>
        <v>74.7</v>
      </c>
      <c r="H23" s="47" t="n">
        <f aca="false">P02_KetVan!G16</f>
        <v>74.7</v>
      </c>
    </row>
    <row r="24" customFormat="false" ht="15" hidden="false" customHeight="false" outlineLevel="0" collapsed="false">
      <c r="A24" s="35" t="n">
        <f aca="false">P1_HaiTran!A17</f>
        <v>1</v>
      </c>
      <c r="B24" s="40" t="n">
        <f aca="false">P1_HaiTran!B17</f>
        <v>2</v>
      </c>
      <c r="C24" s="40" t="n">
        <f aca="false">P1_HaiTran!J17</f>
        <v>62.7453685852321</v>
      </c>
      <c r="D24" s="40" t="n">
        <f aca="false">P1_KetVan!J17</f>
        <v>0.00167408261279184</v>
      </c>
      <c r="E24" s="47" t="n">
        <f aca="false">P1_HaiTran!G17</f>
        <v>74.6647704075964</v>
      </c>
      <c r="F24" s="47" t="n">
        <f aca="false">P1_KetVan!G17</f>
        <v>74.7011477676436</v>
      </c>
      <c r="G24" s="47" t="n">
        <f aca="false">P02_HaiTran!G17</f>
        <v>74.6659166116332</v>
      </c>
      <c r="H24" s="47" t="n">
        <f aca="false">P02_KetVan!G17</f>
        <v>74.7022955352872</v>
      </c>
    </row>
    <row r="25" customFormat="false" ht="15" hidden="false" customHeight="false" outlineLevel="0" collapsed="false">
      <c r="A25" s="35" t="n">
        <f aca="false">P1_HaiTran!A18</f>
        <v>2</v>
      </c>
      <c r="B25" s="40" t="n">
        <f aca="false">P1_HaiTran!B18</f>
        <v>50</v>
      </c>
      <c r="C25" s="40" t="n">
        <f aca="false">P1_HaiTran!J18</f>
        <v>62.2456236489384</v>
      </c>
      <c r="D25" s="40" t="n">
        <f aca="false">P1_KetVan!J18</f>
        <v>0.0875235445777328</v>
      </c>
      <c r="E25" s="47" t="n">
        <f aca="false">P1_HaiTran!G18</f>
        <v>74.6436876607865</v>
      </c>
      <c r="F25" s="47" t="n">
        <f aca="false">P1_KetVan!G18</f>
        <v>74.7160542940645</v>
      </c>
      <c r="G25" s="47" t="n">
        <f aca="false">P02_HaiTran!G18</f>
        <v>74.655152892359</v>
      </c>
      <c r="H25" s="47" t="n">
        <f aca="false">P02_KetVan!G18</f>
        <v>74.727493096969</v>
      </c>
    </row>
    <row r="26" customFormat="false" ht="15" hidden="false" customHeight="false" outlineLevel="0" collapsed="false">
      <c r="A26" s="35" t="n">
        <f aca="false">P1_HaiTran!A19</f>
        <v>3</v>
      </c>
      <c r="B26" s="40" t="n">
        <f aca="false">P1_HaiTran!B19</f>
        <v>207</v>
      </c>
      <c r="C26" s="40" t="n">
        <f aca="false">P1_HaiTran!J19</f>
        <v>63.1465187411718</v>
      </c>
      <c r="D26" s="40" t="n">
        <f aca="false">P1_KetVan!J19</f>
        <v>1.14235464488194</v>
      </c>
      <c r="E26" s="47" t="n">
        <f aca="false">P1_HaiTran!G19</f>
        <v>74.6816679819369</v>
      </c>
      <c r="F26" s="47" t="n">
        <f aca="false">P1_KetVan!G19</f>
        <v>74.7891702262675</v>
      </c>
      <c r="G26" s="47" t="n">
        <f aca="false">P02_HaiTran!G19</f>
        <v>74.7358923306823</v>
      </c>
      <c r="H26" s="47" t="n">
        <f aca="false">P02_KetVan!G19</f>
        <v>74.8430117091295</v>
      </c>
    </row>
    <row r="27" customFormat="false" ht="15" hidden="false" customHeight="false" outlineLevel="0" collapsed="false">
      <c r="A27" s="35" t="n">
        <f aca="false">P1_HaiTran!A20</f>
        <v>4</v>
      </c>
      <c r="B27" s="40" t="n">
        <f aca="false">P1_HaiTran!B20</f>
        <v>437</v>
      </c>
      <c r="C27" s="40" t="n">
        <f aca="false">P1_HaiTran!J20</f>
        <v>68.6072626238657</v>
      </c>
      <c r="D27" s="40" t="n">
        <f aca="false">P1_KetVan!J20</f>
        <v>5.93790790426564</v>
      </c>
      <c r="E27" s="47" t="n">
        <f aca="false">P1_HaiTran!G20</f>
        <v>74.8280653027006</v>
      </c>
      <c r="F27" s="47" t="n">
        <f aca="false">P1_KetVan!G20</f>
        <v>74.9688610038549</v>
      </c>
      <c r="G27" s="47" t="n">
        <f aca="false">P02_HaiTran!G20</f>
        <v>74.9721071904987</v>
      </c>
      <c r="H27" s="47" t="n">
        <f aca="false">P02_KetVan!G20</f>
        <v>75.112028269559</v>
      </c>
    </row>
    <row r="28" customFormat="false" ht="15" hidden="false" customHeight="false" outlineLevel="0" collapsed="false">
      <c r="A28" s="35" t="n">
        <f aca="false">P1_HaiTran!A21</f>
        <v>5</v>
      </c>
      <c r="B28" s="40" t="n">
        <f aca="false">P1_HaiTran!B21</f>
        <v>657</v>
      </c>
      <c r="C28" s="40" t="n">
        <f aca="false">P1_HaiTran!J21</f>
        <v>83.4306487698896</v>
      </c>
      <c r="D28" s="40" t="n">
        <f aca="false">P1_KetVan!J21</f>
        <v>17.8604218679597</v>
      </c>
      <c r="E28" s="47" t="n">
        <f aca="false">P1_HaiTran!G21</f>
        <v>75.0917551192631</v>
      </c>
      <c r="F28" s="47" t="n">
        <f aca="false">P1_KetVan!G21</f>
        <v>75.2647221279724</v>
      </c>
      <c r="G28" s="47" t="n">
        <f aca="false">P02_HaiTran!G21</f>
        <v>75.3642361757912</v>
      </c>
      <c r="H28" s="47" t="n">
        <f aca="false">P02_KetVan!G21</f>
        <v>75.5370109429266</v>
      </c>
    </row>
    <row r="29" customFormat="false" ht="15" hidden="false" customHeight="false" outlineLevel="0" collapsed="false">
      <c r="A29" s="35" t="n">
        <f aca="false">P1_HaiTran!A22</f>
        <v>6</v>
      </c>
      <c r="B29" s="40" t="n">
        <f aca="false">P1_HaiTran!B22</f>
        <v>816</v>
      </c>
      <c r="C29" s="40" t="n">
        <f aca="false">P1_HaiTran!J22</f>
        <v>108.431824846985</v>
      </c>
      <c r="D29" s="40" t="n">
        <f aca="false">P1_KetVan!J22</f>
        <v>38.2184288414347</v>
      </c>
      <c r="E29" s="47" t="n">
        <f aca="false">P1_HaiTran!G22</f>
        <v>75.4423510989097</v>
      </c>
      <c r="F29" s="47" t="n">
        <f aca="false">P1_KetVan!G22</f>
        <v>75.6476326666395</v>
      </c>
      <c r="G29" s="47" t="n">
        <f aca="false">P02_HaiTran!G22</f>
        <v>75.8601476389885</v>
      </c>
      <c r="H29" s="47" t="n">
        <f aca="false">P02_KetVan!G22</f>
        <v>76.0662378692069</v>
      </c>
    </row>
    <row r="30" customFormat="false" ht="15" hidden="false" customHeight="false" outlineLevel="0" collapsed="false">
      <c r="A30" s="35" t="n">
        <f aca="false">P1_HaiTran!A23</f>
        <v>7</v>
      </c>
      <c r="B30" s="40" t="n">
        <f aca="false">P1_HaiTran!B23</f>
        <v>898</v>
      </c>
      <c r="C30" s="40" t="n">
        <f aca="false">P1_HaiTran!J23</f>
        <v>141.177116671602</v>
      </c>
      <c r="D30" s="40" t="n">
        <f aca="false">P1_KetVan!J23</f>
        <v>65.3774026773091</v>
      </c>
      <c r="E30" s="47" t="n">
        <f aca="false">P1_HaiTran!G23</f>
        <v>75.833396000452</v>
      </c>
      <c r="F30" s="47" t="n">
        <f aca="false">P1_KetVan!G23</f>
        <v>76.0715117044191</v>
      </c>
      <c r="G30" s="47" t="n">
        <f aca="false">P02_HaiTran!G23</f>
        <v>76.3903659196594</v>
      </c>
      <c r="H30" s="47" t="n">
        <f aca="false">P02_KetVan!G23</f>
        <v>76.6304442694054</v>
      </c>
    </row>
    <row r="31" customFormat="false" ht="15" hidden="false" customHeight="false" outlineLevel="0" collapsed="false">
      <c r="A31" s="35" t="n">
        <f aca="false">P1_HaiTran!A24</f>
        <v>8</v>
      </c>
      <c r="B31" s="40" t="n">
        <f aca="false">P1_HaiTran!B24</f>
        <v>914</v>
      </c>
      <c r="C31" s="40" t="n">
        <f aca="false">P1_HaiTran!J24</f>
        <v>177.48865904726</v>
      </c>
      <c r="D31" s="40" t="n">
        <f aca="false">P1_KetVan!J24</f>
        <v>96.0241975914148</v>
      </c>
      <c r="E31" s="47" t="n">
        <f aca="false">P1_HaiTran!G24</f>
        <v>76.2220599181522</v>
      </c>
      <c r="F31" s="47" t="n">
        <f aca="false">P1_KetVan!G24</f>
        <v>76.4934647433621</v>
      </c>
      <c r="G31" s="47" t="n">
        <f aca="false">P02_HaiTran!G24</f>
        <v>76.8972544519853</v>
      </c>
      <c r="H31" s="47" t="n">
        <f aca="false">P02_KetVan!G24</f>
        <v>77.1733921739583</v>
      </c>
    </row>
    <row r="32" customFormat="false" ht="15" hidden="false" customHeight="false" outlineLevel="0" collapsed="false">
      <c r="A32" s="35" t="n">
        <f aca="false">P1_HaiTran!A25</f>
        <v>9</v>
      </c>
      <c r="B32" s="40" t="n">
        <f aca="false">P1_HaiTran!B25</f>
        <v>879</v>
      </c>
      <c r="C32" s="40" t="n">
        <f aca="false">P1_HaiTran!J25</f>
        <v>213.263867270965</v>
      </c>
      <c r="D32" s="40" t="n">
        <f aca="false">P1_KetVan!J25</f>
        <v>126.845346450615</v>
      </c>
      <c r="E32" s="47" t="n">
        <f aca="false">P1_HaiTran!G25</f>
        <v>76.5775638778675</v>
      </c>
      <c r="F32" s="47" t="n">
        <f aca="false">P1_KetVan!G25</f>
        <v>76.8835987494629</v>
      </c>
      <c r="G32" s="47" t="n">
        <f aca="false">P02_HaiTran!G25</f>
        <v>77.3459398003893</v>
      </c>
      <c r="H32" s="47" t="n">
        <f aca="false">P02_KetVan!G25</f>
        <v>77.6603764408665</v>
      </c>
    </row>
    <row r="33" customFormat="false" ht="15" hidden="false" customHeight="false" outlineLevel="0" collapsed="false">
      <c r="A33" s="35" t="n">
        <f aca="false">P1_HaiTran!A26</f>
        <v>10</v>
      </c>
      <c r="B33" s="40" t="n">
        <f aca="false">P1_HaiTran!B26</f>
        <v>812</v>
      </c>
      <c r="C33" s="40" t="n">
        <f aca="false">P1_HaiTran!J26</f>
        <v>245.564547158992</v>
      </c>
      <c r="D33" s="40" t="n">
        <f aca="false">P1_KetVan!J26</f>
        <v>155.37829489135</v>
      </c>
      <c r="E33" s="47" t="n">
        <f aca="false">P1_HaiTran!G26</f>
        <v>76.8828463043875</v>
      </c>
      <c r="F33" s="47" t="n">
        <f aca="false">P1_KetVan!G26</f>
        <v>77.2249873962702</v>
      </c>
      <c r="G33" s="47" t="n">
        <f aca="false">P02_HaiTran!G26</f>
        <v>77.7198156641666</v>
      </c>
      <c r="H33" s="47" t="n">
        <f aca="false">P02_KetVan!G26</f>
        <v>78.0747686681965</v>
      </c>
    </row>
    <row r="34" customFormat="false" ht="15" hidden="false" customHeight="false" outlineLevel="0" collapsed="false">
      <c r="A34" s="35" t="n">
        <f aca="false">P1_HaiTran!A27</f>
        <v>11</v>
      </c>
      <c r="B34" s="40" t="n">
        <f aca="false">P1_HaiTran!B27</f>
        <v>727</v>
      </c>
      <c r="C34" s="40" t="n">
        <f aca="false">P1_HaiTran!J27</f>
        <v>272.718679830476</v>
      </c>
      <c r="D34" s="40" t="n">
        <f aca="false">P1_KetVan!J27</f>
        <v>180.156737085075</v>
      </c>
      <c r="E34" s="47" t="n">
        <f aca="false">P1_HaiTran!G27</f>
        <v>77.1310014381576</v>
      </c>
      <c r="F34" s="47" t="n">
        <f aca="false">P1_KetVan!G27</f>
        <v>77.5104870956193</v>
      </c>
      <c r="G34" s="47" t="n">
        <f aca="false">P02_HaiTran!G27</f>
        <v>78.0147426889025</v>
      </c>
      <c r="H34" s="47" t="n">
        <f aca="false">P02_KetVan!G27</f>
        <v>78.4119750077644</v>
      </c>
    </row>
    <row r="35" customFormat="false" ht="15" hidden="false" customHeight="false" outlineLevel="0" collapsed="false">
      <c r="A35" s="35" t="n">
        <f aca="false">P1_HaiTran!A28</f>
        <v>12</v>
      </c>
      <c r="B35" s="40" t="n">
        <f aca="false">P1_HaiTran!B28</f>
        <v>636</v>
      </c>
      <c r="C35" s="40" t="n">
        <f aca="false">P1_HaiTran!J28</f>
        <v>294.057069131688</v>
      </c>
      <c r="D35" s="40" t="n">
        <f aca="false">P1_KetVan!J28</f>
        <v>200.544403968357</v>
      </c>
      <c r="E35" s="47" t="n">
        <f aca="false">P1_HaiTran!G28</f>
        <v>77.3217024905478</v>
      </c>
      <c r="F35" s="47" t="n">
        <f aca="false">P1_KetVan!G28</f>
        <v>77.7395572726729</v>
      </c>
      <c r="G35" s="47" t="n">
        <f aca="false">P02_HaiTran!G28</f>
        <v>78.233750446094</v>
      </c>
      <c r="H35" s="47" t="n">
        <f aca="false">P02_KetVan!G28</f>
        <v>78.6746245331413</v>
      </c>
    </row>
    <row r="36" customFormat="false" ht="15" hidden="false" customHeight="false" outlineLevel="0" collapsed="false">
      <c r="A36" s="35" t="n">
        <f aca="false">P1_HaiTran!A29</f>
        <v>13</v>
      </c>
      <c r="B36" s="40" t="n">
        <f aca="false">P1_HaiTran!B29</f>
        <v>547</v>
      </c>
      <c r="C36" s="40" t="n">
        <f aca="false">P1_HaiTran!J29</f>
        <v>309.636223514908</v>
      </c>
      <c r="D36" s="40" t="n">
        <f aca="false">P1_KetVan!J29</f>
        <v>216.496387037317</v>
      </c>
      <c r="E36" s="47" t="n">
        <f aca="false">P1_HaiTran!G29</f>
        <v>77.4589238294808</v>
      </c>
      <c r="F36" s="47" t="n">
        <f aca="false">P1_KetVan!G29</f>
        <v>77.9158165541477</v>
      </c>
      <c r="G36" s="47" t="n">
        <f aca="false">P02_HaiTran!G29</f>
        <v>78.3841148400168</v>
      </c>
      <c r="H36" s="47" t="n">
        <f aca="false">P02_KetVan!G29</f>
        <v>78.8695611044896</v>
      </c>
    </row>
    <row r="37" customFormat="false" ht="15" hidden="false" customHeight="false" outlineLevel="0" collapsed="false">
      <c r="A37" s="35" t="n">
        <f aca="false">P1_HaiTran!A30</f>
        <v>14</v>
      </c>
      <c r="B37" s="40" t="n">
        <f aca="false">P1_HaiTran!B30</f>
        <v>461</v>
      </c>
      <c r="C37" s="40" t="n">
        <f aca="false">P1_HaiTran!J30</f>
        <v>319.831293555209</v>
      </c>
      <c r="D37" s="40" t="n">
        <f aca="false">P1_KetVan!J30</f>
        <v>228.239737245373</v>
      </c>
      <c r="E37" s="47" t="n">
        <f aca="false">P1_HaiTran!G30</f>
        <v>77.5479116111803</v>
      </c>
      <c r="F37" s="47" t="n">
        <f aca="false">P1_KetVan!G30</f>
        <v>78.044157251998</v>
      </c>
      <c r="G37" s="47" t="n">
        <f aca="false">P02_HaiTran!G30</f>
        <v>78.4746855091373</v>
      </c>
      <c r="H37" s="47" t="n">
        <f aca="false">P02_KetVan!G30</f>
        <v>79.0051626533151</v>
      </c>
    </row>
    <row r="38" customFormat="false" ht="15" hidden="false" customHeight="false" outlineLevel="0" collapsed="false">
      <c r="A38" s="35" t="n">
        <f aca="false">P1_HaiTran!A31</f>
        <v>15</v>
      </c>
      <c r="B38" s="40" t="n">
        <f aca="false">P1_HaiTran!B31</f>
        <v>386</v>
      </c>
      <c r="C38" s="40" t="n">
        <f aca="false">P1_HaiTran!J31</f>
        <v>325.272133182959</v>
      </c>
      <c r="D38" s="40" t="n">
        <f aca="false">P1_KetVan!J31</f>
        <v>236.215120841509</v>
      </c>
      <c r="E38" s="47" t="n">
        <f aca="false">P1_HaiTran!G31</f>
        <v>77.5951601686508</v>
      </c>
      <c r="F38" s="47" t="n">
        <f aca="false">P1_KetVan!G31</f>
        <v>78.130712308665</v>
      </c>
      <c r="G38" s="47" t="n">
        <f aca="false">P02_HaiTran!G31</f>
        <v>78.5144728723692</v>
      </c>
      <c r="H38" s="47" t="n">
        <f aca="false">P02_KetVan!G31</f>
        <v>79.0899266030344</v>
      </c>
    </row>
    <row r="39" customFormat="false" ht="15" hidden="false" customHeight="false" outlineLevel="0" collapsed="false">
      <c r="A39" s="35" t="n">
        <f aca="false">P1_HaiTran!A32</f>
        <v>16</v>
      </c>
      <c r="B39" s="40" t="n">
        <f aca="false">P1_HaiTran!B32</f>
        <v>321</v>
      </c>
      <c r="C39" s="40" t="n">
        <f aca="false">P1_HaiTran!J32</f>
        <v>326.753915791357</v>
      </c>
      <c r="D39" s="40" t="n">
        <f aca="false">P1_KetVan!J32</f>
        <v>241.003979208344</v>
      </c>
      <c r="E39" s="47" t="n">
        <f aca="false">P1_HaiTran!G32</f>
        <v>77.6080001550135</v>
      </c>
      <c r="F39" s="47" t="n">
        <f aca="false">P1_KetVan!G32</f>
        <v>78.1824680743475</v>
      </c>
      <c r="G39" s="47" t="n">
        <f aca="false">P02_HaiTran!G32</f>
        <v>78.5124840977243</v>
      </c>
      <c r="H39" s="47" t="n">
        <f aca="false">P02_KetVan!G32</f>
        <v>79.1325216885189</v>
      </c>
    </row>
    <row r="40" customFormat="false" ht="15" hidden="false" customHeight="false" outlineLevel="0" collapsed="false">
      <c r="A40" s="35" t="n">
        <f aca="false">P1_HaiTran!A33</f>
        <v>17</v>
      </c>
      <c r="B40" s="40" t="n">
        <f aca="false">P1_HaiTran!B33</f>
        <v>263</v>
      </c>
      <c r="C40" s="40" t="n">
        <f aca="false">P1_HaiTran!J33</f>
        <v>324.929604206058</v>
      </c>
      <c r="D40" s="40" t="n">
        <f aca="false">P1_KetVan!J33</f>
        <v>243.085644816096</v>
      </c>
      <c r="E40" s="47" t="n">
        <f aca="false">P1_HaiTran!G33</f>
        <v>77.592190399318</v>
      </c>
      <c r="F40" s="47" t="n">
        <f aca="false">P1_KetVan!G33</f>
        <v>78.2049176030153</v>
      </c>
      <c r="G40" s="47" t="n">
        <f aca="false">P02_HaiTran!G33</f>
        <v>78.4764611783398</v>
      </c>
      <c r="H40" s="47" t="n">
        <f aca="false">P02_KetVan!G33</f>
        <v>79.1404369065048</v>
      </c>
    </row>
    <row r="41" customFormat="false" ht="15" hidden="false" customHeight="false" outlineLevel="0" collapsed="false">
      <c r="A41" s="35" t="n">
        <f aca="false">P1_HaiTran!A34</f>
        <v>18</v>
      </c>
      <c r="B41" s="40" t="n">
        <f aca="false">P1_HaiTran!B34</f>
        <v>214</v>
      </c>
      <c r="C41" s="40" t="n">
        <f aca="false">P1_HaiTran!J34</f>
        <v>320.393447437288</v>
      </c>
      <c r="D41" s="40" t="n">
        <f aca="false">P1_KetVan!J34</f>
        <v>242.898483712976</v>
      </c>
      <c r="E41" s="47" t="n">
        <f aca="false">P1_HaiTran!G34</f>
        <v>77.5528009689552</v>
      </c>
      <c r="F41" s="47" t="n">
        <f aca="false">P1_KetVan!G34</f>
        <v>78.2029003478177</v>
      </c>
      <c r="G41" s="47" t="n">
        <f aca="false">P02_HaiTran!G34</f>
        <v>78.4133415467147</v>
      </c>
      <c r="H41" s="47" t="n">
        <f aca="false">P02_KetVan!G34</f>
        <v>79.120297658592</v>
      </c>
    </row>
    <row r="42" customFormat="false" ht="15" hidden="false" customHeight="false" outlineLevel="0" collapsed="false">
      <c r="A42" s="35" t="n">
        <f aca="false">P1_HaiTran!A35</f>
        <v>19</v>
      </c>
      <c r="B42" s="40" t="n">
        <f aca="false">P1_HaiTran!B35</f>
        <v>174</v>
      </c>
      <c r="C42" s="40" t="n">
        <f aca="false">P1_HaiTran!J35</f>
        <v>313.762298977956</v>
      </c>
      <c r="D42" s="40" t="n">
        <f aca="false">P1_KetVan!J35</f>
        <v>240.902420736627</v>
      </c>
      <c r="E42" s="47" t="n">
        <f aca="false">P1_HaiTran!G35</f>
        <v>77.4950116553818</v>
      </c>
      <c r="F42" s="47" t="n">
        <f aca="false">P1_KetVan!G35</f>
        <v>78.1813720921057</v>
      </c>
      <c r="G42" s="47" t="n">
        <f aca="false">P02_HaiTran!G35</f>
        <v>78.3294208146645</v>
      </c>
      <c r="H42" s="47" t="n">
        <f aca="false">P02_KetVan!G35</f>
        <v>79.0780773480862</v>
      </c>
    </row>
    <row r="43" customFormat="false" ht="15" hidden="false" customHeight="false" outlineLevel="0" collapsed="false">
      <c r="A43" s="35" t="n">
        <f aca="false">P1_HaiTran!A36</f>
        <v>20</v>
      </c>
      <c r="B43" s="40" t="n">
        <f aca="false">P1_HaiTran!B36</f>
        <v>141</v>
      </c>
      <c r="C43" s="40" t="n">
        <f aca="false">P1_HaiTran!J36</f>
        <v>305.569697369432</v>
      </c>
      <c r="D43" s="40" t="n">
        <f aca="false">P1_KetVan!J36</f>
        <v>237.49708504605</v>
      </c>
      <c r="E43" s="47" t="n">
        <f aca="false">P1_HaiTran!G36</f>
        <v>77.4232556098097</v>
      </c>
      <c r="F43" s="47" t="n">
        <f aca="false">P1_KetVan!G36</f>
        <v>78.14458261468</v>
      </c>
      <c r="G43" s="47" t="n">
        <f aca="false">P02_HaiTran!G36</f>
        <v>78.2293757806379</v>
      </c>
      <c r="H43" s="47" t="n">
        <f aca="false">P02_KetVan!G36</f>
        <v>79.0181947891004</v>
      </c>
    </row>
    <row r="44" customFormat="false" ht="15" hidden="false" customHeight="false" outlineLevel="0" collapsed="false">
      <c r="A44" s="35" t="n">
        <f aca="false">P1_HaiTran!A37</f>
        <v>21</v>
      </c>
      <c r="B44" s="40" t="n">
        <f aca="false">P1_HaiTran!B37</f>
        <v>112</v>
      </c>
      <c r="C44" s="40" t="n">
        <f aca="false">P1_HaiTran!J37</f>
        <v>296.191654191164</v>
      </c>
      <c r="D44" s="40" t="n">
        <f aca="false">P1_KetVan!J37</f>
        <v>232.964000847204</v>
      </c>
      <c r="E44" s="47" t="n">
        <f aca="false">P1_HaiTran!G37</f>
        <v>77.3405980350869</v>
      </c>
      <c r="F44" s="47" t="n">
        <f aca="false">P1_KetVan!G37</f>
        <v>78.095484575478</v>
      </c>
      <c r="G44" s="47" t="n">
        <f aca="false">P02_HaiTran!G37</f>
        <v>78.117465721682</v>
      </c>
      <c r="H44" s="47" t="n">
        <f aca="false">P02_KetVan!G37</f>
        <v>78.944704097178</v>
      </c>
    </row>
    <row r="45" customFormat="false" ht="15" hidden="false" customHeight="false" outlineLevel="0" collapsed="false">
      <c r="A45" s="35" t="n">
        <f aca="false">P1_HaiTran!A38</f>
        <v>22</v>
      </c>
      <c r="B45" s="40" t="n">
        <f aca="false">P1_HaiTran!B38</f>
        <v>89</v>
      </c>
      <c r="C45" s="40" t="n">
        <f aca="false">P1_HaiTran!J38</f>
        <v>285.959621364117</v>
      </c>
      <c r="D45" s="40" t="n">
        <f aca="false">P1_KetVan!J38</f>
        <v>227.553199812177</v>
      </c>
      <c r="E45" s="47" t="n">
        <f aca="false">P1_HaiTran!G38</f>
        <v>77.249734066512</v>
      </c>
      <c r="F45" s="47" t="n">
        <f aca="false">P1_KetVan!G38</f>
        <v>78.0366843483244</v>
      </c>
      <c r="G45" s="47" t="n">
        <f aca="false">P02_HaiTran!G38</f>
        <v>77.9973584512475</v>
      </c>
      <c r="H45" s="47" t="n">
        <f aca="false">P02_KetVan!G38</f>
        <v>78.8611868671297</v>
      </c>
    </row>
    <row r="46" customFormat="false" ht="15" hidden="false" customHeight="false" outlineLevel="0" collapsed="false">
      <c r="A46" s="35" t="n">
        <f aca="false">P1_HaiTran!A39</f>
        <v>23</v>
      </c>
      <c r="B46" s="40" t="n">
        <f aca="false">P1_HaiTran!B39</f>
        <v>71</v>
      </c>
      <c r="C46" s="40" t="n">
        <f aca="false">P1_HaiTran!J39</f>
        <v>275.214641712879</v>
      </c>
      <c r="D46" s="40" t="n">
        <f aca="false">P1_KetVan!J39</f>
        <v>221.525816998546</v>
      </c>
      <c r="E46" s="47" t="n">
        <f aca="false">P1_HaiTran!G39</f>
        <v>77.1534877379193</v>
      </c>
      <c r="F46" s="47" t="n">
        <f aca="false">P1_KetVan!G39</f>
        <v>77.9709189367743</v>
      </c>
      <c r="G46" s="47" t="n">
        <f aca="false">P02_HaiTran!G39</f>
        <v>77.8721746918595</v>
      </c>
      <c r="H46" s="47" t="n">
        <f aca="false">P02_KetVan!G39</f>
        <v>78.7706492845968</v>
      </c>
    </row>
    <row r="47" customFormat="false" ht="15" hidden="false" customHeight="false" outlineLevel="0" collapsed="false">
      <c r="A47" s="35" t="n">
        <f aca="false">P1_HaiTran!A40</f>
        <v>24</v>
      </c>
      <c r="B47" s="40" t="n">
        <f aca="false">P1_HaiTran!B40</f>
        <v>57</v>
      </c>
      <c r="C47" s="40" t="n">
        <f aca="false">P1_HaiTran!J40</f>
        <v>264.227610400155</v>
      </c>
      <c r="D47" s="40" t="n">
        <f aca="false">P1_KetVan!J40</f>
        <v>215.092497783506</v>
      </c>
      <c r="E47" s="47" t="n">
        <f aca="false">P1_HaiTran!G40</f>
        <v>77.0541179931066</v>
      </c>
      <c r="F47" s="47" t="n">
        <f aca="false">P1_KetVan!G40</f>
        <v>77.9003973242414</v>
      </c>
      <c r="G47" s="47" t="n">
        <f aca="false">P02_HaiTran!G40</f>
        <v>77.7440524481906</v>
      </c>
      <c r="H47" s="47" t="n">
        <f aca="false">P02_KetVan!G40</f>
        <v>78.6751700529931</v>
      </c>
    </row>
    <row r="48" customFormat="false" ht="15" hidden="false" customHeight="false" outlineLevel="0" collapsed="false">
      <c r="A48" s="35" t="n">
        <f aca="false">P1_HaiTran!A41</f>
        <v>25</v>
      </c>
      <c r="B48" s="40" t="n">
        <f aca="false">P1_HaiTran!B41</f>
        <v>46</v>
      </c>
      <c r="C48" s="40" t="n">
        <f aca="false">P1_HaiTran!J41</f>
        <v>253.202185280224</v>
      </c>
      <c r="D48" s="40" t="n">
        <f aca="false">P1_KetVan!J41</f>
        <v>208.414721534828</v>
      </c>
      <c r="E48" s="47" t="n">
        <f aca="false">P1_HaiTran!G41</f>
        <v>76.9533381604905</v>
      </c>
      <c r="F48" s="47" t="n">
        <f aca="false">P1_KetVan!G41</f>
        <v>77.8268150055719</v>
      </c>
      <c r="G48" s="47" t="n">
        <f aca="false">P02_HaiTran!G41</f>
        <v>77.6146131837268</v>
      </c>
      <c r="H48" s="47" t="n">
        <f aca="false">P02_KetVan!G41</f>
        <v>78.5763553463079</v>
      </c>
    </row>
    <row r="49" customFormat="false" ht="15" hidden="false" customHeight="false" outlineLevel="0" collapsed="false">
      <c r="A49" s="35" t="n">
        <f aca="false">P1_HaiTran!A42</f>
        <v>26</v>
      </c>
      <c r="B49" s="40" t="n">
        <f aca="false">P1_HaiTran!B42</f>
        <v>36</v>
      </c>
      <c r="C49" s="40" t="n">
        <f aca="false">P1_HaiTran!J42</f>
        <v>242.253457791054</v>
      </c>
      <c r="D49" s="40" t="n">
        <f aca="false">P1_KetVan!J42</f>
        <v>201.586514920502</v>
      </c>
      <c r="E49" s="47" t="n">
        <f aca="false">P1_HaiTran!G42</f>
        <v>76.8521026169023</v>
      </c>
      <c r="F49" s="47" t="n">
        <f aca="false">P1_KetVan!G42</f>
        <v>77.7511458710029</v>
      </c>
      <c r="G49" s="47" t="n">
        <f aca="false">P02_HaiTran!G42</f>
        <v>77.485437996234</v>
      </c>
      <c r="H49" s="47" t="n">
        <f aca="false">P02_KetVan!G42</f>
        <v>78.475777305215</v>
      </c>
    </row>
    <row r="50" customFormat="false" ht="15" hidden="false" customHeight="false" outlineLevel="0" collapsed="false">
      <c r="A50" s="35" t="n">
        <f aca="false">P1_HaiTran!A43</f>
        <v>27</v>
      </c>
      <c r="B50" s="40" t="n">
        <f aca="false">P1_HaiTran!B43</f>
        <v>29</v>
      </c>
      <c r="C50" s="40" t="n">
        <f aca="false">P1_HaiTran!J43</f>
        <v>231.488446090462</v>
      </c>
      <c r="D50" s="40" t="n">
        <f aca="false">P1_KetVan!J43</f>
        <v>194.697858550248</v>
      </c>
      <c r="E50" s="47" t="n">
        <f aca="false">P1_HaiTran!G43</f>
        <v>76.7513289390506</v>
      </c>
      <c r="F50" s="47" t="n">
        <f aca="false">P1_KetVan!G43</f>
        <v>77.6743356841598</v>
      </c>
      <c r="G50" s="47" t="n">
        <f aca="false">P02_HaiTran!G43</f>
        <v>77.3573787033792</v>
      </c>
      <c r="H50" s="47" t="n">
        <f aca="false">P02_KetVan!G43</f>
        <v>78.3743278830334</v>
      </c>
    </row>
    <row r="51" customFormat="false" ht="15" hidden="false" customHeight="false" outlineLevel="0" collapsed="false">
      <c r="A51" s="35" t="n">
        <f aca="false">P1_HaiTran!A44</f>
        <v>28</v>
      </c>
      <c r="B51" s="40" t="n">
        <f aca="false">P1_HaiTran!B44</f>
        <v>23</v>
      </c>
      <c r="C51" s="40" t="n">
        <f aca="false">P1_HaiTran!J44</f>
        <v>221.0065821084</v>
      </c>
      <c r="D51" s="40" t="n">
        <f aca="false">P1_KetVan!J44</f>
        <v>187.835229959524</v>
      </c>
      <c r="E51" s="47" t="n">
        <f aca="false">P1_HaiTran!G44</f>
        <v>76.6519066202781</v>
      </c>
      <c r="F51" s="47" t="n">
        <f aca="false">P1_KetVan!G44</f>
        <v>77.5973111294998</v>
      </c>
      <c r="G51" s="47" t="n">
        <f aca="false">P02_HaiTran!G44</f>
        <v>77.2314992731186</v>
      </c>
      <c r="H51" s="47" t="n">
        <f aca="false">P02_KetVan!G44</f>
        <v>78.2731016420697</v>
      </c>
    </row>
    <row r="52" customFormat="false" ht="15" hidden="false" customHeight="false" outlineLevel="0" collapsed="false">
      <c r="A52" s="35" t="n">
        <f aca="false">P1_HaiTran!A45</f>
        <v>29</v>
      </c>
      <c r="B52" s="40" t="n">
        <f aca="false">P1_HaiTran!B45</f>
        <v>18</v>
      </c>
      <c r="C52" s="40" t="n">
        <f aca="false">P1_HaiTran!J45</f>
        <v>210.84935189113</v>
      </c>
      <c r="D52" s="40" t="n">
        <f aca="false">P1_KetVan!J45</f>
        <v>181.040483655618</v>
      </c>
      <c r="E52" s="47" t="n">
        <f aca="false">P1_HaiTran!G45</f>
        <v>76.5542130370213</v>
      </c>
      <c r="F52" s="47" t="n">
        <f aca="false">P1_KetVan!G45</f>
        <v>77.520516200836</v>
      </c>
      <c r="G52" s="47" t="n">
        <f aca="false">P02_HaiTran!G45</f>
        <v>77.1083694650197</v>
      </c>
      <c r="H52" s="47" t="n">
        <f aca="false">P02_KetVan!G45</f>
        <v>78.1727334477393</v>
      </c>
    </row>
    <row r="53" customFormat="false" ht="15" hidden="false" customHeight="false" outlineLevel="0" collapsed="false">
      <c r="A53" s="35" t="n">
        <f aca="false">P1_HaiTran!A46</f>
        <v>30</v>
      </c>
      <c r="B53" s="40" t="n">
        <f aca="false">P1_HaiTran!B46</f>
        <v>14</v>
      </c>
      <c r="C53" s="40" t="n">
        <f aca="false">P1_HaiTran!J46</f>
        <v>201.054830084932</v>
      </c>
      <c r="D53" s="40" t="n">
        <f aca="false">P1_KetVan!J46</f>
        <v>174.353413196068</v>
      </c>
      <c r="E53" s="47" t="n">
        <f aca="false">P1_HaiTran!G46</f>
        <v>76.4586161160983</v>
      </c>
      <c r="F53" s="47" t="n">
        <f aca="false">P1_KetVan!G46</f>
        <v>77.4443835201147</v>
      </c>
      <c r="G53" s="47" t="n">
        <f aca="false">P02_HaiTran!G46</f>
        <v>76.9883090354949</v>
      </c>
      <c r="H53" s="47" t="n">
        <f aca="false">P02_KetVan!G46</f>
        <v>78.0736251165326</v>
      </c>
    </row>
    <row r="54" customFormat="false" ht="15" hidden="false" customHeight="false" outlineLevel="0" collapsed="false">
      <c r="A54" s="35" t="n">
        <f aca="false">P1_HaiTran!A47</f>
        <v>31</v>
      </c>
      <c r="B54" s="40" t="n">
        <f aca="false">P1_HaiTran!B47</f>
        <v>11</v>
      </c>
      <c r="C54" s="40" t="n">
        <f aca="false">P1_HaiTran!J47</f>
        <v>191.657301295185</v>
      </c>
      <c r="D54" s="40" t="n">
        <f aca="false">P1_KetVan!J47</f>
        <v>167.812165020503</v>
      </c>
      <c r="E54" s="47" t="n">
        <f aca="false">P1_HaiTran!G47</f>
        <v>76.3654718164569</v>
      </c>
      <c r="F54" s="47" t="n">
        <f aca="false">P1_KetVan!G47</f>
        <v>77.3693400204949</v>
      </c>
      <c r="G54" s="47" t="n">
        <f aca="false">P02_HaiTran!G47</f>
        <v>76.8718788873112</v>
      </c>
      <c r="H54" s="47" t="n">
        <f aca="false">P02_KetVan!G47</f>
        <v>77.9763949007723</v>
      </c>
    </row>
    <row r="55" customFormat="false" ht="15" hidden="false" customHeight="false" outlineLevel="0" collapsed="false">
      <c r="A55" s="35" t="n">
        <f aca="false">P1_HaiTran!A48</f>
        <v>32</v>
      </c>
      <c r="B55" s="40" t="n">
        <f aca="false">P1_HaiTran!B48</f>
        <v>8</v>
      </c>
      <c r="C55" s="40" t="n">
        <f aca="false">P1_HaiTran!J48</f>
        <v>182.663269270912</v>
      </c>
      <c r="D55" s="40" t="n">
        <f aca="false">P1_KetVan!J48</f>
        <v>161.432305675573</v>
      </c>
      <c r="E55" s="47" t="n">
        <f aca="false">P1_HaiTran!G48</f>
        <v>76.2748812357667</v>
      </c>
      <c r="F55" s="47" t="n">
        <f aca="false">P1_KetVan!G48</f>
        <v>77.2955648383883</v>
      </c>
      <c r="G55" s="47" t="n">
        <f aca="false">P02_HaiTran!G48</f>
        <v>76.7593823695839</v>
      </c>
      <c r="H55" s="47" t="n">
        <f aca="false">P02_KetVan!G48</f>
        <v>77.8814327758549</v>
      </c>
    </row>
    <row r="56" customFormat="false" ht="15" hidden="false" customHeight="false" outlineLevel="0" collapsed="false">
      <c r="A56" s="35" t="n">
        <f aca="false">P1_HaiTran!A49</f>
        <v>33</v>
      </c>
      <c r="B56" s="40" t="n">
        <f aca="false">P1_HaiTran!B49</f>
        <v>7</v>
      </c>
      <c r="C56" s="40" t="n">
        <f aca="false">P1_HaiTran!J49</f>
        <v>174.102091751019</v>
      </c>
      <c r="D56" s="40" t="n">
        <f aca="false">P1_KetVan!J49</f>
        <v>155.248885127706</v>
      </c>
      <c r="E56" s="47" t="n">
        <f aca="false">P1_HaiTran!G49</f>
        <v>76.1871932343983</v>
      </c>
      <c r="F56" s="47" t="n">
        <f aca="false">P1_KetVan!G49</f>
        <v>77.2234723955329</v>
      </c>
      <c r="G56" s="47" t="n">
        <f aca="false">P02_HaiTran!G49</f>
        <v>76.6508642170232</v>
      </c>
      <c r="H56" s="47" t="n">
        <f aca="false">P02_KetVan!G49</f>
        <v>77.7888893002933</v>
      </c>
    </row>
    <row r="57" customFormat="false" ht="15" hidden="false" customHeight="false" outlineLevel="0" collapsed="false">
      <c r="A57" s="35" t="n">
        <f aca="false">P1_HaiTran!A50</f>
        <v>34</v>
      </c>
      <c r="B57" s="40" t="n">
        <f aca="false">P1_HaiTran!B50</f>
        <v>5</v>
      </c>
      <c r="C57" s="40" t="n">
        <f aca="false">P1_HaiTran!J50</f>
        <v>165.975568002736</v>
      </c>
      <c r="D57" s="40" t="n">
        <f aca="false">P1_KetVan!J50</f>
        <v>149.274685156062</v>
      </c>
      <c r="E57" s="47" t="n">
        <f aca="false">P1_HaiTran!G50</f>
        <v>76.1024967359996</v>
      </c>
      <c r="F57" s="47" t="n">
        <f aca="false">P1_KetVan!G50</f>
        <v>77.1532298287065</v>
      </c>
      <c r="G57" s="47" t="n">
        <f aca="false">P02_HaiTran!G50</f>
        <v>76.5461245641406</v>
      </c>
      <c r="H57" s="47" t="n">
        <f aca="false">P02_KetVan!G50</f>
        <v>77.6986816116405</v>
      </c>
    </row>
    <row r="58" customFormat="false" ht="15" hidden="false" customHeight="false" outlineLevel="0" collapsed="false">
      <c r="A58" s="35" t="n">
        <f aca="false">P1_HaiTran!A51</f>
        <v>35</v>
      </c>
      <c r="B58" s="40" t="n">
        <f aca="false">P1_HaiTran!B51</f>
        <v>4</v>
      </c>
      <c r="C58" s="40" t="n">
        <f aca="false">P1_HaiTran!J51</f>
        <v>158.260667812811</v>
      </c>
      <c r="D58" s="40" t="n">
        <f aca="false">P1_KetVan!J51</f>
        <v>143.50171288415</v>
      </c>
      <c r="E58" s="47" t="n">
        <f aca="false">P1_HaiTran!G51</f>
        <v>76.0206268669827</v>
      </c>
      <c r="F58" s="47" t="n">
        <f aca="false">P1_KetVan!G51</f>
        <v>77.0847644927843</v>
      </c>
      <c r="G58" s="47" t="n">
        <f aca="false">P02_HaiTran!G51</f>
        <v>76.4452161747042</v>
      </c>
      <c r="H58" s="47" t="n">
        <f aca="false">P02_KetVan!G51</f>
        <v>77.61095644289</v>
      </c>
    </row>
    <row r="59" customFormat="false" ht="15" hidden="false" customHeight="false" outlineLevel="0" collapsed="false">
      <c r="A59" s="35" t="n">
        <f aca="false">P1_HaiTran!A52</f>
        <v>36</v>
      </c>
      <c r="B59" s="40" t="n">
        <f aca="false">P1_HaiTran!B52</f>
        <v>3</v>
      </c>
      <c r="C59" s="40" t="n">
        <f aca="false">P1_HaiTran!J52</f>
        <v>150.960166649568</v>
      </c>
      <c r="D59" s="40" t="n">
        <f aca="false">P1_KetVan!J52</f>
        <v>137.942056263877</v>
      </c>
      <c r="E59" s="47" t="n">
        <f aca="false">P1_HaiTran!G52</f>
        <v>75.9416933923496</v>
      </c>
      <c r="F59" s="47" t="n">
        <f aca="false">P1_KetVan!G52</f>
        <v>77.0182443627791</v>
      </c>
      <c r="G59" s="47" t="n">
        <f aca="false">P02_HaiTran!G52</f>
        <v>76.3481906859716</v>
      </c>
      <c r="H59" s="47" t="n">
        <f aca="false">P02_KetVan!G52</f>
        <v>77.5258563253068</v>
      </c>
    </row>
    <row r="60" customFormat="false" ht="15" hidden="false" customHeight="false" outlineLevel="0" collapsed="false">
      <c r="A60" s="35" t="n">
        <f aca="false">P1_HaiTran!A53</f>
        <v>37</v>
      </c>
      <c r="B60" s="40" t="n">
        <f aca="false">P1_HaiTran!B53</f>
        <v>0</v>
      </c>
      <c r="C60" s="40" t="n">
        <f aca="false">P1_HaiTran!J53</f>
        <v>144.008147257125</v>
      </c>
      <c r="D60" s="40" t="n">
        <f aca="false">P1_KetVan!J53</f>
        <v>132.54769303209</v>
      </c>
      <c r="E60" s="47" t="n">
        <f aca="false">P1_HaiTran!G53</f>
        <v>75.8650551005507</v>
      </c>
      <c r="F60" s="47" t="n">
        <f aca="false">P1_KetVan!G53</f>
        <v>76.9531162421337</v>
      </c>
      <c r="G60" s="47" t="n">
        <f aca="false">P02_HaiTran!G53</f>
        <v>76.2543495653647</v>
      </c>
      <c r="H60" s="47" t="n">
        <f aca="false">P02_KetVan!G53</f>
        <v>77.4428290272547</v>
      </c>
    </row>
    <row r="61" customFormat="false" ht="15" hidden="false" customHeight="false" outlineLevel="0" collapsed="false">
      <c r="A61" s="35" t="n">
        <f aca="false">P1_HaiTran!A54</f>
        <v>38</v>
      </c>
      <c r="B61" s="40" t="n">
        <f aca="false">P1_HaiTran!B54</f>
        <v>0</v>
      </c>
      <c r="C61" s="40" t="n">
        <f aca="false">P1_HaiTran!J54</f>
        <v>137.409523922677</v>
      </c>
      <c r="D61" s="40" t="n">
        <f aca="false">P1_KetVan!J54</f>
        <v>127.332432810363</v>
      </c>
      <c r="E61" s="47" t="n">
        <f aca="false">P1_HaiTran!G54</f>
        <v>75.7908279156426</v>
      </c>
      <c r="F61" s="47" t="n">
        <f aca="false">P1_KetVan!G54</f>
        <v>76.889564971555</v>
      </c>
      <c r="G61" s="47" t="n">
        <f aca="false">P02_HaiTran!G54</f>
        <v>76.1637689305332</v>
      </c>
      <c r="H61" s="47" t="n">
        <f aca="false">P02_KetVan!G54</f>
        <v>77.3620281396219</v>
      </c>
    </row>
    <row r="62" customFormat="false" ht="15" hidden="false" customHeight="false" outlineLevel="0" collapsed="false">
      <c r="A62" s="35" t="n">
        <f aca="false">P1_HaiTran!A55</f>
        <v>39</v>
      </c>
      <c r="B62" s="40" t="n">
        <f aca="false">P1_HaiTran!B55</f>
        <v>0</v>
      </c>
      <c r="C62" s="40" t="n">
        <f aca="false">P1_HaiTran!J55</f>
        <v>131.212278767331</v>
      </c>
      <c r="D62" s="40" t="n">
        <f aca="false">P1_KetVan!J55</f>
        <v>122.347563124235</v>
      </c>
      <c r="E62" s="47" t="n">
        <f aca="false">P1_HaiTran!G55</f>
        <v>75.7196416927994</v>
      </c>
      <c r="F62" s="47" t="n">
        <f aca="false">P1_KetVan!G55</f>
        <v>76.8282470625337</v>
      </c>
      <c r="G62" s="47" t="n">
        <f aca="false">P02_HaiTran!G55</f>
        <v>76.0770298660138</v>
      </c>
      <c r="H62" s="47" t="n">
        <f aca="false">P02_KetVan!G55</f>
        <v>77.2840719540365</v>
      </c>
    </row>
    <row r="63" customFormat="false" ht="15" hidden="false" customHeight="false" outlineLevel="0" collapsed="false">
      <c r="A63" s="35" t="n">
        <f aca="false">P1_HaiTran!A56</f>
        <v>40</v>
      </c>
      <c r="B63" s="40" t="n">
        <f aca="false">P1_HaiTran!B56</f>
        <v>0</v>
      </c>
      <c r="C63" s="40" t="n">
        <f aca="false">P1_HaiTran!J56</f>
        <v>125.392325492877</v>
      </c>
      <c r="D63" s="40" t="n">
        <f aca="false">P1_KetVan!J56</f>
        <v>117.583071322321</v>
      </c>
      <c r="E63" s="47" t="n">
        <f aca="false">P1_HaiTran!G56</f>
        <v>75.6513310265945</v>
      </c>
      <c r="F63" s="47" t="n">
        <f aca="false">P1_KetVan!G56</f>
        <v>76.7690808655607</v>
      </c>
      <c r="G63" s="47" t="n">
        <f aca="false">P02_HaiTran!G56</f>
        <v>75.9939382063933</v>
      </c>
      <c r="H63" s="47" t="n">
        <f aca="false">P02_KetVan!G56</f>
        <v>77.2088632467926</v>
      </c>
    </row>
    <row r="64" customFormat="false" ht="15" hidden="false" customHeight="false" outlineLevel="0" collapsed="false">
      <c r="A64" s="35" t="n">
        <f aca="false">P1_HaiTran!A57</f>
        <v>41</v>
      </c>
      <c r="B64" s="40" t="n">
        <f aca="false">P1_HaiTran!B57</f>
        <v>0</v>
      </c>
      <c r="C64" s="40" t="n">
        <f aca="false">P1_HaiTran!J57</f>
        <v>119.927086376271</v>
      </c>
      <c r="D64" s="40" t="n">
        <f aca="false">P1_KetVan!J57</f>
        <v>113.029082458943</v>
      </c>
      <c r="E64" s="47" t="n">
        <f aca="false">P1_HaiTran!G57</f>
        <v>75.5857385956707</v>
      </c>
      <c r="F64" s="47" t="n">
        <f aca="false">P1_KetVan!G57</f>
        <v>76.7119847511513</v>
      </c>
      <c r="G64" s="47" t="n">
        <f aca="false">P02_HaiTran!G57</f>
        <v>75.9143384286689</v>
      </c>
      <c r="H64" s="47" t="n">
        <f aca="false">P02_KetVan!G57</f>
        <v>77.1363040407173</v>
      </c>
    </row>
    <row r="65" customFormat="false" ht="15" hidden="false" customHeight="false" outlineLevel="0" collapsed="false">
      <c r="A65" s="35" t="n">
        <f aca="false">P1_HaiTran!A58</f>
        <v>42</v>
      </c>
      <c r="B65" s="40" t="n">
        <f aca="false">P1_HaiTran!B58</f>
        <v>0</v>
      </c>
      <c r="C65" s="40" t="n">
        <f aca="false">P1_HaiTran!J58</f>
        <v>114.795469672284</v>
      </c>
      <c r="D65" s="40" t="n">
        <f aca="false">P1_KetVan!J58</f>
        <v>108.676201683862</v>
      </c>
      <c r="E65" s="47" t="n">
        <f aca="false">P1_HaiTran!G58</f>
        <v>75.5227151830026</v>
      </c>
      <c r="F65" s="47" t="n">
        <f aca="false">P1_KetVan!G58</f>
        <v>76.6568812933471</v>
      </c>
      <c r="G65" s="47" t="n">
        <f aca="false">P02_HaiTran!G58</f>
        <v>75.8380696724792</v>
      </c>
      <c r="H65" s="47" t="n">
        <f aca="false">P02_KetVan!G58</f>
        <v>77.0663017039195</v>
      </c>
    </row>
    <row r="66" customFormat="false" ht="15" hidden="false" customHeight="false" outlineLevel="0" collapsed="false">
      <c r="A66" s="35" t="n">
        <f aca="false">P1_HaiTran!A59</f>
        <v>43</v>
      </c>
      <c r="B66" s="40" t="n">
        <f aca="false">P1_HaiTran!B59</f>
        <v>0</v>
      </c>
      <c r="C66" s="40" t="n">
        <f aca="false">P1_HaiTran!J59</f>
        <v>109.977657106361</v>
      </c>
      <c r="D66" s="40" t="n">
        <f aca="false">P1_KetVan!J59</f>
        <v>104.515346519918</v>
      </c>
      <c r="E66" s="47" t="n">
        <f aca="false">P1_HaiTran!G59</f>
        <v>75.462117331997</v>
      </c>
      <c r="F66" s="47" t="n">
        <f aca="false">P1_KetVan!G59</f>
        <v>76.6036951692202</v>
      </c>
      <c r="G66" s="47" t="n">
        <f aca="false">P02_HaiTran!G59</f>
        <v>75.7649520347352</v>
      </c>
      <c r="H66" s="47" t="n">
        <f aca="false">P02_KetVan!G59</f>
        <v>76.9987645299475</v>
      </c>
    </row>
    <row r="67" customFormat="false" ht="15" hidden="false" customHeight="false" outlineLevel="0" collapsed="false">
      <c r="A67" s="35" t="n">
        <f aca="false">P1_HaiTran!A60</f>
        <v>44</v>
      </c>
      <c r="B67" s="40" t="n">
        <f aca="false">P1_HaiTran!B60</f>
        <v>0</v>
      </c>
      <c r="C67" s="40" t="n">
        <f aca="false">P1_HaiTran!J60</f>
        <v>105.45520349142</v>
      </c>
      <c r="D67" s="40" t="n">
        <f aca="false">P1_KetVan!J60</f>
        <v>100.537789675395</v>
      </c>
      <c r="E67" s="47" t="n">
        <f aca="false">P1_HaiTran!G60</f>
        <v>75.4038087570243</v>
      </c>
      <c r="F67" s="47" t="n">
        <f aca="false">P1_KetVan!G60</f>
        <v>76.552353684267</v>
      </c>
      <c r="G67" s="47" t="n">
        <f aca="false">P02_HaiTran!G60</f>
        <v>75.6948158412659</v>
      </c>
      <c r="H67" s="47" t="n">
        <f aca="false">P02_KetVan!G60</f>
        <v>76.9336048550839</v>
      </c>
    </row>
    <row r="68" customFormat="false" ht="15" hidden="false" customHeight="false" outlineLevel="0" collapsed="false">
      <c r="A68" s="35" t="n">
        <f aca="false">P1_HaiTran!A61</f>
        <v>45</v>
      </c>
      <c r="B68" s="40" t="n">
        <f aca="false">P1_HaiTran!B61</f>
        <v>0</v>
      </c>
      <c r="C68" s="40" t="n">
        <f aca="false">P1_HaiTran!J61</f>
        <v>101.21104514646</v>
      </c>
      <c r="D68" s="40" t="n">
        <f aca="false">P1_KetVan!J61</f>
        <v>96.735101399499</v>
      </c>
      <c r="E68" s="47" t="n">
        <f aca="false">P1_HaiTran!G61</f>
        <v>75.3476607665064</v>
      </c>
      <c r="F68" s="47" t="n">
        <f aca="false">P1_KetVan!G61</f>
        <v>76.5027860309315</v>
      </c>
      <c r="G68" s="47" t="n">
        <f aca="false">P02_HaiTran!G61</f>
        <v>75.6274984461294</v>
      </c>
      <c r="H68" s="47" t="n">
        <f aca="false">P02_KetVan!G61</f>
        <v>76.8707399810012</v>
      </c>
    </row>
    <row r="69" customFormat="false" ht="15" hidden="false" customHeight="false" outlineLevel="0" collapsed="false">
      <c r="A69" s="35" t="n">
        <f aca="false">P1_HaiTran!A62</f>
        <v>46</v>
      </c>
      <c r="B69" s="40" t="n">
        <f aca="false">P1_HaiTran!B62</f>
        <v>0</v>
      </c>
      <c r="C69" s="40" t="n">
        <f aca="false">P1_HaiTran!J62</f>
        <v>97.2292461328429</v>
      </c>
      <c r="D69" s="40" t="n">
        <f aca="false">P1_KetVan!J62</f>
        <v>93.0992472040849</v>
      </c>
      <c r="E69" s="47" t="n">
        <f aca="false">P1_HaiTran!G62</f>
        <v>75.2935491428022</v>
      </c>
      <c r="F69" s="47" t="n">
        <f aca="false">P1_KetVan!G62</f>
        <v>76.454924574115</v>
      </c>
      <c r="G69" s="47" t="n">
        <f aca="false">P02_HaiTran!G62</f>
        <v>75.5628445585557</v>
      </c>
      <c r="H69" s="47" t="n">
        <f aca="false">P02_KetVan!G62</f>
        <v>76.8100835806255</v>
      </c>
    </row>
    <row r="70" customFormat="false" ht="15" hidden="false" customHeight="false" outlineLevel="0" collapsed="false">
      <c r="A70" s="35" t="n">
        <f aca="false">P1_HaiTran!A63</f>
        <v>47</v>
      </c>
      <c r="B70" s="40" t="n">
        <f aca="false">P1_HaiTran!B63</f>
        <v>0</v>
      </c>
      <c r="C70" s="40" t="n">
        <f aca="false">P1_HaiTran!J63</f>
        <v>93.4952184708707</v>
      </c>
      <c r="D70" s="40" t="n">
        <f aca="false">P1_KetVan!J63</f>
        <v>89.622574654065</v>
      </c>
      <c r="E70" s="47" t="n">
        <f aca="false">P1_HaiTran!G63</f>
        <v>75.2413571785334</v>
      </c>
      <c r="F70" s="47" t="n">
        <f aca="false">P1_KetVan!G63</f>
        <v>76.4087047457961</v>
      </c>
      <c r="G70" s="47" t="n">
        <f aca="false">P02_HaiTran!G63</f>
        <v>75.500707607854</v>
      </c>
      <c r="H70" s="47" t="n">
        <f aca="false">P02_KetVan!G63</f>
        <v>76.7515529690942</v>
      </c>
    </row>
    <row r="71" customFormat="false" ht="15" hidden="false" customHeight="false" outlineLevel="0" collapsed="false">
      <c r="A71" s="35" t="n">
        <f aca="false">P1_HaiTran!A64</f>
        <v>48</v>
      </c>
      <c r="B71" s="40" t="n">
        <f aca="false">P1_HaiTran!B64</f>
        <v>0</v>
      </c>
      <c r="C71" s="40" t="n">
        <f aca="false">P1_HaiTran!J64</f>
        <v>89.9954256838156</v>
      </c>
      <c r="D71" s="40" t="n">
        <f aca="false">P1_KetVan!J64</f>
        <v>86.2975787941464</v>
      </c>
      <c r="E71" s="47" t="n">
        <f aca="false">P1_HaiTran!G64</f>
        <v>75.1909716426723</v>
      </c>
      <c r="F71" s="47" t="n">
        <f aca="false">P1_KetVan!G64</f>
        <v>76.364061958004</v>
      </c>
      <c r="G71" s="47" t="n">
        <f aca="false">P02_HaiTran!G64</f>
        <v>75.4409461885703</v>
      </c>
      <c r="H71" s="47" t="n">
        <f aca="false">P02_KetVan!G64</f>
        <v>76.6950690107078</v>
      </c>
    </row>
  </sheetData>
  <mergeCells count="5">
    <mergeCell ref="F12:J12"/>
    <mergeCell ref="F13:J13"/>
    <mergeCell ref="F14:J14"/>
    <mergeCell ref="F15:J15"/>
    <mergeCell ref="F16:J16"/>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2026-10-19T06:21:24Z</dcterms:created>
  <dc:creator>openpyxl</dc:creator>
  <dc:description/>
  <dc:language>en-US</dc:language>
  <cp:lastModifiedBy/>
  <dcterms:modified xsi:type="dcterms:W3CDTF">2026-10-19T06:21:26Z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